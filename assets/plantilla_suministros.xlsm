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70A49574-512F-4D64-9FF0-B78C11D40A4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CEITE DE MANTTOS ABRIL 2026" sheetId="4" r:id="rId1"/>
    <sheet name="ACEITE DE RELLENO ABRIL 2026" sheetId="5" r:id="rId2"/>
    <sheet name="Hoja1" sheetId="1" state="hidden" r:id="rId3"/>
  </sheets>
  <definedNames>
    <definedName name="_xlnm._FilterDatabase" localSheetId="0" hidden="1">'ACEITE DE MANTTOS ABRIL 2026'!$A$2:$J$1300</definedName>
    <definedName name="_xlnm._FilterDatabase" localSheetId="1" hidden="1">'ACEITE DE RELLENO ABRIL 2026'!$A$1:$AJ$409</definedName>
  </definedNames>
  <calcPr calcId="181029"/>
  <pivotCaches>
    <pivotCache cacheId="1" r:id="rId4"/>
  </pivotCaches>
</workbook>
</file>

<file path=xl/calcChain.xml><?xml version="1.0" encoding="utf-8"?>
<calcChain xmlns="http://schemas.openxmlformats.org/spreadsheetml/2006/main">
  <c r="AH394" i="5" l="1"/>
  <c r="AH395" i="5"/>
  <c r="D396" i="5"/>
  <c r="E396" i="5"/>
  <c r="F396" i="5"/>
  <c r="F400" i="5" s="1"/>
  <c r="G396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C396" i="5"/>
  <c r="AH393" i="5"/>
  <c r="J1281" i="4" l="1"/>
  <c r="J1280" i="4" l="1"/>
  <c r="AJ401" i="5" s="1"/>
  <c r="AE400" i="5" l="1"/>
  <c r="AD400" i="5"/>
  <c r="AC400" i="5"/>
  <c r="AB400" i="5"/>
  <c r="AA400" i="5"/>
  <c r="Z400" i="5"/>
  <c r="Y400" i="5"/>
  <c r="X400" i="5"/>
  <c r="W400" i="5"/>
  <c r="V400" i="5"/>
  <c r="U400" i="5"/>
  <c r="T400" i="5"/>
  <c r="S400" i="5"/>
  <c r="R400" i="5"/>
  <c r="Q400" i="5"/>
  <c r="P400" i="5"/>
  <c r="O400" i="5"/>
  <c r="N400" i="5"/>
  <c r="M400" i="5"/>
  <c r="L400" i="5"/>
  <c r="K400" i="5"/>
  <c r="J400" i="5"/>
  <c r="I400" i="5"/>
  <c r="H400" i="5"/>
  <c r="G400" i="5"/>
  <c r="E400" i="5"/>
  <c r="D400" i="5"/>
  <c r="C400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J1279" i="4"/>
  <c r="AJ402" i="5" l="1"/>
  <c r="AH411" i="5"/>
  <c r="J1282" i="4"/>
  <c r="J1286" i="4"/>
  <c r="AH396" i="5"/>
  <c r="C21" i="1"/>
  <c r="C17" i="1"/>
  <c r="C9" i="1"/>
  <c r="C5" i="1"/>
  <c r="C13" i="1"/>
  <c r="C25" i="1"/>
  <c r="AK401" i="5" l="1"/>
  <c r="AL401" i="5" s="1"/>
</calcChain>
</file>

<file path=xl/sharedStrings.xml><?xml version="1.0" encoding="utf-8"?>
<sst xmlns="http://schemas.openxmlformats.org/spreadsheetml/2006/main" count="1362" uniqueCount="555">
  <si>
    <t>Número:</t>
  </si>
  <si>
    <t>Letra:</t>
  </si>
  <si>
    <t>Ejemplo 1: Conversión simple de un número a letra</t>
  </si>
  <si>
    <t>ExcelTotal.com - Convertir números a letras en Excel</t>
  </si>
  <si>
    <t>Ejemplo 2: Conversión de número con decimales en letras</t>
  </si>
  <si>
    <t>Ejemplo 3: Texto en mayúsculas</t>
  </si>
  <si>
    <t>Ejemplo 4: Texto entre paréntesis</t>
  </si>
  <si>
    <t>Ejemplo 5: Con texto adicional</t>
  </si>
  <si>
    <t>Número máximo permitido</t>
  </si>
  <si>
    <t>D/ANEXOS</t>
  </si>
  <si>
    <t>POZOS</t>
  </si>
  <si>
    <t>OT.</t>
  </si>
  <si>
    <t>TRABAJO</t>
  </si>
  <si>
    <t>DESPACHO</t>
  </si>
  <si>
    <t>FECHA</t>
  </si>
  <si>
    <t>CUADRILLA</t>
  </si>
  <si>
    <t>VALE</t>
  </si>
  <si>
    <t>UBM</t>
  </si>
  <si>
    <t>MOTOR</t>
  </si>
  <si>
    <t>ARAGON 159</t>
  </si>
  <si>
    <t>WFO</t>
  </si>
  <si>
    <t>ARROW</t>
  </si>
  <si>
    <t>GALLO 352</t>
  </si>
  <si>
    <t>ARAGON 189</t>
  </si>
  <si>
    <t>ICI GR-20</t>
  </si>
  <si>
    <t>VORTEC 6</t>
  </si>
  <si>
    <t>ARAGON 67</t>
  </si>
  <si>
    <t>LUFKIN</t>
  </si>
  <si>
    <t>SOLEDAD NORTE 48D</t>
  </si>
  <si>
    <t>BASE SOLEDAD</t>
  </si>
  <si>
    <t>BAT. PALO BLANCO</t>
  </si>
  <si>
    <t xml:space="preserve"> </t>
  </si>
  <si>
    <t>BAT. POTRERO DEL LLANO</t>
  </si>
  <si>
    <t>CUMMIN</t>
  </si>
  <si>
    <t xml:space="preserve">BAT. SOL. I </t>
  </si>
  <si>
    <t>BOMBA DUPLEX</t>
  </si>
  <si>
    <t>BAT. SOL. II</t>
  </si>
  <si>
    <t>BOMBA CAVIDADES PROGRESIVAS</t>
  </si>
  <si>
    <t>VORTEC 8</t>
  </si>
  <si>
    <t xml:space="preserve">BAT. SOL. NORTE </t>
  </si>
  <si>
    <t>B.TORNILLO</t>
  </si>
  <si>
    <t>MOTOR CUMMINS</t>
  </si>
  <si>
    <t>COYOTE 123</t>
  </si>
  <si>
    <t>COYOTE 125</t>
  </si>
  <si>
    <t>COYOTE 141</t>
  </si>
  <si>
    <t>COYOTE 143</t>
  </si>
  <si>
    <t>ICY</t>
  </si>
  <si>
    <t>COYOTE 145</t>
  </si>
  <si>
    <t>COYOTE 146</t>
  </si>
  <si>
    <t>COYOTE 161</t>
  </si>
  <si>
    <t>COYOTE 162</t>
  </si>
  <si>
    <t>COYOTE 163</t>
  </si>
  <si>
    <t>COYOTE 164</t>
  </si>
  <si>
    <t>COYOTE 166</t>
  </si>
  <si>
    <t>COYOTE 168D</t>
  </si>
  <si>
    <t>COYOTE 182</t>
  </si>
  <si>
    <t>COYOTE 184</t>
  </si>
  <si>
    <t>COYOTE 186</t>
  </si>
  <si>
    <t>COYOTE 188</t>
  </si>
  <si>
    <t>COYOTE 47</t>
  </si>
  <si>
    <t>COYOTE 69</t>
  </si>
  <si>
    <t>COYOTE 81</t>
  </si>
  <si>
    <t>ESTACION DE COMPRESORAS -2 SUR</t>
  </si>
  <si>
    <t>ESTACION DE COMPRESORAS SOLEDAD NORTE</t>
  </si>
  <si>
    <t>GALLO 13</t>
  </si>
  <si>
    <t>SOLEDAD NORTE 204</t>
  </si>
  <si>
    <t>GALLO 218</t>
  </si>
  <si>
    <t>GALLO 336</t>
  </si>
  <si>
    <t>GALLO 356</t>
  </si>
  <si>
    <t>GALLO 358</t>
  </si>
  <si>
    <t>GALLO 368</t>
  </si>
  <si>
    <t>GALLO 372</t>
  </si>
  <si>
    <t>GALLO 374</t>
  </si>
  <si>
    <t>GALLO 376</t>
  </si>
  <si>
    <t>GALLO 396</t>
  </si>
  <si>
    <t>GALLO 398</t>
  </si>
  <si>
    <t>GUADALUPE 1</t>
  </si>
  <si>
    <t>GUADALUPE 2</t>
  </si>
  <si>
    <t>GUADALUPE 5</t>
  </si>
  <si>
    <t>MODULO-I</t>
  </si>
  <si>
    <t>MODULO-II</t>
  </si>
  <si>
    <t>MODULO-III</t>
  </si>
  <si>
    <t>MODULO-IV</t>
  </si>
  <si>
    <t>OPS (ALMACEN)</t>
  </si>
  <si>
    <t>PALO BLANCO 109</t>
  </si>
  <si>
    <t>PALO BLANCO 129</t>
  </si>
  <si>
    <t>PALO BLANCO 142</t>
  </si>
  <si>
    <t>PALO BLANCO 161</t>
  </si>
  <si>
    <t>PALO BLANCO 162</t>
  </si>
  <si>
    <t>PALO BLANCO 163</t>
  </si>
  <si>
    <t>PALO BLANCO 208</t>
  </si>
  <si>
    <t>PALO BLANCO 264</t>
  </si>
  <si>
    <t>PALO BLANCO 2640</t>
  </si>
  <si>
    <t>PALO BLANCO 266</t>
  </si>
  <si>
    <t>PALO BLANCO 286</t>
  </si>
  <si>
    <t>SOLEDAD  NORTE 161</t>
  </si>
  <si>
    <t>SOLEDAD 1002</t>
  </si>
  <si>
    <t>SOLEDAD 1007</t>
  </si>
  <si>
    <t>SOLEDAD 101</t>
  </si>
  <si>
    <t>SOLEDAD NORTE 102D</t>
  </si>
  <si>
    <t>SOLEDAD 1024</t>
  </si>
  <si>
    <t>SOLEDAD 103</t>
  </si>
  <si>
    <t>SOLEDAD 104</t>
  </si>
  <si>
    <t>SOLEDAD 106</t>
  </si>
  <si>
    <t>SOLEDAD 107</t>
  </si>
  <si>
    <t>SOLEDAD 108</t>
  </si>
  <si>
    <t>SOLEDAD 110</t>
  </si>
  <si>
    <t>SOLEDAD 110D</t>
  </si>
  <si>
    <t>SOLEDAD 111</t>
  </si>
  <si>
    <t>SOLEDAD 112</t>
  </si>
  <si>
    <t>SOLEDAD 116</t>
  </si>
  <si>
    <t>SOLEDAD 117</t>
  </si>
  <si>
    <t>SOLEDAD 118</t>
  </si>
  <si>
    <t>SOLEDAD 119</t>
  </si>
  <si>
    <t>SOLEDAD 120</t>
  </si>
  <si>
    <t>SOLEDAD 121</t>
  </si>
  <si>
    <t>SOLEDAD 123</t>
  </si>
  <si>
    <t>SOLEDAD 125</t>
  </si>
  <si>
    <t>SOLEDAD 127</t>
  </si>
  <si>
    <t>SOLEDAD 128</t>
  </si>
  <si>
    <t>SOLEDAD 129</t>
  </si>
  <si>
    <t>SOLEDAD 130</t>
  </si>
  <si>
    <t>SOLEDAD 131</t>
  </si>
  <si>
    <t>SOLEDAD 133</t>
  </si>
  <si>
    <t>SOLEDAD 134</t>
  </si>
  <si>
    <t>SOLEDAD 135</t>
  </si>
  <si>
    <t>SOLEDAD 140</t>
  </si>
  <si>
    <t>SOLEDAD 141</t>
  </si>
  <si>
    <t>SOLEDAD 142</t>
  </si>
  <si>
    <t>SOLEDAD 153</t>
  </si>
  <si>
    <t>SOLEDAD 22</t>
  </si>
  <si>
    <t>SOLEDAD 31</t>
  </si>
  <si>
    <t>SOLEDAD 319</t>
  </si>
  <si>
    <t>SOLEDAD 339</t>
  </si>
  <si>
    <t>SOLEDAD 4</t>
  </si>
  <si>
    <t>SOLEDAD 406</t>
  </si>
  <si>
    <t>SOLEDAD 408H</t>
  </si>
  <si>
    <t>SOLEDAD 418</t>
  </si>
  <si>
    <t>SOLEDAD 42</t>
  </si>
  <si>
    <t>SOLEDAD 428</t>
  </si>
  <si>
    <t>SOLEDAD 438H</t>
  </si>
  <si>
    <t>SOLEDAD 454</t>
  </si>
  <si>
    <t>SOLEDAD 458</t>
  </si>
  <si>
    <t>SOLEDAD 496</t>
  </si>
  <si>
    <t>SOLEDAD 498</t>
  </si>
  <si>
    <t>SOLEDAD 503</t>
  </si>
  <si>
    <t>SOLEDAD 505</t>
  </si>
  <si>
    <t>SOLEDAD 506</t>
  </si>
  <si>
    <t>SOLEDAD 507</t>
  </si>
  <si>
    <t>SOLEDAD 509</t>
  </si>
  <si>
    <t>SOLEDAD 513</t>
  </si>
  <si>
    <t>SOLEDAD 515</t>
  </si>
  <si>
    <t>SOLEDAD 516</t>
  </si>
  <si>
    <t>SOLEDAD 517</t>
  </si>
  <si>
    <t>SOLEDAD 519</t>
  </si>
  <si>
    <t>SOLEDAD 529</t>
  </si>
  <si>
    <t>SOLEDAD 533</t>
  </si>
  <si>
    <t>SOLEDAD 535</t>
  </si>
  <si>
    <t>SOLEDAD 537</t>
  </si>
  <si>
    <t>SOLEDAD 539</t>
  </si>
  <si>
    <t>SOLEDAD 547</t>
  </si>
  <si>
    <t>SOLEDAD 549</t>
  </si>
  <si>
    <t>SOLEDAD 557</t>
  </si>
  <si>
    <t>SOLEDAD 559</t>
  </si>
  <si>
    <t>SOLEDAD 562</t>
  </si>
  <si>
    <t>SOLEDAD 567</t>
  </si>
  <si>
    <t>SOLEDAD 569</t>
  </si>
  <si>
    <t>SOLEDAD 574</t>
  </si>
  <si>
    <t>SOLEDAD 576</t>
  </si>
  <si>
    <t>SOLEDAD 579</t>
  </si>
  <si>
    <t>SOLEDAD 594</t>
  </si>
  <si>
    <t>SOLEDAD 596</t>
  </si>
  <si>
    <t>SOLEDAD 599</t>
  </si>
  <si>
    <t>SOLEDAD 602</t>
  </si>
  <si>
    <t>SOLEDAD 604</t>
  </si>
  <si>
    <t>SOLEDAD 606</t>
  </si>
  <si>
    <t>SOLEDAD 608</t>
  </si>
  <si>
    <t>SOLEDAD 616</t>
  </si>
  <si>
    <t>SOLEDAD 624</t>
  </si>
  <si>
    <t>SOLEDAD 626</t>
  </si>
  <si>
    <t>SOLEDAD 628</t>
  </si>
  <si>
    <t>SOLEDAD 631</t>
  </si>
  <si>
    <t>SOLEDAD 632</t>
  </si>
  <si>
    <t>SOLEDAD 636</t>
  </si>
  <si>
    <t>SOLEDAD 64</t>
  </si>
  <si>
    <t>SOLEDAD 642</t>
  </si>
  <si>
    <t>SOLEDAD 644</t>
  </si>
  <si>
    <t>SOLEDAD 646</t>
  </si>
  <si>
    <t>SOLEDAD 652</t>
  </si>
  <si>
    <t>SOLEDAD 653</t>
  </si>
  <si>
    <t>SOLEDAD 654</t>
  </si>
  <si>
    <t>SOLEDAD 656</t>
  </si>
  <si>
    <t>SOLEDAD 658</t>
  </si>
  <si>
    <t>SOLEDAD 662</t>
  </si>
  <si>
    <t>SOLEDAD 664</t>
  </si>
  <si>
    <t>SOLEDAD 668</t>
  </si>
  <si>
    <t>SOLEDAD 671</t>
  </si>
  <si>
    <t>SOLEDAD 672</t>
  </si>
  <si>
    <t>SOLEDAD 673</t>
  </si>
  <si>
    <t>SOLEDAD 674</t>
  </si>
  <si>
    <t>SOLEDAD 676</t>
  </si>
  <si>
    <t>SOLEDAD 678</t>
  </si>
  <si>
    <t>SOLEDAD 691</t>
  </si>
  <si>
    <t>SOLEDAD 692H</t>
  </si>
  <si>
    <t>SOLEDAD 693 H</t>
  </si>
  <si>
    <t>SOLEDAD 694</t>
  </si>
  <si>
    <t>SOLEDAD 695</t>
  </si>
  <si>
    <t>SOLEDAD 696</t>
  </si>
  <si>
    <t>SOLEDAD 697</t>
  </si>
  <si>
    <t>SOLEDAD 701</t>
  </si>
  <si>
    <t>SOLEDAD 702</t>
  </si>
  <si>
    <t>SOLEDAD 703</t>
  </si>
  <si>
    <t>SOLEDAD 708</t>
  </si>
  <si>
    <t>SOLEDAD 738</t>
  </si>
  <si>
    <t>SOLEDAD 774</t>
  </si>
  <si>
    <t>SOLEDAD 776</t>
  </si>
  <si>
    <t>SOLEDAD 792</t>
  </si>
  <si>
    <t>SOLEDAD 794</t>
  </si>
  <si>
    <t>SOLEDAD 796</t>
  </si>
  <si>
    <t>SOLEDAD 84</t>
  </si>
  <si>
    <t>SOLEDAD 914</t>
  </si>
  <si>
    <t>SOLEDAD 1019</t>
  </si>
  <si>
    <t>SOLEDAD NORTE 1</t>
  </si>
  <si>
    <t>SOLEDAD NORTE 2</t>
  </si>
  <si>
    <t>SOLEDAD NORTE 101</t>
  </si>
  <si>
    <t>SOLEDAD NORTE 103</t>
  </si>
  <si>
    <t>SOLEDAD NORTE 104</t>
  </si>
  <si>
    <t>SOLEDAD NORTE 106</t>
  </si>
  <si>
    <t>SOLEDAD NORTE 108</t>
  </si>
  <si>
    <t>SOLEDAD NORTE 11</t>
  </si>
  <si>
    <t>SOLEDAD NORTE 111</t>
  </si>
  <si>
    <t>SOLEDAD NORTE 112</t>
  </si>
  <si>
    <t>SOLEDAD NORTE 113</t>
  </si>
  <si>
    <t>SOLEDAD NORTE 114</t>
  </si>
  <si>
    <t>SOLEDAD NORTE 116</t>
  </si>
  <si>
    <t>SOLEDAD NORTE 118</t>
  </si>
  <si>
    <t>SOLEDAD NORTE 12</t>
  </si>
  <si>
    <t>SOLEDAD NORTE 121</t>
  </si>
  <si>
    <t>SOLEDAD NORTE 122</t>
  </si>
  <si>
    <t>SOLEDAD NORTE 123</t>
  </si>
  <si>
    <t>SOLEDAD NORTE 124</t>
  </si>
  <si>
    <t>SOLEDAD NORTE 125</t>
  </si>
  <si>
    <t>SOLEDAD NORTE 126</t>
  </si>
  <si>
    <t>SOLEDAD NORTE 127</t>
  </si>
  <si>
    <t>SOLEDAD NORTE 128</t>
  </si>
  <si>
    <t>SOLEDAD NORTE 129</t>
  </si>
  <si>
    <t>SOLEDAD NORTE 13</t>
  </si>
  <si>
    <t>SOLEDAD NORTE 131</t>
  </si>
  <si>
    <t>SOLEDAD NORTE 132</t>
  </si>
  <si>
    <t>SOLEDAD NORTE 134</t>
  </si>
  <si>
    <t>SOLEDAD NORTE 136</t>
  </si>
  <si>
    <t>SOLEDAD NORTE 138</t>
  </si>
  <si>
    <t>SOLEDAD NORTE 14</t>
  </si>
  <si>
    <t>SOLEDAD NORTE 141</t>
  </si>
  <si>
    <t>SOLEDAD NORTE 143</t>
  </si>
  <si>
    <t>SOLEDAD NORTE 145</t>
  </si>
  <si>
    <t>SOLEDAD NORTE 147</t>
  </si>
  <si>
    <t>SOLEDAD NORTE 149</t>
  </si>
  <si>
    <t>SOLEDAD NORTE 15</t>
  </si>
  <si>
    <t>SOLEDAD NORTE 151</t>
  </si>
  <si>
    <t>SOLEDAD NORTE 152</t>
  </si>
  <si>
    <t>SOLEDAD NORTE 154</t>
  </si>
  <si>
    <t>SOLEDAD NORTE 156</t>
  </si>
  <si>
    <t>SOLEDAD NORTE 158</t>
  </si>
  <si>
    <t>SOLEDAD NORTE 16</t>
  </si>
  <si>
    <t>SOLEDAD NORTE 162</t>
  </si>
  <si>
    <t>SOLEDAD NORTE 163</t>
  </si>
  <si>
    <t>SOLEDAD NORTE 164</t>
  </si>
  <si>
    <t>SOLEDAD NORTE 165</t>
  </si>
  <si>
    <t>SOLEDAD NORTE 166</t>
  </si>
  <si>
    <t>SOLEDAD NORTE 168</t>
  </si>
  <si>
    <t>SOLEDAD NORTE 169</t>
  </si>
  <si>
    <t>SOLEDAD NORTE 17</t>
  </si>
  <si>
    <t>SOLEDAD NORTE 171</t>
  </si>
  <si>
    <t>SOLEDAD NORTE 172</t>
  </si>
  <si>
    <t>SOLEDAD NORTE 174</t>
  </si>
  <si>
    <t>SOLEDAD NORTE 176</t>
  </si>
  <si>
    <t>SOLEDAD NORTE 178</t>
  </si>
  <si>
    <t>SOLEDAD NORTE 18</t>
  </si>
  <si>
    <t>SOLEDAD NORTE 181</t>
  </si>
  <si>
    <t>SOLEDAD NORTE 182</t>
  </si>
  <si>
    <t>SOLEDAD NORTE 183</t>
  </si>
  <si>
    <t>SOLEDAD NORTE 184</t>
  </si>
  <si>
    <t>SOLEDAD NORTE 185</t>
  </si>
  <si>
    <t>SOLEDAD NORTE 186</t>
  </si>
  <si>
    <t>SOLEDAD NORTE 187</t>
  </si>
  <si>
    <t>SOLEDAD NORTE 188</t>
  </si>
  <si>
    <t>SOLEDAD NORTE 189</t>
  </si>
  <si>
    <t>SOLEDAD NORTE 19</t>
  </si>
  <si>
    <t>SOLEDAD NORTE 190</t>
  </si>
  <si>
    <t>SOLEDAD NORTE 194</t>
  </si>
  <si>
    <t>SOLEDAD NORTE 195</t>
  </si>
  <si>
    <t>SOLEDAD NORTE 196</t>
  </si>
  <si>
    <t>SOLEDAD NORTE 198</t>
  </si>
  <si>
    <t>SOLEDAD NORTE 201</t>
  </si>
  <si>
    <t>SOLEDAD NORTE 202</t>
  </si>
  <si>
    <t>SOLEDAD NORTE 203</t>
  </si>
  <si>
    <t>GALLO 204</t>
  </si>
  <si>
    <t>SOLEDAD NORTE 205</t>
  </si>
  <si>
    <t>SOLEDAD NORTE 206</t>
  </si>
  <si>
    <t>SOLEDAD NORTE 207</t>
  </si>
  <si>
    <t>SOLEDAD NORTE 209</t>
  </si>
  <si>
    <t>SOLEDAD NORTE 211</t>
  </si>
  <si>
    <t>SOLEDAD NORTE 212</t>
  </si>
  <si>
    <t>SOLEDAD NORTE 217</t>
  </si>
  <si>
    <t>SOLEDAD NORTE 219</t>
  </si>
  <si>
    <t>SOLEDAD NORTE 221</t>
  </si>
  <si>
    <t>SOLEDAD NORTE 222</t>
  </si>
  <si>
    <t>SOLEDAD NORTE 223</t>
  </si>
  <si>
    <t>SOLEDAD NORTE 224</t>
  </si>
  <si>
    <t>SOLEDAD NORTE 225</t>
  </si>
  <si>
    <t>SOLEDAD NORTE 226</t>
  </si>
  <si>
    <t>SOLEDAD NORTE 227</t>
  </si>
  <si>
    <t>SOLEDAD NORTE 228</t>
  </si>
  <si>
    <t>SOLEDAD NORTE 229</t>
  </si>
  <si>
    <t>SOLEDAD NORTE 23</t>
  </si>
  <si>
    <t>SOLEDAD NORTE 231</t>
  </si>
  <si>
    <t>SOLEDAD NORTE 232</t>
  </si>
  <si>
    <t>SOLEDAD NORTE 233</t>
  </si>
  <si>
    <t>SOLEDAD NORTE 24</t>
  </si>
  <si>
    <t>SOLEDAD NORTE 241</t>
  </si>
  <si>
    <t>SOLEDAD NORTE 242</t>
  </si>
  <si>
    <t>SOLEDAD NORTE 243</t>
  </si>
  <si>
    <t>SOLEDAD NORTE 244</t>
  </si>
  <si>
    <t>SOLEDAD NORTE 245</t>
  </si>
  <si>
    <t>SOLEDAD NORTE 246</t>
  </si>
  <si>
    <t>SOLEDAD NORTE 247</t>
  </si>
  <si>
    <t>SOLEDAD NORTE 248</t>
  </si>
  <si>
    <t>SOLEDAD NORTE 249</t>
  </si>
  <si>
    <t>SOLEDAD NORTE 25</t>
  </si>
  <si>
    <t>SOLEDAD NORTE 251</t>
  </si>
  <si>
    <t>SOLEDAD NORTE 252</t>
  </si>
  <si>
    <t>SOLEDAD NORTE 26</t>
  </si>
  <si>
    <t>SOLEDAD NORTE 261</t>
  </si>
  <si>
    <t>SOLEDAD NORTE 262</t>
  </si>
  <si>
    <t>SOLEDAD NORTE 263</t>
  </si>
  <si>
    <t>SOLEDAD NORTE 264</t>
  </si>
  <si>
    <t>SOLEDAD NORTE 265</t>
  </si>
  <si>
    <t>SOLEDAD NORTE 266</t>
  </si>
  <si>
    <t>SOLEDAD NORTE 267</t>
  </si>
  <si>
    <t>SOLEDAD NORTE 268</t>
  </si>
  <si>
    <t>SOLEDAD NORTE 269</t>
  </si>
  <si>
    <t>SOLEDAD NORTE 271</t>
  </si>
  <si>
    <t>SOLEDAD NORTE 2710</t>
  </si>
  <si>
    <t>SOLEDAD NORTE 272</t>
  </si>
  <si>
    <t>SOLEDAD NORTE 277</t>
  </si>
  <si>
    <t>SOLEDAD NORTE 28</t>
  </si>
  <si>
    <t>SOLEDAD NORTE 281</t>
  </si>
  <si>
    <t>SOLEDAD NORTE 282</t>
  </si>
  <si>
    <t>SOLEDAD NORTE 283</t>
  </si>
  <si>
    <t>SOLEDAD NORTE 284</t>
  </si>
  <si>
    <t>SOLEDAD NORTE 285</t>
  </si>
  <si>
    <t>SOLEDAD NORTE 286</t>
  </si>
  <si>
    <t>SOLEDAD NORTE 287</t>
  </si>
  <si>
    <t>SOLEDAD NORTE 288</t>
  </si>
  <si>
    <t>SOLEDAD NORTE 289</t>
  </si>
  <si>
    <t>SOLEDAD NORTE 291</t>
  </si>
  <si>
    <t>SOLEDAD NORTE 293</t>
  </si>
  <si>
    <t>SOLEDAD NORTE 2930</t>
  </si>
  <si>
    <t>SOLEDAD NORTE 294</t>
  </si>
  <si>
    <t>SOLEDAD NORTE 296</t>
  </si>
  <si>
    <t>SOLEDAD NORTE 298</t>
  </si>
  <si>
    <t>SOLEDAD NORTE 3</t>
  </si>
  <si>
    <t>SOLEDAD NORTE 31</t>
  </si>
  <si>
    <t>SOLEDAD NORTE 301</t>
  </si>
  <si>
    <t>SOLEDAD NORTE 302</t>
  </si>
  <si>
    <t>SOLEDAD NORTE 303</t>
  </si>
  <si>
    <t>SOLEDAD NORTE 306</t>
  </si>
  <si>
    <t>SOLEDAD NORTE 311</t>
  </si>
  <si>
    <t>SOLEDAD NORTE 312</t>
  </si>
  <si>
    <t>SOLEDAD NORTE 313</t>
  </si>
  <si>
    <t>SOLEDAD NORTE 316</t>
  </si>
  <si>
    <t>SOLEDAD NORTE 318</t>
  </si>
  <si>
    <t>SOLEDAD NORTE 32</t>
  </si>
  <si>
    <t>SOLEDAD NORTE 33</t>
  </si>
  <si>
    <t>SOLEDAD NORTE 331</t>
  </si>
  <si>
    <t>SOLEDAD NORTE 332</t>
  </si>
  <si>
    <t>SOLEDAD NORTE 333</t>
  </si>
  <si>
    <t>SOLEDAD NORTE 334</t>
  </si>
  <si>
    <t>SOLEDAD NORTE 336</t>
  </si>
  <si>
    <t>SOLEDAD NORTE 338</t>
  </si>
  <si>
    <t>SOLEDAD NORTE 339</t>
  </si>
  <si>
    <t>SOLEDAD NORTE 34</t>
  </si>
  <si>
    <t>SOLEDAD NORTE 35</t>
  </si>
  <si>
    <t>SOLEDAD NORTE 352</t>
  </si>
  <si>
    <t>SOLEDAD NORTE 353</t>
  </si>
  <si>
    <t>SOLEDAD NORTE 354</t>
  </si>
  <si>
    <t>SOLEDAD NORTE 356</t>
  </si>
  <si>
    <t>SOLEDAD NORTE 358</t>
  </si>
  <si>
    <t>SOLEDAD NORTE 36</t>
  </si>
  <si>
    <t>SOLEDAD NORTE 37</t>
  </si>
  <si>
    <t>SOLEDAD NORTE 372</t>
  </si>
  <si>
    <t>SOLEDAD NORTE 374</t>
  </si>
  <si>
    <t>SOLEDAD NORTE 375</t>
  </si>
  <si>
    <t>SOLEDAD NORTE 376</t>
  </si>
  <si>
    <t>SOLEDAD NORTE 377</t>
  </si>
  <si>
    <t>SOLEDAD NORTE 378</t>
  </si>
  <si>
    <t>SOLEDAD NORTE 379</t>
  </si>
  <si>
    <t>SOLEDAD NORTE 38</t>
  </si>
  <si>
    <t>SOLEDAD NORTE 39</t>
  </si>
  <si>
    <t>SOLEDAD NORTE 394</t>
  </si>
  <si>
    <t>SOLEDAD NORTE 395</t>
  </si>
  <si>
    <t>SOLEDAD NORTE 396</t>
  </si>
  <si>
    <t>SOLEDAD NORTE 397</t>
  </si>
  <si>
    <t>SOLEDAD NORTE 398</t>
  </si>
  <si>
    <t>SOLEDAD NORTE 399</t>
  </si>
  <si>
    <t>SOLEDAD NORTE 43</t>
  </si>
  <si>
    <t>SOLEDAD NORTE 44</t>
  </si>
  <si>
    <t>SOLEDAD NORTE 46</t>
  </si>
  <si>
    <t>SOLEDAD NORTE 5</t>
  </si>
  <si>
    <t>SOLEDAD NORTE 53</t>
  </si>
  <si>
    <t>SOLEDAD NORTE 55</t>
  </si>
  <si>
    <t>SOLEDAD NORTE 57</t>
  </si>
  <si>
    <t>SOLEDAD NORTE 6</t>
  </si>
  <si>
    <t>SOLEDAD NORTE 63</t>
  </si>
  <si>
    <t>SOLEDAD NORTE 66</t>
  </si>
  <si>
    <t>SOLEDAD NORTE 68</t>
  </si>
  <si>
    <t>SOLEDAD NORTE 7</t>
  </si>
  <si>
    <t>SOLEDAD NORTE 72</t>
  </si>
  <si>
    <t>SOLEDAD NORTE 73</t>
  </si>
  <si>
    <t>SOLEDAD NORTE 74</t>
  </si>
  <si>
    <t>SOLEDAD NORTE 75</t>
  </si>
  <si>
    <t>SOLEDAD NORTE 76</t>
  </si>
  <si>
    <t>SOLEDAD NORTE 77</t>
  </si>
  <si>
    <t>SOLEDAD NORTE 79</t>
  </si>
  <si>
    <t>SOLEDAD NORTE 8</t>
  </si>
  <si>
    <t>SOLEDAD NORTE 88</t>
  </si>
  <si>
    <t>SOLEDAD NORTE 91</t>
  </si>
  <si>
    <t>SOLEDAD NORTE 92</t>
  </si>
  <si>
    <t>SOLEDAD NORTE 93</t>
  </si>
  <si>
    <t>SOLEDAD NORTE 95</t>
  </si>
  <si>
    <t>SOLEDAD NORTE 96</t>
  </si>
  <si>
    <t>SOLEDAD NORTE 97</t>
  </si>
  <si>
    <t>SOLEDAD NORTE 98</t>
  </si>
  <si>
    <t>SOLEDAD NORTE 99</t>
  </si>
  <si>
    <t>IDENTIFICAR</t>
  </si>
  <si>
    <t>ACTIVIDAD O REFACCIONES</t>
  </si>
  <si>
    <t>MANTENIMIENTO</t>
  </si>
  <si>
    <t>REFACCIONES</t>
  </si>
  <si>
    <t>MECANICO</t>
  </si>
  <si>
    <t xml:space="preserve">TOTAL </t>
  </si>
  <si>
    <t>SOLEDAD 693H</t>
  </si>
  <si>
    <t>COYOTES 123</t>
  </si>
  <si>
    <t>COYOTES 125</t>
  </si>
  <si>
    <t>COYOTES 143</t>
  </si>
  <si>
    <t>COYOTES 141</t>
  </si>
  <si>
    <t>COYOTES 145</t>
  </si>
  <si>
    <t>COYOTES 146</t>
  </si>
  <si>
    <t>COYOTES 161</t>
  </si>
  <si>
    <t>COYOTES 162</t>
  </si>
  <si>
    <t>COYOTES 163</t>
  </si>
  <si>
    <t>COYOTES 164</t>
  </si>
  <si>
    <t>COYOTES 166</t>
  </si>
  <si>
    <t>COYOTES 168D</t>
  </si>
  <si>
    <t>COYOTES 182</t>
  </si>
  <si>
    <t>COYOTES 184</t>
  </si>
  <si>
    <t>COYOTES 186</t>
  </si>
  <si>
    <t>COYOTES 188</t>
  </si>
  <si>
    <t>COYOTES 47</t>
  </si>
  <si>
    <t>COYOTES 69</t>
  </si>
  <si>
    <t>COYOTES 81</t>
  </si>
  <si>
    <t>GALLO 392</t>
  </si>
  <si>
    <t>MODULO III</t>
  </si>
  <si>
    <t>SOLEDAD 102</t>
  </si>
  <si>
    <t>SOLEDAD NORTE 94</t>
  </si>
  <si>
    <t xml:space="preserve">TOTAL POR MECANICO </t>
  </si>
  <si>
    <t>MANTENIMIENTOS</t>
  </si>
  <si>
    <t>MECANICOS</t>
  </si>
  <si>
    <t>A</t>
  </si>
  <si>
    <t>CARLOS HERNANDEZ / ISAI GONZALEZ</t>
  </si>
  <si>
    <t>TOTAL DE ACEITE DE RELLENOS</t>
  </si>
  <si>
    <t>B</t>
  </si>
  <si>
    <t>ANGEL PEREZ CASTAÑEDA</t>
  </si>
  <si>
    <t>SAUL LARA FLORES</t>
  </si>
  <si>
    <t>HECTOR DANIEL ZALETA TELLEZ</t>
  </si>
  <si>
    <t>TOTAL DE ACEITE POR COBRAR</t>
  </si>
  <si>
    <t>SOLEDAD NORTE 2711</t>
  </si>
  <si>
    <t>SOLEDAD NORTE 2712</t>
  </si>
  <si>
    <t>MEC-3</t>
  </si>
  <si>
    <t>RESTABLECIMIENTO DE MCI (ACEITE)</t>
  </si>
  <si>
    <t>GALLO  358</t>
  </si>
  <si>
    <t>SOLEDAD 679</t>
  </si>
  <si>
    <t>MXN</t>
  </si>
  <si>
    <t>USD</t>
  </si>
  <si>
    <r>
      <rPr>
        <b/>
        <sz val="10"/>
        <color theme="1"/>
        <rFont val="Calibri"/>
        <family val="2"/>
        <scheme val="minor"/>
      </rPr>
      <t>ACEITE SAE-50</t>
    </r>
    <r>
      <rPr>
        <sz val="10"/>
        <color theme="1"/>
        <rFont val="Calibri"/>
        <family val="2"/>
        <scheme val="minor"/>
      </rPr>
      <t xml:space="preserve"> PARA MOTOR ARROW Y VORTEC V6 O V8</t>
    </r>
  </si>
  <si>
    <t>TOTEM</t>
  </si>
  <si>
    <t>LUBRICACION DE VALVULA</t>
  </si>
  <si>
    <t>INSTRUMENTO</t>
  </si>
  <si>
    <t>LUBRICACION DE VALVULA DE POZO</t>
  </si>
  <si>
    <t>LUBRICACION DE VALVULAS DE POZO</t>
  </si>
  <si>
    <t>MEC-2</t>
  </si>
  <si>
    <t>MONT-MEC1</t>
  </si>
  <si>
    <t>MANTENIMIENTO SEMESTRAL A MCI ARROW</t>
  </si>
  <si>
    <t>MANTENIMIENTO SEMESTRAL A UBM WTF</t>
  </si>
  <si>
    <t>MANTENIMIENTO SEMESTRAL A MCI VORTEC V8</t>
  </si>
  <si>
    <t>MANTENIMIENTO SEMESTRAL A MCI</t>
  </si>
  <si>
    <t>MEC-4</t>
  </si>
  <si>
    <t>MANTENIMIENTO SEMESTRAL  A UBM WTF</t>
  </si>
  <si>
    <t>MANTENIMIENTO BIMESTRAL A MCI ARROW</t>
  </si>
  <si>
    <t>MEC-1</t>
  </si>
  <si>
    <t>MANTENIMIENTO BIMESTRAL A UBM WTF</t>
  </si>
  <si>
    <t>REEMPLAZO DE BOMBA DE AGUA</t>
  </si>
  <si>
    <t>INSTR</t>
  </si>
  <si>
    <t>RESTABLECIMIENTO(ANTICONGELANTE)</t>
  </si>
  <si>
    <t>REEMPLAZO DE BANDAS TIPO(BANDAS C-125)</t>
  </si>
  <si>
    <t>MANTENIMIENTO SEMESTRAL A UBM LUFKIN</t>
  </si>
  <si>
    <t>RESTABLECIMIENTO DE MCI ARROW (BOMBA DE AGUA)</t>
  </si>
  <si>
    <t>RESTABLECIMIENTO DE MCI ARROW (ANTICONGELANTE)</t>
  </si>
  <si>
    <t>RESTABLECIMIENTO MCI ARROW (BANDAS C-144)</t>
  </si>
  <si>
    <t>INSTALACION DE RETEN TRASERO A MCI ARROW</t>
  </si>
  <si>
    <t>MONTAJE</t>
  </si>
  <si>
    <t>INSPECCIÓN DE NIVELES(MARCHA)</t>
  </si>
  <si>
    <t>INSPECCION DE MCI(ANTICONGELANTE)</t>
  </si>
  <si>
    <t>RESTABLECIMIENTO DE MCI(ANTICONGELANTE)</t>
  </si>
  <si>
    <t>RESTABLECIMIENTO DE MCI(ALTERNADOR REP.)</t>
  </si>
  <si>
    <t>MANTENIMIENTO SEMESTRAL A MCI(ACEITE,FILTRO,BUJIAS,CABLES,GRASA)</t>
  </si>
  <si>
    <t>MANTTO SEMESTRAL A MCI Y UBM(ACEITE,FILTRO,BUJIAS,CABLES,GRASA)</t>
  </si>
  <si>
    <t>MANTTO BIM A MCI Y UBM(ACEITE,FILTRO,BUJIAS)</t>
  </si>
  <si>
    <t>MANTTO SEMESTRAL (FILTRO, CABLES, BUIAS, ACEITE)</t>
  </si>
  <si>
    <t>MANTTO SEMESTRAL A UBM LUFKIN</t>
  </si>
  <si>
    <t>MANTENIMIENTO SEMESTRAL A MCI WECHAI</t>
  </si>
  <si>
    <t>MANTTO BIMESTRAL A MCI ARROW (FILTRO, BUJIAS)</t>
  </si>
  <si>
    <t>MANTTO BIMESTRAL A UBM LUFKIN</t>
  </si>
  <si>
    <t>MANTTO SEMESTRAL A MCI ARROW (FILTRO, BUJIAS, CABLES)</t>
  </si>
  <si>
    <t>MANTTO SEMESTRAL A UBM WTF</t>
  </si>
  <si>
    <t>MANTTO SEMESTRAL A MCI ARROW (FILTRO, CABLES, BUJIA)</t>
  </si>
  <si>
    <t>RESTABLECIMIENTO A MCI VORTEC V8 (CAMBIO DE BANDA)</t>
  </si>
  <si>
    <t>DAMIAN HERNANDEZ</t>
  </si>
  <si>
    <t>N/A</t>
  </si>
  <si>
    <t>MANTENIMIENTO BIM A MCI WEICHAI(ACEITE)</t>
  </si>
  <si>
    <t>MANTTO SEM A UBM Y MCI(ACEITE,FILTRO,BUJIAS,CABLESGRASA)</t>
  </si>
  <si>
    <t>MANTTO SEMESTRAL A MCI Y UBM(ACEITE,FILTRO,CABLES,BUJIAS,GRASA)</t>
  </si>
  <si>
    <t>RESTABLECIMIENTO DE MCI ARROW(ALTERNADOR)</t>
  </si>
  <si>
    <t>RESTABLECIMIENTO DE MCI(BANDAS C-125)</t>
  </si>
  <si>
    <t>RESTABLECIMIENTO DE MCI(BANDA VORTEC, POLEA LOCA)</t>
  </si>
  <si>
    <t>INSPECION DE NIVELES A MCI(ANTICONGELANTE)</t>
  </si>
  <si>
    <t xml:space="preserve">MANTENIMIENTO SEMESTRAL A MCI ARROW Y UBM </t>
  </si>
  <si>
    <t xml:space="preserve">MANTENIMIENTO SEMESTRAL  A MCI Y UBM </t>
  </si>
  <si>
    <t>RESTABLECIMIENTO DE MCI(BOMBA DE AGUA,BANDA ALTERNADOR, ANTICON)</t>
  </si>
  <si>
    <t>RESTABLECIMIENTO(ANTICONGELANTE,BOMBA DE AGUA GARANTIA)</t>
  </si>
  <si>
    <t>RESTABLECIMIENTO DE MCI WEICHAI (ALTERNADOR)</t>
  </si>
  <si>
    <t>RESTABLECIMIENTO DE MCI ARROW(MARCHA)</t>
  </si>
  <si>
    <t>INSPECCION DE NIVELES A MCI(BANDAS C-144)</t>
  </si>
  <si>
    <t>RESTABLECIMIENTO DE MCI ARROW (ALTERNADOR)</t>
  </si>
  <si>
    <t>RESTABLECIMIENTO DE MCI ARROW(ANTICONGELANTE)</t>
  </si>
  <si>
    <t>RESTABLECIMIENTO DE MCI VORTEC V8(ANTICONGELANTE)</t>
  </si>
  <si>
    <t xml:space="preserve">CONVENCIONAL </t>
  </si>
  <si>
    <t>RESTABLECIMIENTO DE MCI ARROW(BOMBA DE AGUA, ANTICONGELANTE)</t>
  </si>
  <si>
    <t>RESTABLECIMIENTO DE MCI ARROW(RADIADOR, ANTICONGELANTE)</t>
  </si>
  <si>
    <t>HABILITADO DE MCI ARROW(BALERO PILOTO)</t>
  </si>
  <si>
    <t xml:space="preserve">MONTAJE </t>
  </si>
  <si>
    <t>CAMBIO DE MOTOR ARROW(ANTICONGELANTE)</t>
  </si>
  <si>
    <t>MONTA</t>
  </si>
  <si>
    <t xml:space="preserve">BATERIA SOLEDAD NORTE </t>
  </si>
  <si>
    <t>RESTABLECIMIENTO DE MCI(2 BANDAS C-125), SE COBRARAN BAND LARGAS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</si>
</sst>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_-&quot;$&quot;* #,##0.00_-;\-&quot;$&quot;* #,##0.00_-;_-&quot;$&quot;* &quot;-&quot;??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haroni"/>
      <charset val="177"/>
    </font>
    <font>
      <b/>
      <sz val="11"/>
      <name val="Arial Narrow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theme="8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44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9"/>
      </top>
      <bottom/>
      <diagonal/>
    </border>
    <border>
      <left style="thin">
        <color rgb="FFABABAB"/>
      </left>
      <right/>
      <top style="thin">
        <color indexed="9"/>
      </top>
      <bottom style="thin">
        <color rgb="FFABABAB"/>
      </bottom>
      <diagonal/>
    </border>
    <border>
      <left style="thin">
        <color indexed="9"/>
      </left>
      <right/>
      <top style="thin">
        <color indexed="9"/>
      </top>
      <bottom style="thin">
        <color rgb="FFABABAB"/>
      </bottom>
      <diagonal/>
    </border>
    <border>
      <left style="thin">
        <color indexed="9"/>
      </left>
      <right style="thin">
        <color rgb="FFABABAB"/>
      </right>
      <top style="thin">
        <color indexed="9"/>
      </top>
      <bottom style="thin">
        <color rgb="FFABABAB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21" fillId="0" borderId="0"/>
    <xf numFmtId="0" fontId="21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</cellStyleXfs>
  <cellXfs count="164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164" fontId="0" fillId="3" borderId="4" xfId="0" applyNumberFormat="1" applyFill="1" applyBorder="1" applyAlignment="1">
      <alignment horizontal="left"/>
    </xf>
    <xf numFmtId="0" fontId="2" fillId="4" borderId="5" xfId="0" applyFont="1" applyFill="1" applyBorder="1"/>
    <xf numFmtId="0" fontId="0" fillId="5" borderId="6" xfId="0" applyFill="1" applyBorder="1"/>
    <xf numFmtId="0" fontId="0" fillId="0" borderId="7" xfId="0" applyBorder="1"/>
    <xf numFmtId="0" fontId="0" fillId="0" borderId="6" xfId="0" applyBorder="1"/>
    <xf numFmtId="164" fontId="0" fillId="6" borderId="4" xfId="0" applyNumberFormat="1" applyFill="1" applyBorder="1" applyAlignment="1">
      <alignment horizontal="left"/>
    </xf>
    <xf numFmtId="0" fontId="7" fillId="7" borderId="8" xfId="0" applyFont="1" applyFill="1" applyBorder="1" applyAlignment="1">
      <alignment horizontal="left" wrapText="1"/>
    </xf>
    <xf numFmtId="0" fontId="8" fillId="7" borderId="8" xfId="0" applyFont="1" applyFill="1" applyBorder="1" applyAlignment="1">
      <alignment horizontal="center" wrapText="1"/>
    </xf>
    <xf numFmtId="0" fontId="7" fillId="7" borderId="8" xfId="0" applyFont="1" applyFill="1" applyBorder="1" applyAlignment="1">
      <alignment horizontal="center" wrapText="1"/>
    </xf>
    <xf numFmtId="0" fontId="7" fillId="7" borderId="8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9" fillId="8" borderId="8" xfId="0" applyFont="1" applyFill="1" applyBorder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0" fontId="10" fillId="0" borderId="8" xfId="0" applyFont="1" applyBorder="1" applyAlignment="1">
      <alignment horizontal="center" vertical="center" wrapText="1"/>
    </xf>
    <xf numFmtId="0" fontId="11" fillId="0" borderId="8" xfId="0" applyFont="1" applyBorder="1"/>
    <xf numFmtId="0" fontId="8" fillId="0" borderId="0" xfId="0" applyFont="1" applyAlignment="1">
      <alignment horizontal="center" vertical="center" wrapText="1"/>
    </xf>
    <xf numFmtId="0" fontId="7" fillId="9" borderId="0" xfId="0" applyFont="1" applyFill="1" applyAlignment="1">
      <alignment horizontal="left" wrapText="1"/>
    </xf>
    <xf numFmtId="0" fontId="13" fillId="9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9" borderId="0" xfId="0" applyFill="1" applyAlignment="1">
      <alignment horizontal="center" wrapText="1"/>
    </xf>
    <xf numFmtId="14" fontId="7" fillId="9" borderId="0" xfId="0" applyNumberFormat="1" applyFont="1" applyFill="1" applyAlignment="1">
      <alignment horizontal="left" wrapText="1"/>
    </xf>
    <xf numFmtId="0" fontId="7" fillId="9" borderId="0" xfId="0" applyFont="1" applyFill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1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44" fontId="4" fillId="0" borderId="0" xfId="1" applyFont="1" applyBorder="1" applyAlignment="1">
      <alignment horizontal="center" wrapText="1"/>
    </xf>
    <xf numFmtId="44" fontId="4" fillId="9" borderId="0" xfId="1" applyFont="1" applyFill="1" applyBorder="1" applyAlignment="1">
      <alignment wrapText="1"/>
    </xf>
    <xf numFmtId="44" fontId="4" fillId="11" borderId="8" xfId="1" applyFont="1" applyFill="1" applyBorder="1" applyAlignment="1">
      <alignment wrapText="1"/>
    </xf>
    <xf numFmtId="165" fontId="4" fillId="0" borderId="0" xfId="1" applyNumberFormat="1" applyFont="1" applyBorder="1" applyAlignment="1">
      <alignment horizontal="center" wrapText="1"/>
    </xf>
    <xf numFmtId="14" fontId="14" fillId="9" borderId="0" xfId="0" applyNumberFormat="1" applyFont="1" applyFill="1" applyAlignment="1">
      <alignment horizontal="left" wrapText="1"/>
    </xf>
    <xf numFmtId="44" fontId="4" fillId="10" borderId="8" xfId="1" applyFont="1" applyFill="1" applyBorder="1" applyAlignment="1">
      <alignment horizontal="center" wrapText="1"/>
    </xf>
    <xf numFmtId="0" fontId="0" fillId="8" borderId="0" xfId="0" applyFill="1"/>
    <xf numFmtId="0" fontId="0" fillId="9" borderId="0" xfId="0" applyFill="1"/>
    <xf numFmtId="0" fontId="11" fillId="0" borderId="0" xfId="0" applyFont="1" applyAlignment="1">
      <alignment horizontal="center" vertical="center" wrapText="1"/>
    </xf>
    <xf numFmtId="0" fontId="7" fillId="9" borderId="0" xfId="0" applyFont="1" applyFill="1"/>
    <xf numFmtId="0" fontId="8" fillId="0" borderId="0" xfId="0" applyFont="1" applyAlignment="1">
      <alignment horizontal="left" vertical="center" wrapText="1"/>
    </xf>
    <xf numFmtId="14" fontId="8" fillId="0" borderId="0" xfId="0" applyNumberFormat="1" applyFont="1" applyAlignment="1">
      <alignment horizontal="center" vertical="center" wrapText="1"/>
    </xf>
    <xf numFmtId="0" fontId="15" fillId="11" borderId="8" xfId="0" applyFont="1" applyFill="1" applyBorder="1" applyAlignment="1">
      <alignment horizontal="center" vertical="center"/>
    </xf>
    <xf numFmtId="0" fontId="16" fillId="12" borderId="8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/>
    </xf>
    <xf numFmtId="0" fontId="5" fillId="13" borderId="13" xfId="0" applyFont="1" applyFill="1" applyBorder="1"/>
    <xf numFmtId="0" fontId="5" fillId="8" borderId="16" xfId="0" applyFont="1" applyFill="1" applyBorder="1" applyAlignment="1">
      <alignment horizontal="center" vertical="center" wrapText="1"/>
    </xf>
    <xf numFmtId="0" fontId="18" fillId="13" borderId="17" xfId="0" applyFont="1" applyFill="1" applyBorder="1" applyAlignment="1">
      <alignment horizontal="center" vertical="center" wrapText="1"/>
    </xf>
    <xf numFmtId="0" fontId="5" fillId="13" borderId="16" xfId="0" applyFont="1" applyFill="1" applyBorder="1" applyAlignment="1">
      <alignment horizontal="center" vertical="center" wrapText="1"/>
    </xf>
    <xf numFmtId="0" fontId="5" fillId="13" borderId="17" xfId="0" applyFont="1" applyFill="1" applyBorder="1" applyAlignment="1">
      <alignment horizontal="center" vertical="center" wrapText="1"/>
    </xf>
    <xf numFmtId="0" fontId="5" fillId="13" borderId="18" xfId="0" applyFont="1" applyFill="1" applyBorder="1" applyAlignment="1">
      <alignment horizontal="center" vertical="center" wrapText="1"/>
    </xf>
    <xf numFmtId="0" fontId="5" fillId="13" borderId="19" xfId="0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5" fillId="9" borderId="8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left" vertical="center"/>
    </xf>
    <xf numFmtId="0" fontId="1" fillId="0" borderId="2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10" borderId="14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8" fillId="10" borderId="14" xfId="0" applyFont="1" applyFill="1" applyBorder="1" applyAlignment="1">
      <alignment horizontal="left" vertical="center"/>
    </xf>
    <xf numFmtId="0" fontId="1" fillId="9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5" fillId="10" borderId="14" xfId="0" applyFont="1" applyFill="1" applyBorder="1" applyAlignment="1">
      <alignment horizontal="left" vertical="top" wrapText="1"/>
    </xf>
    <xf numFmtId="0" fontId="18" fillId="10" borderId="14" xfId="0" applyFont="1" applyFill="1" applyBorder="1" applyAlignment="1">
      <alignment horizontal="left" vertical="top" wrapText="1"/>
    </xf>
    <xf numFmtId="0" fontId="5" fillId="10" borderId="14" xfId="0" applyFont="1" applyFill="1" applyBorder="1" applyAlignment="1">
      <alignment horizontal="left" vertical="center"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5" fillId="10" borderId="33" xfId="0" applyFont="1" applyFill="1" applyBorder="1" applyAlignment="1">
      <alignment horizontal="left" vertical="center"/>
    </xf>
    <xf numFmtId="0" fontId="0" fillId="14" borderId="0" xfId="0" applyFill="1"/>
    <xf numFmtId="0" fontId="1" fillId="0" borderId="0" xfId="0" applyFont="1"/>
    <xf numFmtId="0" fontId="1" fillId="0" borderId="8" xfId="0" applyFont="1" applyBorder="1"/>
    <xf numFmtId="0" fontId="0" fillId="10" borderId="8" xfId="0" applyFill="1" applyBorder="1" applyAlignment="1">
      <alignment horizontal="center" vertical="center"/>
    </xf>
    <xf numFmtId="0" fontId="19" fillId="9" borderId="37" xfId="0" applyFont="1" applyFill="1" applyBorder="1" applyAlignment="1">
      <alignment horizontal="center" vertical="center"/>
    </xf>
    <xf numFmtId="0" fontId="20" fillId="0" borderId="38" xfId="0" applyFont="1" applyBorder="1" applyAlignment="1">
      <alignment horizontal="left"/>
    </xf>
    <xf numFmtId="0" fontId="7" fillId="13" borderId="8" xfId="0" applyFont="1" applyFill="1" applyBorder="1" applyAlignment="1">
      <alignment horizontal="left" vertical="center" wrapText="1"/>
    </xf>
    <xf numFmtId="0" fontId="0" fillId="13" borderId="8" xfId="0" applyFill="1" applyBorder="1" applyAlignment="1">
      <alignment horizontal="center" vertical="center"/>
    </xf>
    <xf numFmtId="0" fontId="19" fillId="9" borderId="15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1" fillId="9" borderId="0" xfId="0" applyFont="1" applyFill="1"/>
    <xf numFmtId="0" fontId="0" fillId="0" borderId="39" xfId="0" applyBorder="1"/>
    <xf numFmtId="0" fontId="0" fillId="0" borderId="40" xfId="0" applyBorder="1"/>
    <xf numFmtId="0" fontId="1" fillId="0" borderId="0" xfId="0" applyFont="1" applyAlignment="1">
      <alignment wrapText="1"/>
    </xf>
    <xf numFmtId="0" fontId="0" fillId="0" borderId="12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16" borderId="0" xfId="0" applyFill="1"/>
    <xf numFmtId="0" fontId="1" fillId="13" borderId="0" xfId="0" applyFont="1" applyFill="1"/>
    <xf numFmtId="0" fontId="0" fillId="0" borderId="42" xfId="0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/>
    </xf>
    <xf numFmtId="9" fontId="8" fillId="0" borderId="8" xfId="2" applyFont="1" applyFill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14" fontId="8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8" fillId="0" borderId="8" xfId="0" applyFont="1" applyBorder="1" applyAlignment="1">
      <alignment horizontal="left" vertical="center" wrapText="1"/>
    </xf>
    <xf numFmtId="14" fontId="0" fillId="0" borderId="8" xfId="0" applyNumberForma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16" fontId="11" fillId="0" borderId="8" xfId="0" applyNumberFormat="1" applyFont="1" applyBorder="1" applyAlignment="1">
      <alignment horizontal="center" vertical="center" wrapText="1"/>
    </xf>
    <xf numFmtId="14" fontId="11" fillId="0" borderId="8" xfId="0" applyNumberFormat="1" applyFont="1" applyBorder="1" applyAlignment="1">
      <alignment horizontal="center" vertical="center" wrapText="1"/>
    </xf>
    <xf numFmtId="0" fontId="8" fillId="0" borderId="8" xfId="0" quotePrefix="1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16" fontId="8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wrapText="1"/>
    </xf>
    <xf numFmtId="14" fontId="10" fillId="0" borderId="8" xfId="0" applyNumberFormat="1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 vertical="center"/>
    </xf>
    <xf numFmtId="0" fontId="10" fillId="0" borderId="8" xfId="0" quotePrefix="1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14" fontId="8" fillId="0" borderId="10" xfId="0" applyNumberFormat="1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14" fontId="14" fillId="9" borderId="12" xfId="0" applyNumberFormat="1" applyFont="1" applyFill="1" applyBorder="1" applyAlignment="1">
      <alignment horizontal="left" wrapText="1"/>
    </xf>
    <xf numFmtId="0" fontId="10" fillId="0" borderId="8" xfId="0" applyFont="1" applyBorder="1" applyAlignment="1">
      <alignment horizontal="left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1" xfId="0" applyFont="1" applyBorder="1"/>
    <xf numFmtId="0" fontId="5" fillId="10" borderId="43" xfId="0" applyFont="1" applyFill="1" applyBorder="1" applyAlignment="1">
      <alignment horizontal="left" vertical="center"/>
    </xf>
    <xf numFmtId="0" fontId="5" fillId="10" borderId="8" xfId="0" applyFont="1" applyFill="1" applyBorder="1" applyAlignment="1">
      <alignment horizontal="left" vertical="center"/>
    </xf>
    <xf numFmtId="0" fontId="1" fillId="8" borderId="13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15" fillId="11" borderId="8" xfId="0" applyFont="1" applyFill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7" fillId="10" borderId="8" xfId="0" applyFont="1" applyFill="1" applyBorder="1" applyAlignment="1">
      <alignment horizontal="center" vertical="center" wrapText="1"/>
    </xf>
    <xf numFmtId="0" fontId="16" fillId="15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/>
    </xf>
    <xf numFmtId="0" fontId="7" fillId="8" borderId="34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7" fillId="7" borderId="8" xfId="0" applyFont="1" applyFill="1" applyBorder="1" applyAlignment="1">
      <alignment horizontal="left" wrapText="1"/>
    </xf>
    <xf numFmtId="0" fontId="11" fillId="0" borderId="8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</cellXfs>
  <cellStyles count="8">
    <cellStyle name="Moneda" xfId="1" builtinId="4"/>
    <cellStyle name="Moneda 2" xfId="6" xr:uid="{00000000-0005-0000-0000-000001000000}"/>
    <cellStyle name="Moneda 2 2 2 2" xfId="7" xr:uid="{00000000-0005-0000-0000-000002000000}"/>
    <cellStyle name="Normal" xfId="0" builtinId="0"/>
    <cellStyle name="Normal 2" xfId="3" xr:uid="{00000000-0005-0000-0000-000004000000}"/>
    <cellStyle name="Normal 2 2 2" xfId="5" xr:uid="{00000000-0005-0000-0000-000005000000}"/>
    <cellStyle name="Normal 3" xfId="4" xr:uid="{00000000-0005-0000-0000-000006000000}"/>
    <cellStyle name="Porcentaje" xfId="2" builtinId="5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ogistico%20Soledad\Documents\REQUISIONES%20Y%20ORDEN%20DE%20COMPRA\2025\11%20NOVIEMBRE\SOPORTE%20DEL%20MES%20DE%20NOVIEMBRE\SOPORTE%20DEL%20MES%20DE%20NOVIEMBRE%202025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macen" refreshedDate="39814.242955671296" createdVersion="1" refreshedVersion="4" recordCount="280" xr:uid="{00000000-000A-0000-FFFF-FFFF03000000}">
  <cacheSource type="worksheet">
    <worksheetSource ref="B22:B301" sheet="ACEITE DE RELLENO NOV-2025" r:id="rId2"/>
  </cacheSource>
  <cacheFields count="1">
    <cacheField name="SOLEDAD 656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">
  <r>
    <s v="SOLEDAD 658"/>
  </r>
  <r>
    <s v="SOLEDAD 671"/>
  </r>
  <r>
    <s v="SOLEDAD 672"/>
  </r>
  <r>
    <s v="SOLEDAD 676"/>
  </r>
  <r>
    <s v="SOLEDAD 678"/>
  </r>
  <r>
    <s v="SOLEDAD 693H"/>
  </r>
  <r>
    <s v="SOLEDAD 694"/>
  </r>
  <r>
    <s v="SOLEDAD 695"/>
  </r>
  <r>
    <s v="SOLEDAD 696"/>
  </r>
  <r>
    <s v="SOLEDAD 697"/>
  </r>
  <r>
    <s v="SOLEDAD 738"/>
  </r>
  <r>
    <s v="SOLEDAD 774"/>
  </r>
  <r>
    <s v="SOLEDAD 794"/>
  </r>
  <r>
    <s v="SOLEDAD 796"/>
  </r>
  <r>
    <s v="SOLEDAD 84"/>
  </r>
  <r>
    <s v="SOLEDAD NORTE 301"/>
  </r>
  <r>
    <s v="SOLEDAD NORTE 303"/>
  </r>
  <r>
    <s v="SOLEDAD NORTE 306"/>
  </r>
  <r>
    <s v="SOLEDAD NORTE 339"/>
  </r>
  <r>
    <s v="ARAGON 159"/>
  </r>
  <r>
    <s v="ARAGON 189"/>
  </r>
  <r>
    <s v="ARAGON 67"/>
  </r>
  <r>
    <s v="BAT. PALO BLANCO"/>
  </r>
  <r>
    <s v="BAT. SOL. I "/>
  </r>
  <r>
    <s v="BAT. SOL. II"/>
  </r>
  <r>
    <s v="BAT. SOL. NORTE "/>
  </r>
  <r>
    <s v="COYOTES 123"/>
  </r>
  <r>
    <s v="COYOTES 125"/>
  </r>
  <r>
    <s v="SOLEDAD NORTE 302"/>
  </r>
  <r>
    <s v="COYOTES 143"/>
  </r>
  <r>
    <s v="COYOTES 141"/>
  </r>
  <r>
    <s v="COYOTES 145"/>
  </r>
  <r>
    <s v="COYOTES 146"/>
  </r>
  <r>
    <s v="COYOTES 161"/>
  </r>
  <r>
    <s v="COYOTES 162"/>
  </r>
  <r>
    <s v="COYOTES 163"/>
  </r>
  <r>
    <s v="COYOTES 164"/>
  </r>
  <r>
    <s v="COYOTES 166"/>
  </r>
  <r>
    <s v="COYOTES 168D"/>
  </r>
  <r>
    <s v="COYOTES 182"/>
  </r>
  <r>
    <s v="COYOTES 184"/>
  </r>
  <r>
    <s v="COYOTES 186"/>
  </r>
  <r>
    <s v="COYOTES 188"/>
  </r>
  <r>
    <s v="COYOTES 47"/>
  </r>
  <r>
    <s v="COYOTES 69"/>
  </r>
  <r>
    <s v="COYOTES 81"/>
  </r>
  <r>
    <s v="ESTACION DE COMPRESORAS -2 SUR"/>
  </r>
  <r>
    <s v="ESTACION DE COMPRESORAS SOLEDAD NORTE"/>
  </r>
  <r>
    <s v="GALLO 13"/>
  </r>
  <r>
    <s v="GALLO 204"/>
  </r>
  <r>
    <s v="GALLO 218"/>
  </r>
  <r>
    <s v="GALLO 336"/>
  </r>
  <r>
    <s v="GALLO 352"/>
  </r>
  <r>
    <s v="GALLO 356"/>
  </r>
  <r>
    <s v="GALLO 358"/>
  </r>
  <r>
    <s v="GALLO 372"/>
  </r>
  <r>
    <s v="GALLO 374"/>
  </r>
  <r>
    <s v="GALLO 376"/>
  </r>
  <r>
    <s v="GALLO 392"/>
  </r>
  <r>
    <s v="GALLO 396"/>
  </r>
  <r>
    <s v="GALLO 398"/>
  </r>
  <r>
    <s v="GUADALUPE 1"/>
  </r>
  <r>
    <s v="GUADALUPE 2"/>
  </r>
  <r>
    <s v="GUADALUPE 5"/>
  </r>
  <r>
    <s v="MODULO III"/>
  </r>
  <r>
    <s v="MODULO-I"/>
  </r>
  <r>
    <s v="MODULO-II"/>
  </r>
  <r>
    <s v="MODULO-IV"/>
  </r>
  <r>
    <s v="OPS (ALMACEN)"/>
  </r>
  <r>
    <s v="PALO BLANCO 109"/>
  </r>
  <r>
    <s v="PALO BLANCO 129"/>
  </r>
  <r>
    <s v="PALO BLANCO 142"/>
  </r>
  <r>
    <s v="PALO BLANCO 161"/>
  </r>
  <r>
    <s v="PALO BLANCO 162"/>
  </r>
  <r>
    <s v="PALO BLANCO 163"/>
  </r>
  <r>
    <s v="PALO BLANCO 208"/>
  </r>
  <r>
    <s v="PALO BLANCO 264"/>
  </r>
  <r>
    <s v="PALO BLANCO 2640"/>
  </r>
  <r>
    <s v="PALO BLANCO 266"/>
  </r>
  <r>
    <s v="PALO BLANCO 286"/>
  </r>
  <r>
    <s v="SOLEDAD 1019"/>
  </r>
  <r>
    <s v="SOLEDAD  NORTE 161"/>
  </r>
  <r>
    <s v="SOLEDAD 1002"/>
  </r>
  <r>
    <s v="SOLEDAD 101"/>
  </r>
  <r>
    <s v="SOLEDAD 102"/>
  </r>
  <r>
    <s v="SOLEDAD 1024"/>
  </r>
  <r>
    <s v="SOLEDAD 103"/>
  </r>
  <r>
    <s v="SOLEDAD 104"/>
  </r>
  <r>
    <s v="SOLEDAD 111"/>
  </r>
  <r>
    <s v="SOLEDAD 117"/>
  </r>
  <r>
    <s v="SOLEDAD 119"/>
  </r>
  <r>
    <s v="SOLEDAD 120"/>
  </r>
  <r>
    <s v="SOLEDAD 121"/>
  </r>
  <r>
    <s v="SOLEDAD 123"/>
  </r>
  <r>
    <s v="SOLEDAD 125"/>
  </r>
  <r>
    <s v="SOLEDAD 127"/>
  </r>
  <r>
    <s v="SOLEDAD 128"/>
  </r>
  <r>
    <s v="SOLEDAD 129"/>
  </r>
  <r>
    <s v="SOLEDAD 130"/>
  </r>
  <r>
    <s v="SOLEDAD 131"/>
  </r>
  <r>
    <s v="SOLEDAD 134"/>
  </r>
  <r>
    <s v="SOLEDAD 140"/>
  </r>
  <r>
    <s v="SOLEDAD 141"/>
  </r>
  <r>
    <s v="SOLEDAD 142"/>
  </r>
  <r>
    <s v="SOLEDAD 153"/>
  </r>
  <r>
    <s v="SOLEDAD 22"/>
  </r>
  <r>
    <s v="SOLEDAD 319"/>
  </r>
  <r>
    <s v="SOLEDAD 406"/>
  </r>
  <r>
    <s v="SOLEDAD 408H"/>
  </r>
  <r>
    <s v="SOLEDAD 418"/>
  </r>
  <r>
    <s v="SOLEDAD 42"/>
  </r>
  <r>
    <s v="SOLEDAD 428"/>
  </r>
  <r>
    <s v="SOLEDAD 438H"/>
  </r>
  <r>
    <s v="SOLEDAD 454"/>
  </r>
  <r>
    <s v="SOLEDAD 458"/>
  </r>
  <r>
    <s v="SOLEDAD 496"/>
  </r>
  <r>
    <s v="SOLEDAD 498"/>
  </r>
  <r>
    <s v="SOLEDAD 503"/>
  </r>
  <r>
    <s v="SOLEDAD 505"/>
  </r>
  <r>
    <s v="SOLEDAD 506"/>
  </r>
  <r>
    <s v="SOLEDAD 507"/>
  </r>
  <r>
    <s v="SOLEDAD 509"/>
  </r>
  <r>
    <s v="SOLEDAD 513"/>
  </r>
  <r>
    <s v="SOLEDAD 515"/>
  </r>
  <r>
    <s v="SOLEDAD 516"/>
  </r>
  <r>
    <s v="SOLEDAD 517"/>
  </r>
  <r>
    <s v="SOLEDAD 519"/>
  </r>
  <r>
    <s v="SOLEDAD 529"/>
  </r>
  <r>
    <s v="SOLEDAD 533"/>
  </r>
  <r>
    <s v="SOLEDAD 535"/>
  </r>
  <r>
    <s v="SOLEDAD 537"/>
  </r>
  <r>
    <s v="SOLEDAD 539"/>
  </r>
  <r>
    <s v="SOLEDAD 547"/>
  </r>
  <r>
    <s v="SOLEDAD 549"/>
  </r>
  <r>
    <s v="SOLEDAD 557"/>
  </r>
  <r>
    <s v="SOLEDAD 559"/>
  </r>
  <r>
    <s v="SOLEDAD 562"/>
  </r>
  <r>
    <s v="SOLEDAD 567"/>
  </r>
  <r>
    <s v="SOLEDAD 569"/>
  </r>
  <r>
    <s v="SOLEDAD 576"/>
  </r>
  <r>
    <s v="SOLEDAD 579"/>
  </r>
  <r>
    <s v="SOLEDAD 596"/>
  </r>
  <r>
    <s v="SOLEDAD 599"/>
  </r>
  <r>
    <s v="SOLEDAD 602"/>
  </r>
  <r>
    <s v="SOLEDAD 604"/>
  </r>
  <r>
    <s v="SOLEDAD 606"/>
  </r>
  <r>
    <s v="SOLEDAD 608"/>
  </r>
  <r>
    <s v="SOLEDAD 616"/>
  </r>
  <r>
    <s v="SOLEDAD 624"/>
  </r>
  <r>
    <s v="SOLEDAD 626"/>
  </r>
  <r>
    <s v="SOLEDAD 632"/>
  </r>
  <r>
    <s v="SOLEDAD 64"/>
  </r>
  <r>
    <s v="SOLEDAD 642"/>
  </r>
  <r>
    <s v="SOLEDAD 644"/>
  </r>
  <r>
    <s v="SOLEDAD 646"/>
  </r>
  <r>
    <s v="SOLEDAD 652"/>
  </r>
  <r>
    <s v="SOLEDAD 654"/>
  </r>
  <r>
    <s v="SOLEDAD 662"/>
  </r>
  <r>
    <s v="SOLEDAD 664"/>
  </r>
  <r>
    <s v="SOLEDAD 668"/>
  </r>
  <r>
    <s v="SOLEDAD 673"/>
  </r>
  <r>
    <s v="SOLEDAD 792"/>
  </r>
  <r>
    <s v="SOLEDAD 674"/>
  </r>
  <r>
    <s v="SOLEDAD 691"/>
  </r>
  <r>
    <s v="SOLEDAD 692H"/>
  </r>
  <r>
    <s v="SOLEDAD 701"/>
  </r>
  <r>
    <s v="SOLEDAD 702"/>
  </r>
  <r>
    <s v="SOLEDAD 703"/>
  </r>
  <r>
    <s v="SOLEDAD 708"/>
  </r>
  <r>
    <s v="SOLEDAD 776"/>
  </r>
  <r>
    <s v="SOLEDAD 914"/>
  </r>
  <r>
    <s v="SOLEDAD NORTE 1"/>
  </r>
  <r>
    <s v="SOLEDAD NORTE 101"/>
  </r>
  <r>
    <s v="SOLEDAD NORTE 103"/>
  </r>
  <r>
    <s v="SOLEDAD NORTE 104"/>
  </r>
  <r>
    <s v="SOLEDAD NORTE 106"/>
  </r>
  <r>
    <s v="SOLEDAD NORTE 108"/>
  </r>
  <r>
    <s v="SOLEDAD NORTE 11"/>
  </r>
  <r>
    <s v="SOLEDAD NORTE 111"/>
  </r>
  <r>
    <s v="SOLEDAD NORTE 112"/>
  </r>
  <r>
    <s v="SOLEDAD NORTE 113"/>
  </r>
  <r>
    <s v="SOLEDAD NORTE 114"/>
  </r>
  <r>
    <s v="SOLEDAD NORTE 116"/>
  </r>
  <r>
    <s v="SOLEDAD NORTE 118"/>
  </r>
  <r>
    <s v="SOLEDAD NORTE 12"/>
  </r>
  <r>
    <s v="SOLEDAD NORTE 121"/>
  </r>
  <r>
    <s v="SOLEDAD NORTE 122"/>
  </r>
  <r>
    <s v="SOLEDAD NORTE 123"/>
  </r>
  <r>
    <s v="SOLEDAD NORTE 124"/>
  </r>
  <r>
    <s v="SOLEDAD NORTE 125"/>
  </r>
  <r>
    <s v="SOLEDAD NORTE 126"/>
  </r>
  <r>
    <s v="SOLEDAD NORTE 127"/>
  </r>
  <r>
    <s v="SOLEDAD NORTE 128"/>
  </r>
  <r>
    <s v="SOLEDAD NORTE 129"/>
  </r>
  <r>
    <s v="SOLEDAD NORTE 13"/>
  </r>
  <r>
    <s v="SOLEDAD NORTE 131"/>
  </r>
  <r>
    <s v="SOLEDAD NORTE 132"/>
  </r>
  <r>
    <s v="SOLEDAD NORTE 134"/>
  </r>
  <r>
    <s v="SOLEDAD NORTE 136"/>
  </r>
  <r>
    <s v="SOLEDAD NORTE 138"/>
  </r>
  <r>
    <s v="SOLEDAD NORTE 14"/>
  </r>
  <r>
    <s v="SOLEDAD NORTE 141"/>
  </r>
  <r>
    <s v="SOLEDAD NORTE 143"/>
  </r>
  <r>
    <s v="SOLEDAD NORTE 145"/>
  </r>
  <r>
    <s v="SOLEDAD NORTE 147"/>
  </r>
  <r>
    <s v="SOLEDAD NORTE 149"/>
  </r>
  <r>
    <s v="SOLEDAD NORTE 15"/>
  </r>
  <r>
    <s v="SOLEDAD NORTE 151"/>
  </r>
  <r>
    <s v="SOLEDAD NORTE 152"/>
  </r>
  <r>
    <s v="SOLEDAD NORTE 154"/>
  </r>
  <r>
    <s v="SOLEDAD NORTE 156"/>
  </r>
  <r>
    <s v="SOLEDAD NORTE 158"/>
  </r>
  <r>
    <s v="SOLEDAD NORTE 16"/>
  </r>
  <r>
    <s v="SOLEDAD NORTE 162"/>
  </r>
  <r>
    <s v="SOLEDAD NORTE 163"/>
  </r>
  <r>
    <s v="SOLEDAD NORTE 164"/>
  </r>
  <r>
    <s v="SOLEDAD NORTE 165"/>
  </r>
  <r>
    <s v="SOLEDAD NORTE 166"/>
  </r>
  <r>
    <s v="SOLEDAD NORTE 168"/>
  </r>
  <r>
    <s v="SOLEDAD NORTE 168"/>
  </r>
  <r>
    <s v="SOLEDAD NORTE 169"/>
  </r>
  <r>
    <s v="SOLEDAD NORTE 17"/>
  </r>
  <r>
    <s v="SOLEDAD NORTE 171"/>
  </r>
  <r>
    <s v="SOLEDAD NORTE 172"/>
  </r>
  <r>
    <s v="SOLEDAD NORTE 174"/>
  </r>
  <r>
    <s v="SOLEDAD NORTE 176"/>
  </r>
  <r>
    <s v="SOLEDAD NORTE 178"/>
  </r>
  <r>
    <s v="SOLEDAD NORTE 18"/>
  </r>
  <r>
    <s v="SOLEDAD NORTE 181"/>
  </r>
  <r>
    <s v="SOLEDAD NORTE 182"/>
  </r>
  <r>
    <s v="SOLEDAD NORTE 183"/>
  </r>
  <r>
    <s v="SOLEDAD NORTE 184"/>
  </r>
  <r>
    <s v="SOLEDAD NORTE 185"/>
  </r>
  <r>
    <s v="SOLEDAD NORTE 186"/>
  </r>
  <r>
    <s v="SOLEDAD NORTE 187"/>
  </r>
  <r>
    <s v="SOLEDAD NORTE 188"/>
  </r>
  <r>
    <s v="SOLEDAD NORTE 189"/>
  </r>
  <r>
    <s v="SOLEDAD NORTE 19"/>
  </r>
  <r>
    <s v="SOLEDAD NORTE 190"/>
  </r>
  <r>
    <s v="SOLEDAD NORTE 194"/>
  </r>
  <r>
    <s v="SOLEDAD NORTE 195"/>
  </r>
  <r>
    <s v="SOLEDAD NORTE 196"/>
  </r>
  <r>
    <s v="SOLEDAD NORTE 198"/>
  </r>
  <r>
    <s v="SOLEDAD NORTE 201"/>
  </r>
  <r>
    <s v="SOLEDAD NORTE 202"/>
  </r>
  <r>
    <s v="SOLEDAD NORTE 203"/>
  </r>
  <r>
    <s v="SOLEDAD NORTE 204"/>
  </r>
  <r>
    <s v="SOLEDAD NORTE 205"/>
  </r>
  <r>
    <s v="SOLEDAD NORTE 206"/>
  </r>
  <r>
    <s v="SOLEDAD NORTE 207"/>
  </r>
  <r>
    <s v="SOLEDAD NORTE 209"/>
  </r>
  <r>
    <s v="SOLEDAD NORTE 211"/>
  </r>
  <r>
    <s v="SOLEDAD NORTE 212"/>
  </r>
  <r>
    <s v="SOLEDAD NORTE 217"/>
  </r>
  <r>
    <s v="SOLEDAD NORTE 219"/>
  </r>
  <r>
    <s v="SOLEDAD NORTE 221"/>
  </r>
  <r>
    <s v="SOLEDAD NORTE 222"/>
  </r>
  <r>
    <s v="SOLEDAD NORTE 223"/>
  </r>
  <r>
    <s v="SOLEDAD NORTE 224"/>
  </r>
  <r>
    <s v="SOLEDAD NORTE 225"/>
  </r>
  <r>
    <s v="SOLEDAD NORTE 226"/>
  </r>
  <r>
    <s v="SOLEDAD NORTE 227"/>
  </r>
  <r>
    <s v="SOLEDAD NORTE 228"/>
  </r>
  <r>
    <s v="SOLEDAD NORTE 229"/>
  </r>
  <r>
    <s v="SOLEDAD NORTE 231"/>
  </r>
  <r>
    <s v="SOLEDAD NORTE 232"/>
  </r>
  <r>
    <s v="SOLEDAD NORTE 233"/>
  </r>
  <r>
    <s v="SOLEDAD NORTE 24"/>
  </r>
  <r>
    <s v="SOLEDAD NORTE 241"/>
  </r>
  <r>
    <s v="SOLEDAD NORTE 242"/>
  </r>
  <r>
    <s v="SOLEDAD NORTE 243"/>
  </r>
  <r>
    <s v="SOLEDAD NORTE 244"/>
  </r>
  <r>
    <s v="SOLEDAD NORTE 245"/>
  </r>
  <r>
    <s v="SOLEDAD NORTE 246"/>
  </r>
  <r>
    <s v="SOLEDAD NORTE 248"/>
  </r>
  <r>
    <s v="SOLEDAD NORTE 249"/>
  </r>
  <r>
    <s v="SOLEDAD NORTE 251"/>
  </r>
  <r>
    <s v="SOLEDAD NORTE 252"/>
  </r>
  <r>
    <s v="SOLEDAD NORTE 26"/>
  </r>
  <r>
    <s v="SOLEDAD NORTE 26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1" dataOnRows="1" applyNumberFormats="0" applyBorderFormats="0" applyFontFormats="0" applyPatternFormats="0" applyAlignmentFormats="0" applyWidthHeightFormats="1" dataCaption="Datos" updatedVersion="5" showMemberPropertyTips="0" useAutoFormatting="1" itemPrintTitles="1" createdVersion="1" indent="0" compact="0" compactData="0" gridDropZones="1">
  <location ref="AJ300:AP313" firstHeaderRow="1" firstDataRow="1" firstDataCol="1"/>
  <pivotFields count="1">
    <pivotField compact="0" outline="0" subtotalTop="0" showAll="0" includeNewItemsInFilter="1"/>
  </pivot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 filterMode="1">
    <tabColor rgb="FFFFFF00"/>
  </sheetPr>
  <dimension ref="A1:XAG1337"/>
  <sheetViews>
    <sheetView tabSelected="1" zoomScale="80" zoomScaleNormal="8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F387" sqref="F387"/>
    </sheetView>
  </sheetViews>
  <sheetFormatPr baseColWidth="10" defaultRowHeight="14.4" outlineLevelCol="1" x14ac:dyDescent="0.3"/>
  <cols>
    <col min="1" max="1" width="30.6640625" customWidth="1"/>
    <col min="2" max="2" width="8.6640625" customWidth="1"/>
    <col min="3" max="3" width="77.44140625" bestFit="1" customWidth="1" outlineLevel="1"/>
    <col min="4" max="4" width="12.88671875" customWidth="1"/>
    <col min="5" max="5" width="17.109375" customWidth="1"/>
    <col min="6" max="6" width="15" customWidth="1"/>
    <col min="7" max="7" width="9.88671875" customWidth="1"/>
    <col min="8" max="8" width="24.5546875" customWidth="1"/>
    <col min="9" max="9" width="22.5546875" customWidth="1"/>
    <col min="10" max="10" width="24.5546875" customWidth="1"/>
    <col min="142" max="142" width="30.6640625" customWidth="1"/>
    <col min="143" max="143" width="0" hidden="1" customWidth="1"/>
    <col min="144" max="144" width="78.5546875" customWidth="1"/>
    <col min="145" max="145" width="12.6640625" bestFit="1" customWidth="1"/>
    <col min="146" max="146" width="17.109375" customWidth="1"/>
    <col min="147" max="147" width="15" customWidth="1"/>
    <col min="148" max="148" width="9.88671875" customWidth="1"/>
    <col min="149" max="149" width="24.5546875" bestFit="1" customWidth="1"/>
    <col min="150" max="150" width="20.44140625" customWidth="1"/>
    <col min="151" max="151" width="24.5546875" customWidth="1"/>
    <col min="152" max="152" width="21" customWidth="1"/>
    <col min="153" max="153" width="22.6640625" customWidth="1"/>
    <col min="154" max="154" width="19.6640625" customWidth="1"/>
    <col min="155" max="155" width="18.44140625" customWidth="1"/>
    <col min="156" max="156" width="14.5546875" customWidth="1"/>
    <col min="157" max="157" width="16.33203125" customWidth="1"/>
    <col min="158" max="158" width="21.44140625" customWidth="1"/>
    <col min="160" max="160" width="15.6640625" customWidth="1"/>
    <col min="161" max="161" width="22.6640625" customWidth="1"/>
    <col min="162" max="162" width="26.44140625" customWidth="1"/>
    <col min="163" max="163" width="20.109375" customWidth="1"/>
    <col min="164" max="164" width="18.44140625" customWidth="1"/>
    <col min="165" max="165" width="23.5546875" customWidth="1"/>
    <col min="166" max="166" width="16.33203125" customWidth="1"/>
    <col min="167" max="167" width="15.109375" customWidth="1"/>
    <col min="168" max="168" width="16.33203125" customWidth="1"/>
    <col min="169" max="169" width="15.88671875" customWidth="1"/>
    <col min="170" max="170" width="17.88671875" customWidth="1"/>
    <col min="171" max="171" width="16.33203125" customWidth="1"/>
    <col min="172" max="172" width="15.88671875" customWidth="1"/>
    <col min="173" max="173" width="18.33203125" customWidth="1"/>
    <col min="174" max="174" width="17.109375" customWidth="1"/>
    <col min="175" max="176" width="15.5546875" customWidth="1"/>
    <col min="177" max="177" width="25.44140625" customWidth="1"/>
    <col min="178" max="179" width="21" customWidth="1"/>
    <col min="180" max="180" width="13.109375" customWidth="1"/>
    <col min="181" max="181" width="15" customWidth="1"/>
    <col min="183" max="185" width="17.88671875" customWidth="1"/>
    <col min="186" max="186" width="16.88671875" customWidth="1"/>
    <col min="187" max="187" width="24.33203125" customWidth="1"/>
    <col min="188" max="190" width="15.88671875" customWidth="1"/>
    <col min="191" max="191" width="19" customWidth="1"/>
    <col min="192" max="192" width="15.33203125" customWidth="1"/>
    <col min="193" max="193" width="21.44140625" customWidth="1"/>
    <col min="194" max="194" width="16.33203125" customWidth="1"/>
    <col min="195" max="195" width="13.33203125" customWidth="1"/>
    <col min="196" max="196" width="15" customWidth="1"/>
    <col min="197" max="197" width="18.44140625" customWidth="1"/>
    <col min="198" max="198" width="17.5546875" customWidth="1"/>
    <col min="200" max="200" width="12.88671875" customWidth="1"/>
    <col min="203" max="203" width="12.109375" customWidth="1"/>
    <col min="204" max="204" width="13.5546875" customWidth="1"/>
    <col min="207" max="207" width="14.109375" customWidth="1"/>
    <col min="208" max="208" width="12.33203125" customWidth="1"/>
    <col min="214" max="214" width="20.6640625" customWidth="1"/>
    <col min="215" max="215" width="14.88671875" customWidth="1"/>
    <col min="216" max="216" width="14.33203125" customWidth="1"/>
    <col min="217" max="217" width="14.109375" customWidth="1"/>
    <col min="218" max="218" width="18.33203125" customWidth="1"/>
    <col min="219" max="219" width="17.33203125" customWidth="1"/>
    <col min="220" max="220" width="18.5546875" customWidth="1"/>
    <col min="222" max="222" width="18.5546875" customWidth="1"/>
    <col min="223" max="223" width="26.33203125" customWidth="1"/>
    <col min="224" max="224" width="22.44140625" customWidth="1"/>
    <col min="225" max="225" width="17" customWidth="1"/>
    <col min="226" max="226" width="20.44140625" customWidth="1"/>
    <col min="227" max="227" width="16.44140625" customWidth="1"/>
    <col min="228" max="228" width="13.33203125" customWidth="1"/>
    <col min="229" max="229" width="15" customWidth="1"/>
    <col min="230" max="230" width="16.44140625" customWidth="1"/>
    <col min="231" max="232" width="18.33203125" customWidth="1"/>
    <col min="233" max="237" width="24.88671875" customWidth="1"/>
    <col min="238" max="238" width="15.88671875" customWidth="1"/>
    <col min="239" max="239" width="19.44140625" customWidth="1"/>
    <col min="240" max="240" width="19.6640625" customWidth="1"/>
    <col min="241" max="241" width="21.44140625" customWidth="1"/>
    <col min="242" max="242" width="15.6640625" customWidth="1"/>
    <col min="243" max="243" width="26.44140625" customWidth="1"/>
    <col min="244" max="244" width="15.6640625" customWidth="1"/>
    <col min="248" max="248" width="17" customWidth="1"/>
    <col min="249" max="249" width="16.44140625" customWidth="1"/>
    <col min="250" max="250" width="19" customWidth="1"/>
    <col min="251" max="252" width="23.6640625" customWidth="1"/>
    <col min="253" max="254" width="16.44140625" customWidth="1"/>
    <col min="255" max="255" width="12.6640625" customWidth="1"/>
    <col min="256" max="256" width="13.5546875" customWidth="1"/>
    <col min="257" max="257" width="14.6640625" customWidth="1"/>
    <col min="258" max="258" width="16.88671875" customWidth="1"/>
    <col min="398" max="398" width="30.6640625" customWidth="1"/>
    <col min="399" max="399" width="0" hidden="1" customWidth="1"/>
    <col min="400" max="400" width="78.5546875" customWidth="1"/>
    <col min="401" max="401" width="12.6640625" bestFit="1" customWidth="1"/>
    <col min="402" max="402" width="17.109375" customWidth="1"/>
    <col min="403" max="403" width="15" customWidth="1"/>
    <col min="404" max="404" width="9.88671875" customWidth="1"/>
    <col min="405" max="405" width="24.5546875" bestFit="1" customWidth="1"/>
    <col min="406" max="406" width="20.44140625" customWidth="1"/>
    <col min="407" max="407" width="24.5546875" customWidth="1"/>
    <col min="408" max="408" width="21" customWidth="1"/>
    <col min="409" max="409" width="22.6640625" customWidth="1"/>
    <col min="410" max="410" width="19.6640625" customWidth="1"/>
    <col min="411" max="411" width="18.44140625" customWidth="1"/>
    <col min="412" max="412" width="14.5546875" customWidth="1"/>
    <col min="413" max="413" width="16.33203125" customWidth="1"/>
    <col min="414" max="414" width="21.44140625" customWidth="1"/>
    <col min="416" max="416" width="15.6640625" customWidth="1"/>
    <col min="417" max="417" width="22.6640625" customWidth="1"/>
    <col min="418" max="418" width="26.44140625" customWidth="1"/>
    <col min="419" max="419" width="20.109375" customWidth="1"/>
    <col min="420" max="420" width="18.44140625" customWidth="1"/>
    <col min="421" max="421" width="23.5546875" customWidth="1"/>
    <col min="422" max="422" width="16.33203125" customWidth="1"/>
    <col min="423" max="423" width="15.109375" customWidth="1"/>
    <col min="424" max="424" width="16.33203125" customWidth="1"/>
    <col min="425" max="425" width="15.88671875" customWidth="1"/>
    <col min="426" max="426" width="17.88671875" customWidth="1"/>
    <col min="427" max="427" width="16.33203125" customWidth="1"/>
    <col min="428" max="428" width="15.88671875" customWidth="1"/>
    <col min="429" max="429" width="18.33203125" customWidth="1"/>
    <col min="430" max="430" width="17.109375" customWidth="1"/>
    <col min="431" max="432" width="15.5546875" customWidth="1"/>
    <col min="433" max="433" width="25.44140625" customWidth="1"/>
    <col min="434" max="435" width="21" customWidth="1"/>
    <col min="436" max="436" width="13.109375" customWidth="1"/>
    <col min="437" max="437" width="15" customWidth="1"/>
    <col min="439" max="441" width="17.88671875" customWidth="1"/>
    <col min="442" max="442" width="16.88671875" customWidth="1"/>
    <col min="443" max="443" width="24.33203125" customWidth="1"/>
    <col min="444" max="446" width="15.88671875" customWidth="1"/>
    <col min="447" max="447" width="19" customWidth="1"/>
    <col min="448" max="448" width="15.33203125" customWidth="1"/>
    <col min="449" max="449" width="21.44140625" customWidth="1"/>
    <col min="450" max="450" width="16.33203125" customWidth="1"/>
    <col min="451" max="451" width="13.33203125" customWidth="1"/>
    <col min="452" max="452" width="15" customWidth="1"/>
    <col min="453" max="453" width="18.44140625" customWidth="1"/>
    <col min="454" max="454" width="17.5546875" customWidth="1"/>
    <col min="456" max="456" width="12.88671875" customWidth="1"/>
    <col min="459" max="459" width="12.109375" customWidth="1"/>
    <col min="460" max="460" width="13.5546875" customWidth="1"/>
    <col min="463" max="463" width="14.109375" customWidth="1"/>
    <col min="464" max="464" width="12.33203125" customWidth="1"/>
    <col min="470" max="470" width="20.6640625" customWidth="1"/>
    <col min="471" max="471" width="14.88671875" customWidth="1"/>
    <col min="472" max="472" width="14.33203125" customWidth="1"/>
    <col min="473" max="473" width="14.109375" customWidth="1"/>
    <col min="474" max="474" width="18.33203125" customWidth="1"/>
    <col min="475" max="475" width="17.33203125" customWidth="1"/>
    <col min="476" max="476" width="18.5546875" customWidth="1"/>
    <col min="478" max="478" width="18.5546875" customWidth="1"/>
    <col min="479" max="479" width="26.33203125" customWidth="1"/>
    <col min="480" max="480" width="22.44140625" customWidth="1"/>
    <col min="481" max="481" width="17" customWidth="1"/>
    <col min="482" max="482" width="20.44140625" customWidth="1"/>
    <col min="483" max="483" width="16.44140625" customWidth="1"/>
    <col min="484" max="484" width="13.33203125" customWidth="1"/>
    <col min="485" max="485" width="15" customWidth="1"/>
    <col min="486" max="486" width="16.44140625" customWidth="1"/>
    <col min="487" max="488" width="18.33203125" customWidth="1"/>
    <col min="489" max="493" width="24.88671875" customWidth="1"/>
    <col min="494" max="494" width="15.88671875" customWidth="1"/>
    <col min="495" max="495" width="19.44140625" customWidth="1"/>
    <col min="496" max="496" width="19.6640625" customWidth="1"/>
    <col min="497" max="497" width="21.44140625" customWidth="1"/>
    <col min="498" max="498" width="15.6640625" customWidth="1"/>
    <col min="499" max="499" width="26.44140625" customWidth="1"/>
    <col min="500" max="500" width="15.6640625" customWidth="1"/>
    <col min="504" max="504" width="17" customWidth="1"/>
    <col min="505" max="505" width="16.44140625" customWidth="1"/>
    <col min="506" max="506" width="19" customWidth="1"/>
    <col min="507" max="508" width="23.6640625" customWidth="1"/>
    <col min="509" max="510" width="16.44140625" customWidth="1"/>
    <col min="511" max="511" width="12.6640625" customWidth="1"/>
    <col min="512" max="512" width="13.5546875" customWidth="1"/>
    <col min="513" max="513" width="14.6640625" customWidth="1"/>
    <col min="514" max="514" width="16.88671875" customWidth="1"/>
    <col min="654" max="654" width="30.6640625" customWidth="1"/>
    <col min="655" max="655" width="0" hidden="1" customWidth="1"/>
    <col min="656" max="656" width="78.5546875" customWidth="1"/>
    <col min="657" max="657" width="12.6640625" bestFit="1" customWidth="1"/>
    <col min="658" max="658" width="17.109375" customWidth="1"/>
    <col min="659" max="659" width="15" customWidth="1"/>
    <col min="660" max="660" width="9.88671875" customWidth="1"/>
    <col min="661" max="661" width="24.5546875" bestFit="1" customWidth="1"/>
    <col min="662" max="662" width="20.44140625" customWidth="1"/>
    <col min="663" max="663" width="24.5546875" customWidth="1"/>
    <col min="664" max="664" width="21" customWidth="1"/>
    <col min="665" max="665" width="22.6640625" customWidth="1"/>
    <col min="666" max="666" width="19.6640625" customWidth="1"/>
    <col min="667" max="667" width="18.44140625" customWidth="1"/>
    <col min="668" max="668" width="14.5546875" customWidth="1"/>
    <col min="669" max="669" width="16.33203125" customWidth="1"/>
    <col min="670" max="670" width="21.44140625" customWidth="1"/>
    <col min="672" max="672" width="15.6640625" customWidth="1"/>
    <col min="673" max="673" width="22.6640625" customWidth="1"/>
    <col min="674" max="674" width="26.44140625" customWidth="1"/>
    <col min="675" max="675" width="20.109375" customWidth="1"/>
    <col min="676" max="676" width="18.44140625" customWidth="1"/>
    <col min="677" max="677" width="23.5546875" customWidth="1"/>
    <col min="678" max="678" width="16.33203125" customWidth="1"/>
    <col min="679" max="679" width="15.109375" customWidth="1"/>
    <col min="680" max="680" width="16.33203125" customWidth="1"/>
    <col min="681" max="681" width="15.88671875" customWidth="1"/>
    <col min="682" max="682" width="17.88671875" customWidth="1"/>
    <col min="683" max="683" width="16.33203125" customWidth="1"/>
    <col min="684" max="684" width="15.88671875" customWidth="1"/>
    <col min="685" max="685" width="18.33203125" customWidth="1"/>
    <col min="686" max="686" width="17.109375" customWidth="1"/>
    <col min="687" max="688" width="15.5546875" customWidth="1"/>
    <col min="689" max="689" width="25.44140625" customWidth="1"/>
    <col min="690" max="691" width="21" customWidth="1"/>
    <col min="692" max="692" width="13.109375" customWidth="1"/>
    <col min="693" max="693" width="15" customWidth="1"/>
    <col min="695" max="697" width="17.88671875" customWidth="1"/>
    <col min="698" max="698" width="16.88671875" customWidth="1"/>
    <col min="699" max="699" width="24.33203125" customWidth="1"/>
    <col min="700" max="702" width="15.88671875" customWidth="1"/>
    <col min="703" max="703" width="19" customWidth="1"/>
    <col min="704" max="704" width="15.33203125" customWidth="1"/>
    <col min="705" max="705" width="21.44140625" customWidth="1"/>
    <col min="706" max="706" width="16.33203125" customWidth="1"/>
    <col min="707" max="707" width="13.33203125" customWidth="1"/>
    <col min="708" max="708" width="15" customWidth="1"/>
    <col min="709" max="709" width="18.44140625" customWidth="1"/>
    <col min="710" max="710" width="17.5546875" customWidth="1"/>
    <col min="712" max="712" width="12.88671875" customWidth="1"/>
    <col min="715" max="715" width="12.109375" customWidth="1"/>
    <col min="716" max="716" width="13.5546875" customWidth="1"/>
    <col min="719" max="719" width="14.109375" customWidth="1"/>
    <col min="720" max="720" width="12.33203125" customWidth="1"/>
    <col min="726" max="726" width="20.6640625" customWidth="1"/>
    <col min="727" max="727" width="14.88671875" customWidth="1"/>
    <col min="728" max="728" width="14.33203125" customWidth="1"/>
    <col min="729" max="729" width="14.109375" customWidth="1"/>
    <col min="730" max="730" width="18.33203125" customWidth="1"/>
    <col min="731" max="731" width="17.33203125" customWidth="1"/>
    <col min="732" max="732" width="18.5546875" customWidth="1"/>
    <col min="734" max="734" width="18.5546875" customWidth="1"/>
    <col min="735" max="735" width="26.33203125" customWidth="1"/>
    <col min="736" max="736" width="22.44140625" customWidth="1"/>
    <col min="737" max="737" width="17" customWidth="1"/>
    <col min="738" max="738" width="20.44140625" customWidth="1"/>
    <col min="739" max="739" width="16.44140625" customWidth="1"/>
    <col min="740" max="740" width="13.33203125" customWidth="1"/>
    <col min="741" max="741" width="15" customWidth="1"/>
    <col min="742" max="742" width="16.44140625" customWidth="1"/>
    <col min="743" max="744" width="18.33203125" customWidth="1"/>
    <col min="745" max="749" width="24.88671875" customWidth="1"/>
    <col min="750" max="750" width="15.88671875" customWidth="1"/>
    <col min="751" max="751" width="19.44140625" customWidth="1"/>
    <col min="752" max="752" width="19.6640625" customWidth="1"/>
    <col min="753" max="753" width="21.44140625" customWidth="1"/>
    <col min="754" max="754" width="15.6640625" customWidth="1"/>
    <col min="755" max="755" width="26.44140625" customWidth="1"/>
    <col min="756" max="756" width="15.6640625" customWidth="1"/>
    <col min="760" max="760" width="17" customWidth="1"/>
    <col min="761" max="761" width="16.44140625" customWidth="1"/>
    <col min="762" max="762" width="19" customWidth="1"/>
    <col min="763" max="764" width="23.6640625" customWidth="1"/>
    <col min="765" max="766" width="16.44140625" customWidth="1"/>
    <col min="767" max="767" width="12.6640625" customWidth="1"/>
    <col min="768" max="768" width="13.5546875" customWidth="1"/>
    <col min="769" max="769" width="14.6640625" customWidth="1"/>
    <col min="770" max="770" width="16.88671875" customWidth="1"/>
    <col min="910" max="910" width="30.6640625" customWidth="1"/>
    <col min="911" max="911" width="0" hidden="1" customWidth="1"/>
    <col min="912" max="912" width="78.5546875" customWidth="1"/>
    <col min="913" max="913" width="12.6640625" bestFit="1" customWidth="1"/>
    <col min="914" max="914" width="17.109375" customWidth="1"/>
    <col min="915" max="915" width="15" customWidth="1"/>
    <col min="916" max="916" width="9.88671875" customWidth="1"/>
    <col min="917" max="917" width="24.5546875" bestFit="1" customWidth="1"/>
    <col min="918" max="918" width="20.44140625" customWidth="1"/>
    <col min="919" max="919" width="24.5546875" customWidth="1"/>
    <col min="920" max="920" width="21" customWidth="1"/>
    <col min="921" max="921" width="22.6640625" customWidth="1"/>
    <col min="922" max="922" width="19.6640625" customWidth="1"/>
    <col min="923" max="923" width="18.44140625" customWidth="1"/>
    <col min="924" max="924" width="14.5546875" customWidth="1"/>
    <col min="925" max="925" width="16.33203125" customWidth="1"/>
    <col min="926" max="926" width="21.44140625" customWidth="1"/>
    <col min="928" max="928" width="15.6640625" customWidth="1"/>
    <col min="929" max="929" width="22.6640625" customWidth="1"/>
    <col min="930" max="930" width="26.44140625" customWidth="1"/>
    <col min="931" max="931" width="20.109375" customWidth="1"/>
    <col min="932" max="932" width="18.44140625" customWidth="1"/>
    <col min="933" max="933" width="23.5546875" customWidth="1"/>
    <col min="934" max="934" width="16.33203125" customWidth="1"/>
    <col min="935" max="935" width="15.109375" customWidth="1"/>
    <col min="936" max="936" width="16.33203125" customWidth="1"/>
    <col min="937" max="937" width="15.88671875" customWidth="1"/>
    <col min="938" max="938" width="17.88671875" customWidth="1"/>
    <col min="939" max="939" width="16.33203125" customWidth="1"/>
    <col min="940" max="940" width="15.88671875" customWidth="1"/>
    <col min="941" max="941" width="18.33203125" customWidth="1"/>
    <col min="942" max="942" width="17.109375" customWidth="1"/>
    <col min="943" max="944" width="15.5546875" customWidth="1"/>
    <col min="945" max="945" width="25.44140625" customWidth="1"/>
    <col min="946" max="947" width="21" customWidth="1"/>
    <col min="948" max="948" width="13.109375" customWidth="1"/>
    <col min="949" max="949" width="15" customWidth="1"/>
    <col min="951" max="953" width="17.88671875" customWidth="1"/>
    <col min="954" max="954" width="16.88671875" customWidth="1"/>
    <col min="955" max="955" width="24.33203125" customWidth="1"/>
    <col min="956" max="958" width="15.88671875" customWidth="1"/>
    <col min="959" max="959" width="19" customWidth="1"/>
    <col min="960" max="960" width="15.33203125" customWidth="1"/>
    <col min="961" max="961" width="21.44140625" customWidth="1"/>
    <col min="962" max="962" width="16.33203125" customWidth="1"/>
    <col min="963" max="963" width="13.33203125" customWidth="1"/>
    <col min="964" max="964" width="15" customWidth="1"/>
    <col min="965" max="965" width="18.44140625" customWidth="1"/>
    <col min="966" max="966" width="17.5546875" customWidth="1"/>
    <col min="968" max="968" width="12.88671875" customWidth="1"/>
    <col min="971" max="971" width="12.109375" customWidth="1"/>
    <col min="972" max="972" width="13.5546875" customWidth="1"/>
    <col min="975" max="975" width="14.109375" customWidth="1"/>
    <col min="976" max="976" width="12.33203125" customWidth="1"/>
    <col min="982" max="982" width="20.6640625" customWidth="1"/>
    <col min="983" max="983" width="14.88671875" customWidth="1"/>
    <col min="984" max="984" width="14.33203125" customWidth="1"/>
    <col min="985" max="985" width="14.109375" customWidth="1"/>
    <col min="986" max="986" width="18.33203125" customWidth="1"/>
    <col min="987" max="987" width="17.33203125" customWidth="1"/>
    <col min="988" max="988" width="18.5546875" customWidth="1"/>
    <col min="990" max="990" width="18.5546875" customWidth="1"/>
    <col min="991" max="991" width="26.33203125" customWidth="1"/>
    <col min="992" max="992" width="22.44140625" customWidth="1"/>
    <col min="993" max="993" width="17" customWidth="1"/>
    <col min="994" max="994" width="20.44140625" customWidth="1"/>
    <col min="995" max="995" width="16.44140625" customWidth="1"/>
    <col min="996" max="996" width="13.33203125" customWidth="1"/>
    <col min="997" max="997" width="15" customWidth="1"/>
    <col min="998" max="998" width="16.44140625" customWidth="1"/>
    <col min="999" max="1000" width="18.33203125" customWidth="1"/>
    <col min="1001" max="1005" width="24.88671875" customWidth="1"/>
    <col min="1006" max="1006" width="15.88671875" customWidth="1"/>
    <col min="1007" max="1007" width="19.44140625" customWidth="1"/>
    <col min="1008" max="1008" width="19.6640625" customWidth="1"/>
    <col min="1009" max="1009" width="21.44140625" customWidth="1"/>
    <col min="1010" max="1010" width="15.6640625" customWidth="1"/>
    <col min="1011" max="1011" width="26.44140625" customWidth="1"/>
    <col min="1012" max="1012" width="15.6640625" customWidth="1"/>
    <col min="1016" max="1016" width="17" customWidth="1"/>
    <col min="1017" max="1017" width="16.44140625" customWidth="1"/>
    <col min="1018" max="1018" width="19" customWidth="1"/>
    <col min="1019" max="1020" width="23.6640625" customWidth="1"/>
    <col min="1021" max="1022" width="16.44140625" customWidth="1"/>
    <col min="1023" max="1023" width="12.6640625" customWidth="1"/>
    <col min="1024" max="1024" width="13.5546875" customWidth="1"/>
    <col min="1025" max="1025" width="14.6640625" customWidth="1"/>
    <col min="1026" max="1026" width="16.88671875" customWidth="1"/>
    <col min="1166" max="1166" width="30.6640625" customWidth="1"/>
    <col min="1167" max="1167" width="0" hidden="1" customWidth="1"/>
    <col min="1168" max="1168" width="78.5546875" customWidth="1"/>
    <col min="1169" max="1169" width="12.6640625" bestFit="1" customWidth="1"/>
    <col min="1170" max="1170" width="17.109375" customWidth="1"/>
    <col min="1171" max="1171" width="15" customWidth="1"/>
    <col min="1172" max="1172" width="9.88671875" customWidth="1"/>
    <col min="1173" max="1173" width="24.5546875" bestFit="1" customWidth="1"/>
    <col min="1174" max="1174" width="20.44140625" customWidth="1"/>
    <col min="1175" max="1175" width="24.5546875" customWidth="1"/>
    <col min="1176" max="1176" width="21" customWidth="1"/>
    <col min="1177" max="1177" width="22.6640625" customWidth="1"/>
    <col min="1178" max="1178" width="19.6640625" customWidth="1"/>
    <col min="1179" max="1179" width="18.44140625" customWidth="1"/>
    <col min="1180" max="1180" width="14.5546875" customWidth="1"/>
    <col min="1181" max="1181" width="16.33203125" customWidth="1"/>
    <col min="1182" max="1182" width="21.44140625" customWidth="1"/>
    <col min="1184" max="1184" width="15.6640625" customWidth="1"/>
    <col min="1185" max="1185" width="22.6640625" customWidth="1"/>
    <col min="1186" max="1186" width="26.44140625" customWidth="1"/>
    <col min="1187" max="1187" width="20.109375" customWidth="1"/>
    <col min="1188" max="1188" width="18.44140625" customWidth="1"/>
    <col min="1189" max="1189" width="23.5546875" customWidth="1"/>
    <col min="1190" max="1190" width="16.33203125" customWidth="1"/>
    <col min="1191" max="1191" width="15.109375" customWidth="1"/>
    <col min="1192" max="1192" width="16.33203125" customWidth="1"/>
    <col min="1193" max="1193" width="15.88671875" customWidth="1"/>
    <col min="1194" max="1194" width="17.88671875" customWidth="1"/>
    <col min="1195" max="1195" width="16.33203125" customWidth="1"/>
    <col min="1196" max="1196" width="15.88671875" customWidth="1"/>
    <col min="1197" max="1197" width="18.33203125" customWidth="1"/>
    <col min="1198" max="1198" width="17.109375" customWidth="1"/>
    <col min="1199" max="1200" width="15.5546875" customWidth="1"/>
    <col min="1201" max="1201" width="25.44140625" customWidth="1"/>
    <col min="1202" max="1203" width="21" customWidth="1"/>
    <col min="1204" max="1204" width="13.109375" customWidth="1"/>
    <col min="1205" max="1205" width="15" customWidth="1"/>
    <col min="1207" max="1209" width="17.88671875" customWidth="1"/>
    <col min="1210" max="1210" width="16.88671875" customWidth="1"/>
    <col min="1211" max="1211" width="24.33203125" customWidth="1"/>
    <col min="1212" max="1214" width="15.88671875" customWidth="1"/>
    <col min="1215" max="1215" width="19" customWidth="1"/>
    <col min="1216" max="1216" width="15.33203125" customWidth="1"/>
    <col min="1217" max="1217" width="21.44140625" customWidth="1"/>
    <col min="1218" max="1218" width="16.33203125" customWidth="1"/>
    <col min="1219" max="1219" width="13.33203125" customWidth="1"/>
    <col min="1220" max="1220" width="15" customWidth="1"/>
    <col min="1221" max="1221" width="18.44140625" customWidth="1"/>
    <col min="1222" max="1222" width="17.5546875" customWidth="1"/>
    <col min="1224" max="1224" width="12.88671875" customWidth="1"/>
    <col min="1227" max="1227" width="12.109375" customWidth="1"/>
    <col min="1228" max="1228" width="13.5546875" customWidth="1"/>
    <col min="1231" max="1231" width="14.109375" customWidth="1"/>
    <col min="1232" max="1232" width="12.33203125" customWidth="1"/>
    <col min="1238" max="1238" width="20.6640625" customWidth="1"/>
    <col min="1239" max="1239" width="14.88671875" customWidth="1"/>
    <col min="1240" max="1240" width="14.33203125" customWidth="1"/>
    <col min="1241" max="1241" width="14.109375" customWidth="1"/>
    <col min="1242" max="1242" width="18.33203125" customWidth="1"/>
    <col min="1243" max="1243" width="17.33203125" customWidth="1"/>
    <col min="1244" max="1244" width="18.5546875" customWidth="1"/>
    <col min="1246" max="1246" width="18.5546875" customWidth="1"/>
    <col min="1247" max="1247" width="26.33203125" customWidth="1"/>
    <col min="1248" max="1248" width="22.44140625" customWidth="1"/>
    <col min="1249" max="1249" width="17" customWidth="1"/>
    <col min="1250" max="1250" width="20.44140625" customWidth="1"/>
    <col min="1251" max="1251" width="16.44140625" customWidth="1"/>
    <col min="1252" max="1252" width="13.33203125" customWidth="1"/>
    <col min="1253" max="1253" width="15" customWidth="1"/>
    <col min="1254" max="1254" width="16.44140625" customWidth="1"/>
    <col min="1255" max="1256" width="18.33203125" customWidth="1"/>
    <col min="1257" max="1261" width="24.88671875" customWidth="1"/>
    <col min="1262" max="1262" width="15.88671875" customWidth="1"/>
    <col min="1263" max="1263" width="19.44140625" customWidth="1"/>
    <col min="1264" max="1264" width="19.6640625" customWidth="1"/>
    <col min="1265" max="1265" width="21.44140625" customWidth="1"/>
    <col min="1266" max="1266" width="15.6640625" customWidth="1"/>
    <col min="1267" max="1267" width="26.44140625" customWidth="1"/>
    <col min="1268" max="1268" width="15.6640625" customWidth="1"/>
    <col min="1272" max="1272" width="17" customWidth="1"/>
    <col min="1273" max="1273" width="16.44140625" customWidth="1"/>
    <col min="1274" max="1274" width="19" customWidth="1"/>
    <col min="1275" max="1276" width="23.6640625" customWidth="1"/>
    <col min="1277" max="1278" width="16.44140625" customWidth="1"/>
    <col min="1279" max="1279" width="12.6640625" customWidth="1"/>
    <col min="1280" max="1280" width="13.5546875" customWidth="1"/>
    <col min="1281" max="1281" width="14.6640625" customWidth="1"/>
    <col min="1282" max="1282" width="16.88671875" customWidth="1"/>
    <col min="1422" max="1422" width="30.6640625" customWidth="1"/>
    <col min="1423" max="1423" width="0" hidden="1" customWidth="1"/>
    <col min="1424" max="1424" width="78.5546875" customWidth="1"/>
    <col min="1425" max="1425" width="12.6640625" bestFit="1" customWidth="1"/>
    <col min="1426" max="1426" width="17.109375" customWidth="1"/>
    <col min="1427" max="1427" width="15" customWidth="1"/>
    <col min="1428" max="1428" width="9.88671875" customWidth="1"/>
    <col min="1429" max="1429" width="24.5546875" bestFit="1" customWidth="1"/>
    <col min="1430" max="1430" width="20.44140625" customWidth="1"/>
    <col min="1431" max="1431" width="24.5546875" customWidth="1"/>
    <col min="1432" max="1432" width="21" customWidth="1"/>
    <col min="1433" max="1433" width="22.6640625" customWidth="1"/>
    <col min="1434" max="1434" width="19.6640625" customWidth="1"/>
    <col min="1435" max="1435" width="18.44140625" customWidth="1"/>
    <col min="1436" max="1436" width="14.5546875" customWidth="1"/>
    <col min="1437" max="1437" width="16.33203125" customWidth="1"/>
    <col min="1438" max="1438" width="21.44140625" customWidth="1"/>
    <col min="1440" max="1440" width="15.6640625" customWidth="1"/>
    <col min="1441" max="1441" width="22.6640625" customWidth="1"/>
    <col min="1442" max="1442" width="26.44140625" customWidth="1"/>
    <col min="1443" max="1443" width="20.109375" customWidth="1"/>
    <col min="1444" max="1444" width="18.44140625" customWidth="1"/>
    <col min="1445" max="1445" width="23.5546875" customWidth="1"/>
    <col min="1446" max="1446" width="16.33203125" customWidth="1"/>
    <col min="1447" max="1447" width="15.109375" customWidth="1"/>
    <col min="1448" max="1448" width="16.33203125" customWidth="1"/>
    <col min="1449" max="1449" width="15.88671875" customWidth="1"/>
    <col min="1450" max="1450" width="17.88671875" customWidth="1"/>
    <col min="1451" max="1451" width="16.33203125" customWidth="1"/>
    <col min="1452" max="1452" width="15.88671875" customWidth="1"/>
    <col min="1453" max="1453" width="18.33203125" customWidth="1"/>
    <col min="1454" max="1454" width="17.109375" customWidth="1"/>
    <col min="1455" max="1456" width="15.5546875" customWidth="1"/>
    <col min="1457" max="1457" width="25.44140625" customWidth="1"/>
    <col min="1458" max="1459" width="21" customWidth="1"/>
    <col min="1460" max="1460" width="13.109375" customWidth="1"/>
    <col min="1461" max="1461" width="15" customWidth="1"/>
    <col min="1463" max="1465" width="17.88671875" customWidth="1"/>
    <col min="1466" max="1466" width="16.88671875" customWidth="1"/>
    <col min="1467" max="1467" width="24.33203125" customWidth="1"/>
    <col min="1468" max="1470" width="15.88671875" customWidth="1"/>
    <col min="1471" max="1471" width="19" customWidth="1"/>
    <col min="1472" max="1472" width="15.33203125" customWidth="1"/>
    <col min="1473" max="1473" width="21.44140625" customWidth="1"/>
    <col min="1474" max="1474" width="16.33203125" customWidth="1"/>
    <col min="1475" max="1475" width="13.33203125" customWidth="1"/>
    <col min="1476" max="1476" width="15" customWidth="1"/>
    <col min="1477" max="1477" width="18.44140625" customWidth="1"/>
    <col min="1478" max="1478" width="17.5546875" customWidth="1"/>
    <col min="1480" max="1480" width="12.88671875" customWidth="1"/>
    <col min="1483" max="1483" width="12.109375" customWidth="1"/>
    <col min="1484" max="1484" width="13.5546875" customWidth="1"/>
    <col min="1487" max="1487" width="14.109375" customWidth="1"/>
    <col min="1488" max="1488" width="12.33203125" customWidth="1"/>
    <col min="1494" max="1494" width="20.6640625" customWidth="1"/>
    <col min="1495" max="1495" width="14.88671875" customWidth="1"/>
    <col min="1496" max="1496" width="14.33203125" customWidth="1"/>
    <col min="1497" max="1497" width="14.109375" customWidth="1"/>
    <col min="1498" max="1498" width="18.33203125" customWidth="1"/>
    <col min="1499" max="1499" width="17.33203125" customWidth="1"/>
    <col min="1500" max="1500" width="18.5546875" customWidth="1"/>
    <col min="1502" max="1502" width="18.5546875" customWidth="1"/>
    <col min="1503" max="1503" width="26.33203125" customWidth="1"/>
    <col min="1504" max="1504" width="22.44140625" customWidth="1"/>
    <col min="1505" max="1505" width="17" customWidth="1"/>
    <col min="1506" max="1506" width="20.44140625" customWidth="1"/>
    <col min="1507" max="1507" width="16.44140625" customWidth="1"/>
    <col min="1508" max="1508" width="13.33203125" customWidth="1"/>
    <col min="1509" max="1509" width="15" customWidth="1"/>
    <col min="1510" max="1510" width="16.44140625" customWidth="1"/>
    <col min="1511" max="1512" width="18.33203125" customWidth="1"/>
    <col min="1513" max="1517" width="24.88671875" customWidth="1"/>
    <col min="1518" max="1518" width="15.88671875" customWidth="1"/>
    <col min="1519" max="1519" width="19.44140625" customWidth="1"/>
    <col min="1520" max="1520" width="19.6640625" customWidth="1"/>
    <col min="1521" max="1521" width="21.44140625" customWidth="1"/>
    <col min="1522" max="1522" width="15.6640625" customWidth="1"/>
    <col min="1523" max="1523" width="26.44140625" customWidth="1"/>
    <col min="1524" max="1524" width="15.6640625" customWidth="1"/>
    <col min="1528" max="1528" width="17" customWidth="1"/>
    <col min="1529" max="1529" width="16.44140625" customWidth="1"/>
    <col min="1530" max="1530" width="19" customWidth="1"/>
    <col min="1531" max="1532" width="23.6640625" customWidth="1"/>
    <col min="1533" max="1534" width="16.44140625" customWidth="1"/>
    <col min="1535" max="1535" width="12.6640625" customWidth="1"/>
    <col min="1536" max="1536" width="13.5546875" customWidth="1"/>
    <col min="1537" max="1537" width="14.6640625" customWidth="1"/>
    <col min="1538" max="1538" width="16.88671875" customWidth="1"/>
    <col min="1678" max="1678" width="30.6640625" customWidth="1"/>
    <col min="1679" max="1679" width="0" hidden="1" customWidth="1"/>
    <col min="1680" max="1680" width="78.5546875" customWidth="1"/>
    <col min="1681" max="1681" width="12.6640625" bestFit="1" customWidth="1"/>
    <col min="1682" max="1682" width="17.109375" customWidth="1"/>
    <col min="1683" max="1683" width="15" customWidth="1"/>
    <col min="1684" max="1684" width="9.88671875" customWidth="1"/>
    <col min="1685" max="1685" width="24.5546875" bestFit="1" customWidth="1"/>
    <col min="1686" max="1686" width="20.44140625" customWidth="1"/>
    <col min="1687" max="1687" width="24.5546875" customWidth="1"/>
    <col min="1688" max="1688" width="21" customWidth="1"/>
    <col min="1689" max="1689" width="22.6640625" customWidth="1"/>
    <col min="1690" max="1690" width="19.6640625" customWidth="1"/>
    <col min="1691" max="1691" width="18.44140625" customWidth="1"/>
    <col min="1692" max="1692" width="14.5546875" customWidth="1"/>
    <col min="1693" max="1693" width="16.33203125" customWidth="1"/>
    <col min="1694" max="1694" width="21.44140625" customWidth="1"/>
    <col min="1696" max="1696" width="15.6640625" customWidth="1"/>
    <col min="1697" max="1697" width="22.6640625" customWidth="1"/>
    <col min="1698" max="1698" width="26.44140625" customWidth="1"/>
    <col min="1699" max="1699" width="20.109375" customWidth="1"/>
    <col min="1700" max="1700" width="18.44140625" customWidth="1"/>
    <col min="1701" max="1701" width="23.5546875" customWidth="1"/>
    <col min="1702" max="1702" width="16.33203125" customWidth="1"/>
    <col min="1703" max="1703" width="15.109375" customWidth="1"/>
    <col min="1704" max="1704" width="16.33203125" customWidth="1"/>
    <col min="1705" max="1705" width="15.88671875" customWidth="1"/>
    <col min="1706" max="1706" width="17.88671875" customWidth="1"/>
    <col min="1707" max="1707" width="16.33203125" customWidth="1"/>
    <col min="1708" max="1708" width="15.88671875" customWidth="1"/>
    <col min="1709" max="1709" width="18.33203125" customWidth="1"/>
    <col min="1710" max="1710" width="17.109375" customWidth="1"/>
    <col min="1711" max="1712" width="15.5546875" customWidth="1"/>
    <col min="1713" max="1713" width="25.44140625" customWidth="1"/>
    <col min="1714" max="1715" width="21" customWidth="1"/>
    <col min="1716" max="1716" width="13.109375" customWidth="1"/>
    <col min="1717" max="1717" width="15" customWidth="1"/>
    <col min="1719" max="1721" width="17.88671875" customWidth="1"/>
    <col min="1722" max="1722" width="16.88671875" customWidth="1"/>
    <col min="1723" max="1723" width="24.33203125" customWidth="1"/>
    <col min="1724" max="1726" width="15.88671875" customWidth="1"/>
    <col min="1727" max="1727" width="19" customWidth="1"/>
    <col min="1728" max="1728" width="15.33203125" customWidth="1"/>
    <col min="1729" max="1729" width="21.44140625" customWidth="1"/>
    <col min="1730" max="1730" width="16.33203125" customWidth="1"/>
    <col min="1731" max="1731" width="13.33203125" customWidth="1"/>
    <col min="1732" max="1732" width="15" customWidth="1"/>
    <col min="1733" max="1733" width="18.44140625" customWidth="1"/>
    <col min="1734" max="1734" width="17.5546875" customWidth="1"/>
    <col min="1736" max="1736" width="12.88671875" customWidth="1"/>
    <col min="1739" max="1739" width="12.109375" customWidth="1"/>
    <col min="1740" max="1740" width="13.5546875" customWidth="1"/>
    <col min="1743" max="1743" width="14.109375" customWidth="1"/>
    <col min="1744" max="1744" width="12.33203125" customWidth="1"/>
    <col min="1750" max="1750" width="20.6640625" customWidth="1"/>
    <col min="1751" max="1751" width="14.88671875" customWidth="1"/>
    <col min="1752" max="1752" width="14.33203125" customWidth="1"/>
    <col min="1753" max="1753" width="14.109375" customWidth="1"/>
    <col min="1754" max="1754" width="18.33203125" customWidth="1"/>
    <col min="1755" max="1755" width="17.33203125" customWidth="1"/>
    <col min="1756" max="1756" width="18.5546875" customWidth="1"/>
    <col min="1758" max="1758" width="18.5546875" customWidth="1"/>
    <col min="1759" max="1759" width="26.33203125" customWidth="1"/>
    <col min="1760" max="1760" width="22.44140625" customWidth="1"/>
    <col min="1761" max="1761" width="17" customWidth="1"/>
    <col min="1762" max="1762" width="20.44140625" customWidth="1"/>
    <col min="1763" max="1763" width="16.44140625" customWidth="1"/>
    <col min="1764" max="1764" width="13.33203125" customWidth="1"/>
    <col min="1765" max="1765" width="15" customWidth="1"/>
    <col min="1766" max="1766" width="16.44140625" customWidth="1"/>
    <col min="1767" max="1768" width="18.33203125" customWidth="1"/>
    <col min="1769" max="1773" width="24.88671875" customWidth="1"/>
    <col min="1774" max="1774" width="15.88671875" customWidth="1"/>
    <col min="1775" max="1775" width="19.44140625" customWidth="1"/>
    <col min="1776" max="1776" width="19.6640625" customWidth="1"/>
    <col min="1777" max="1777" width="21.44140625" customWidth="1"/>
    <col min="1778" max="1778" width="15.6640625" customWidth="1"/>
    <col min="1779" max="1779" width="26.44140625" customWidth="1"/>
    <col min="1780" max="1780" width="15.6640625" customWidth="1"/>
    <col min="1784" max="1784" width="17" customWidth="1"/>
    <col min="1785" max="1785" width="16.44140625" customWidth="1"/>
    <col min="1786" max="1786" width="19" customWidth="1"/>
    <col min="1787" max="1788" width="23.6640625" customWidth="1"/>
    <col min="1789" max="1790" width="16.44140625" customWidth="1"/>
    <col min="1791" max="1791" width="12.6640625" customWidth="1"/>
    <col min="1792" max="1792" width="13.5546875" customWidth="1"/>
    <col min="1793" max="1793" width="14.6640625" customWidth="1"/>
    <col min="1794" max="1794" width="16.88671875" customWidth="1"/>
    <col min="1934" max="1934" width="30.6640625" customWidth="1"/>
    <col min="1935" max="1935" width="0" hidden="1" customWidth="1"/>
    <col min="1936" max="1936" width="78.5546875" customWidth="1"/>
    <col min="1937" max="1937" width="12.6640625" bestFit="1" customWidth="1"/>
    <col min="1938" max="1938" width="17.109375" customWidth="1"/>
    <col min="1939" max="1939" width="15" customWidth="1"/>
    <col min="1940" max="1940" width="9.88671875" customWidth="1"/>
    <col min="1941" max="1941" width="24.5546875" bestFit="1" customWidth="1"/>
    <col min="1942" max="1942" width="20.44140625" customWidth="1"/>
    <col min="1943" max="1943" width="24.5546875" customWidth="1"/>
    <col min="1944" max="1944" width="21" customWidth="1"/>
    <col min="1945" max="1945" width="22.6640625" customWidth="1"/>
    <col min="1946" max="1946" width="19.6640625" customWidth="1"/>
    <col min="1947" max="1947" width="18.44140625" customWidth="1"/>
    <col min="1948" max="1948" width="14.5546875" customWidth="1"/>
    <col min="1949" max="1949" width="16.33203125" customWidth="1"/>
    <col min="1950" max="1950" width="21.44140625" customWidth="1"/>
    <col min="1952" max="1952" width="15.6640625" customWidth="1"/>
    <col min="1953" max="1953" width="22.6640625" customWidth="1"/>
    <col min="1954" max="1954" width="26.44140625" customWidth="1"/>
    <col min="1955" max="1955" width="20.109375" customWidth="1"/>
    <col min="1956" max="1956" width="18.44140625" customWidth="1"/>
    <col min="1957" max="1957" width="23.5546875" customWidth="1"/>
    <col min="1958" max="1958" width="16.33203125" customWidth="1"/>
    <col min="1959" max="1959" width="15.109375" customWidth="1"/>
    <col min="1960" max="1960" width="16.33203125" customWidth="1"/>
    <col min="1961" max="1961" width="15.88671875" customWidth="1"/>
    <col min="1962" max="1962" width="17.88671875" customWidth="1"/>
    <col min="1963" max="1963" width="16.33203125" customWidth="1"/>
    <col min="1964" max="1964" width="15.88671875" customWidth="1"/>
    <col min="1965" max="1965" width="18.33203125" customWidth="1"/>
    <col min="1966" max="1966" width="17.109375" customWidth="1"/>
    <col min="1967" max="1968" width="15.5546875" customWidth="1"/>
    <col min="1969" max="1969" width="25.44140625" customWidth="1"/>
    <col min="1970" max="1971" width="21" customWidth="1"/>
    <col min="1972" max="1972" width="13.109375" customWidth="1"/>
    <col min="1973" max="1973" width="15" customWidth="1"/>
    <col min="1975" max="1977" width="17.88671875" customWidth="1"/>
    <col min="1978" max="1978" width="16.88671875" customWidth="1"/>
    <col min="1979" max="1979" width="24.33203125" customWidth="1"/>
    <col min="1980" max="1982" width="15.88671875" customWidth="1"/>
    <col min="1983" max="1983" width="19" customWidth="1"/>
    <col min="1984" max="1984" width="15.33203125" customWidth="1"/>
    <col min="1985" max="1985" width="21.44140625" customWidth="1"/>
    <col min="1986" max="1986" width="16.33203125" customWidth="1"/>
    <col min="1987" max="1987" width="13.33203125" customWidth="1"/>
    <col min="1988" max="1988" width="15" customWidth="1"/>
    <col min="1989" max="1989" width="18.44140625" customWidth="1"/>
    <col min="1990" max="1990" width="17.5546875" customWidth="1"/>
    <col min="1992" max="1992" width="12.88671875" customWidth="1"/>
    <col min="1995" max="1995" width="12.109375" customWidth="1"/>
    <col min="1996" max="1996" width="13.5546875" customWidth="1"/>
    <col min="1999" max="1999" width="14.109375" customWidth="1"/>
    <col min="2000" max="2000" width="12.33203125" customWidth="1"/>
    <col min="2006" max="2006" width="20.6640625" customWidth="1"/>
    <col min="2007" max="2007" width="14.88671875" customWidth="1"/>
    <col min="2008" max="2008" width="14.33203125" customWidth="1"/>
    <col min="2009" max="2009" width="14.109375" customWidth="1"/>
    <col min="2010" max="2010" width="18.33203125" customWidth="1"/>
    <col min="2011" max="2011" width="17.33203125" customWidth="1"/>
    <col min="2012" max="2012" width="18.5546875" customWidth="1"/>
    <col min="2014" max="2014" width="18.5546875" customWidth="1"/>
    <col min="2015" max="2015" width="26.33203125" customWidth="1"/>
    <col min="2016" max="2016" width="22.44140625" customWidth="1"/>
    <col min="2017" max="2017" width="17" customWidth="1"/>
    <col min="2018" max="2018" width="20.44140625" customWidth="1"/>
    <col min="2019" max="2019" width="16.44140625" customWidth="1"/>
    <col min="2020" max="2020" width="13.33203125" customWidth="1"/>
    <col min="2021" max="2021" width="15" customWidth="1"/>
    <col min="2022" max="2022" width="16.44140625" customWidth="1"/>
    <col min="2023" max="2024" width="18.33203125" customWidth="1"/>
    <col min="2025" max="2029" width="24.88671875" customWidth="1"/>
    <col min="2030" max="2030" width="15.88671875" customWidth="1"/>
    <col min="2031" max="2031" width="19.44140625" customWidth="1"/>
    <col min="2032" max="2032" width="19.6640625" customWidth="1"/>
    <col min="2033" max="2033" width="21.44140625" customWidth="1"/>
    <col min="2034" max="2034" width="15.6640625" customWidth="1"/>
    <col min="2035" max="2035" width="26.44140625" customWidth="1"/>
    <col min="2036" max="2036" width="15.6640625" customWidth="1"/>
    <col min="2040" max="2040" width="17" customWidth="1"/>
    <col min="2041" max="2041" width="16.44140625" customWidth="1"/>
    <col min="2042" max="2042" width="19" customWidth="1"/>
    <col min="2043" max="2044" width="23.6640625" customWidth="1"/>
    <col min="2045" max="2046" width="16.44140625" customWidth="1"/>
    <col min="2047" max="2047" width="12.6640625" customWidth="1"/>
    <col min="2048" max="2048" width="13.5546875" customWidth="1"/>
    <col min="2049" max="2049" width="14.6640625" customWidth="1"/>
    <col min="2050" max="2050" width="16.88671875" customWidth="1"/>
    <col min="2190" max="2190" width="30.6640625" customWidth="1"/>
    <col min="2191" max="2191" width="0" hidden="1" customWidth="1"/>
    <col min="2192" max="2192" width="78.5546875" customWidth="1"/>
    <col min="2193" max="2193" width="12.6640625" bestFit="1" customWidth="1"/>
    <col min="2194" max="2194" width="17.109375" customWidth="1"/>
    <col min="2195" max="2195" width="15" customWidth="1"/>
    <col min="2196" max="2196" width="9.88671875" customWidth="1"/>
    <col min="2197" max="2197" width="24.5546875" bestFit="1" customWidth="1"/>
    <col min="2198" max="2198" width="20.44140625" customWidth="1"/>
    <col min="2199" max="2199" width="24.5546875" customWidth="1"/>
    <col min="2200" max="2200" width="21" customWidth="1"/>
    <col min="2201" max="2201" width="22.6640625" customWidth="1"/>
    <col min="2202" max="2202" width="19.6640625" customWidth="1"/>
    <col min="2203" max="2203" width="18.44140625" customWidth="1"/>
    <col min="2204" max="2204" width="14.5546875" customWidth="1"/>
    <col min="2205" max="2205" width="16.33203125" customWidth="1"/>
    <col min="2206" max="2206" width="21.44140625" customWidth="1"/>
    <col min="2208" max="2208" width="15.6640625" customWidth="1"/>
    <col min="2209" max="2209" width="22.6640625" customWidth="1"/>
    <col min="2210" max="2210" width="26.44140625" customWidth="1"/>
    <col min="2211" max="2211" width="20.109375" customWidth="1"/>
    <col min="2212" max="2212" width="18.44140625" customWidth="1"/>
    <col min="2213" max="2213" width="23.5546875" customWidth="1"/>
    <col min="2214" max="2214" width="16.33203125" customWidth="1"/>
    <col min="2215" max="2215" width="15.109375" customWidth="1"/>
    <col min="2216" max="2216" width="16.33203125" customWidth="1"/>
    <col min="2217" max="2217" width="15.88671875" customWidth="1"/>
    <col min="2218" max="2218" width="17.88671875" customWidth="1"/>
    <col min="2219" max="2219" width="16.33203125" customWidth="1"/>
    <col min="2220" max="2220" width="15.88671875" customWidth="1"/>
    <col min="2221" max="2221" width="18.33203125" customWidth="1"/>
    <col min="2222" max="2222" width="17.109375" customWidth="1"/>
    <col min="2223" max="2224" width="15.5546875" customWidth="1"/>
    <col min="2225" max="2225" width="25.44140625" customWidth="1"/>
    <col min="2226" max="2227" width="21" customWidth="1"/>
    <col min="2228" max="2228" width="13.109375" customWidth="1"/>
    <col min="2229" max="2229" width="15" customWidth="1"/>
    <col min="2231" max="2233" width="17.88671875" customWidth="1"/>
    <col min="2234" max="2234" width="16.88671875" customWidth="1"/>
    <col min="2235" max="2235" width="24.33203125" customWidth="1"/>
    <col min="2236" max="2238" width="15.88671875" customWidth="1"/>
    <col min="2239" max="2239" width="19" customWidth="1"/>
    <col min="2240" max="2240" width="15.33203125" customWidth="1"/>
    <col min="2241" max="2241" width="21.44140625" customWidth="1"/>
    <col min="2242" max="2242" width="16.33203125" customWidth="1"/>
    <col min="2243" max="2243" width="13.33203125" customWidth="1"/>
    <col min="2244" max="2244" width="15" customWidth="1"/>
    <col min="2245" max="2245" width="18.44140625" customWidth="1"/>
    <col min="2246" max="2246" width="17.5546875" customWidth="1"/>
    <col min="2248" max="2248" width="12.88671875" customWidth="1"/>
    <col min="2251" max="2251" width="12.109375" customWidth="1"/>
    <col min="2252" max="2252" width="13.5546875" customWidth="1"/>
    <col min="2255" max="2255" width="14.109375" customWidth="1"/>
    <col min="2256" max="2256" width="12.33203125" customWidth="1"/>
    <col min="2262" max="2262" width="20.6640625" customWidth="1"/>
    <col min="2263" max="2263" width="14.88671875" customWidth="1"/>
    <col min="2264" max="2264" width="14.33203125" customWidth="1"/>
    <col min="2265" max="2265" width="14.109375" customWidth="1"/>
    <col min="2266" max="2266" width="18.33203125" customWidth="1"/>
    <col min="2267" max="2267" width="17.33203125" customWidth="1"/>
    <col min="2268" max="2268" width="18.5546875" customWidth="1"/>
    <col min="2270" max="2270" width="18.5546875" customWidth="1"/>
    <col min="2271" max="2271" width="26.33203125" customWidth="1"/>
    <col min="2272" max="2272" width="22.44140625" customWidth="1"/>
    <col min="2273" max="2273" width="17" customWidth="1"/>
    <col min="2274" max="2274" width="20.44140625" customWidth="1"/>
    <col min="2275" max="2275" width="16.44140625" customWidth="1"/>
    <col min="2276" max="2276" width="13.33203125" customWidth="1"/>
    <col min="2277" max="2277" width="15" customWidth="1"/>
    <col min="2278" max="2278" width="16.44140625" customWidth="1"/>
    <col min="2279" max="2280" width="18.33203125" customWidth="1"/>
    <col min="2281" max="2285" width="24.88671875" customWidth="1"/>
    <col min="2286" max="2286" width="15.88671875" customWidth="1"/>
    <col min="2287" max="2287" width="19.44140625" customWidth="1"/>
    <col min="2288" max="2288" width="19.6640625" customWidth="1"/>
    <col min="2289" max="2289" width="21.44140625" customWidth="1"/>
    <col min="2290" max="2290" width="15.6640625" customWidth="1"/>
    <col min="2291" max="2291" width="26.44140625" customWidth="1"/>
    <col min="2292" max="2292" width="15.6640625" customWidth="1"/>
    <col min="2296" max="2296" width="17" customWidth="1"/>
    <col min="2297" max="2297" width="16.44140625" customWidth="1"/>
    <col min="2298" max="2298" width="19" customWidth="1"/>
    <col min="2299" max="2300" width="23.6640625" customWidth="1"/>
    <col min="2301" max="2302" width="16.44140625" customWidth="1"/>
    <col min="2303" max="2303" width="12.6640625" customWidth="1"/>
    <col min="2304" max="2304" width="13.5546875" customWidth="1"/>
    <col min="2305" max="2305" width="14.6640625" customWidth="1"/>
    <col min="2306" max="2306" width="16.88671875" customWidth="1"/>
    <col min="2446" max="2446" width="30.6640625" customWidth="1"/>
    <col min="2447" max="2447" width="0" hidden="1" customWidth="1"/>
    <col min="2448" max="2448" width="78.5546875" customWidth="1"/>
    <col min="2449" max="2449" width="12.6640625" bestFit="1" customWidth="1"/>
    <col min="2450" max="2450" width="17.109375" customWidth="1"/>
    <col min="2451" max="2451" width="15" customWidth="1"/>
    <col min="2452" max="2452" width="9.88671875" customWidth="1"/>
    <col min="2453" max="2453" width="24.5546875" bestFit="1" customWidth="1"/>
    <col min="2454" max="2454" width="20.44140625" customWidth="1"/>
    <col min="2455" max="2455" width="24.5546875" customWidth="1"/>
    <col min="2456" max="2456" width="21" customWidth="1"/>
    <col min="2457" max="2457" width="22.6640625" customWidth="1"/>
    <col min="2458" max="2458" width="19.6640625" customWidth="1"/>
    <col min="2459" max="2459" width="18.44140625" customWidth="1"/>
    <col min="2460" max="2460" width="14.5546875" customWidth="1"/>
    <col min="2461" max="2461" width="16.33203125" customWidth="1"/>
    <col min="2462" max="2462" width="21.44140625" customWidth="1"/>
    <col min="2464" max="2464" width="15.6640625" customWidth="1"/>
    <col min="2465" max="2465" width="22.6640625" customWidth="1"/>
    <col min="2466" max="2466" width="26.44140625" customWidth="1"/>
    <col min="2467" max="2467" width="20.109375" customWidth="1"/>
    <col min="2468" max="2468" width="18.44140625" customWidth="1"/>
    <col min="2469" max="2469" width="23.5546875" customWidth="1"/>
    <col min="2470" max="2470" width="16.33203125" customWidth="1"/>
    <col min="2471" max="2471" width="15.109375" customWidth="1"/>
    <col min="2472" max="2472" width="16.33203125" customWidth="1"/>
    <col min="2473" max="2473" width="15.88671875" customWidth="1"/>
    <col min="2474" max="2474" width="17.88671875" customWidth="1"/>
    <col min="2475" max="2475" width="16.33203125" customWidth="1"/>
    <col min="2476" max="2476" width="15.88671875" customWidth="1"/>
    <col min="2477" max="2477" width="18.33203125" customWidth="1"/>
    <col min="2478" max="2478" width="17.109375" customWidth="1"/>
    <col min="2479" max="2480" width="15.5546875" customWidth="1"/>
    <col min="2481" max="2481" width="25.44140625" customWidth="1"/>
    <col min="2482" max="2483" width="21" customWidth="1"/>
    <col min="2484" max="2484" width="13.109375" customWidth="1"/>
    <col min="2485" max="2485" width="15" customWidth="1"/>
    <col min="2487" max="2489" width="17.88671875" customWidth="1"/>
    <col min="2490" max="2490" width="16.88671875" customWidth="1"/>
    <col min="2491" max="2491" width="24.33203125" customWidth="1"/>
    <col min="2492" max="2494" width="15.88671875" customWidth="1"/>
    <col min="2495" max="2495" width="19" customWidth="1"/>
    <col min="2496" max="2496" width="15.33203125" customWidth="1"/>
    <col min="2497" max="2497" width="21.44140625" customWidth="1"/>
    <col min="2498" max="2498" width="16.33203125" customWidth="1"/>
    <col min="2499" max="2499" width="13.33203125" customWidth="1"/>
    <col min="2500" max="2500" width="15" customWidth="1"/>
    <col min="2501" max="2501" width="18.44140625" customWidth="1"/>
    <col min="2502" max="2502" width="17.5546875" customWidth="1"/>
    <col min="2504" max="2504" width="12.88671875" customWidth="1"/>
    <col min="2507" max="2507" width="12.109375" customWidth="1"/>
    <col min="2508" max="2508" width="13.5546875" customWidth="1"/>
    <col min="2511" max="2511" width="14.109375" customWidth="1"/>
    <col min="2512" max="2512" width="12.33203125" customWidth="1"/>
    <col min="2518" max="2518" width="20.6640625" customWidth="1"/>
    <col min="2519" max="2519" width="14.88671875" customWidth="1"/>
    <col min="2520" max="2520" width="14.33203125" customWidth="1"/>
    <col min="2521" max="2521" width="14.109375" customWidth="1"/>
    <col min="2522" max="2522" width="18.33203125" customWidth="1"/>
    <col min="2523" max="2523" width="17.33203125" customWidth="1"/>
    <col min="2524" max="2524" width="18.5546875" customWidth="1"/>
    <col min="2526" max="2526" width="18.5546875" customWidth="1"/>
    <col min="2527" max="2527" width="26.33203125" customWidth="1"/>
    <col min="2528" max="2528" width="22.44140625" customWidth="1"/>
    <col min="2529" max="2529" width="17" customWidth="1"/>
    <col min="2530" max="2530" width="20.44140625" customWidth="1"/>
    <col min="2531" max="2531" width="16.44140625" customWidth="1"/>
    <col min="2532" max="2532" width="13.33203125" customWidth="1"/>
    <col min="2533" max="2533" width="15" customWidth="1"/>
    <col min="2534" max="2534" width="16.44140625" customWidth="1"/>
    <col min="2535" max="2536" width="18.33203125" customWidth="1"/>
    <col min="2537" max="2541" width="24.88671875" customWidth="1"/>
    <col min="2542" max="2542" width="15.88671875" customWidth="1"/>
    <col min="2543" max="2543" width="19.44140625" customWidth="1"/>
    <col min="2544" max="2544" width="19.6640625" customWidth="1"/>
    <col min="2545" max="2545" width="21.44140625" customWidth="1"/>
    <col min="2546" max="2546" width="15.6640625" customWidth="1"/>
    <col min="2547" max="2547" width="26.44140625" customWidth="1"/>
    <col min="2548" max="2548" width="15.6640625" customWidth="1"/>
    <col min="2552" max="2552" width="17" customWidth="1"/>
    <col min="2553" max="2553" width="16.44140625" customWidth="1"/>
    <col min="2554" max="2554" width="19" customWidth="1"/>
    <col min="2555" max="2556" width="23.6640625" customWidth="1"/>
    <col min="2557" max="2558" width="16.44140625" customWidth="1"/>
    <col min="2559" max="2559" width="12.6640625" customWidth="1"/>
    <col min="2560" max="2560" width="13.5546875" customWidth="1"/>
    <col min="2561" max="2561" width="14.6640625" customWidth="1"/>
    <col min="2562" max="2562" width="16.88671875" customWidth="1"/>
    <col min="2702" max="2702" width="30.6640625" customWidth="1"/>
    <col min="2703" max="2703" width="0" hidden="1" customWidth="1"/>
    <col min="2704" max="2704" width="78.5546875" customWidth="1"/>
    <col min="2705" max="2705" width="12.6640625" bestFit="1" customWidth="1"/>
    <col min="2706" max="2706" width="17.109375" customWidth="1"/>
    <col min="2707" max="2707" width="15" customWidth="1"/>
    <col min="2708" max="2708" width="9.88671875" customWidth="1"/>
    <col min="2709" max="2709" width="24.5546875" bestFit="1" customWidth="1"/>
    <col min="2710" max="2710" width="20.44140625" customWidth="1"/>
    <col min="2711" max="2711" width="24.5546875" customWidth="1"/>
    <col min="2712" max="2712" width="21" customWidth="1"/>
    <col min="2713" max="2713" width="22.6640625" customWidth="1"/>
    <col min="2714" max="2714" width="19.6640625" customWidth="1"/>
    <col min="2715" max="2715" width="18.44140625" customWidth="1"/>
    <col min="2716" max="2716" width="14.5546875" customWidth="1"/>
    <col min="2717" max="2717" width="16.33203125" customWidth="1"/>
    <col min="2718" max="2718" width="21.44140625" customWidth="1"/>
    <col min="2720" max="2720" width="15.6640625" customWidth="1"/>
    <col min="2721" max="2721" width="22.6640625" customWidth="1"/>
    <col min="2722" max="2722" width="26.44140625" customWidth="1"/>
    <col min="2723" max="2723" width="20.109375" customWidth="1"/>
    <col min="2724" max="2724" width="18.44140625" customWidth="1"/>
    <col min="2725" max="2725" width="23.5546875" customWidth="1"/>
    <col min="2726" max="2726" width="16.33203125" customWidth="1"/>
    <col min="2727" max="2727" width="15.109375" customWidth="1"/>
    <col min="2728" max="2728" width="16.33203125" customWidth="1"/>
    <col min="2729" max="2729" width="15.88671875" customWidth="1"/>
    <col min="2730" max="2730" width="17.88671875" customWidth="1"/>
    <col min="2731" max="2731" width="16.33203125" customWidth="1"/>
    <col min="2732" max="2732" width="15.88671875" customWidth="1"/>
    <col min="2733" max="2733" width="18.33203125" customWidth="1"/>
    <col min="2734" max="2734" width="17.109375" customWidth="1"/>
    <col min="2735" max="2736" width="15.5546875" customWidth="1"/>
    <col min="2737" max="2737" width="25.44140625" customWidth="1"/>
    <col min="2738" max="2739" width="21" customWidth="1"/>
    <col min="2740" max="2740" width="13.109375" customWidth="1"/>
    <col min="2741" max="2741" width="15" customWidth="1"/>
    <col min="2743" max="2745" width="17.88671875" customWidth="1"/>
    <col min="2746" max="2746" width="16.88671875" customWidth="1"/>
    <col min="2747" max="2747" width="24.33203125" customWidth="1"/>
    <col min="2748" max="2750" width="15.88671875" customWidth="1"/>
    <col min="2751" max="2751" width="19" customWidth="1"/>
    <col min="2752" max="2752" width="15.33203125" customWidth="1"/>
    <col min="2753" max="2753" width="21.44140625" customWidth="1"/>
    <col min="2754" max="2754" width="16.33203125" customWidth="1"/>
    <col min="2755" max="2755" width="13.33203125" customWidth="1"/>
    <col min="2756" max="2756" width="15" customWidth="1"/>
    <col min="2757" max="2757" width="18.44140625" customWidth="1"/>
    <col min="2758" max="2758" width="17.5546875" customWidth="1"/>
    <col min="2760" max="2760" width="12.88671875" customWidth="1"/>
    <col min="2763" max="2763" width="12.109375" customWidth="1"/>
    <col min="2764" max="2764" width="13.5546875" customWidth="1"/>
    <col min="2767" max="2767" width="14.109375" customWidth="1"/>
    <col min="2768" max="2768" width="12.33203125" customWidth="1"/>
    <col min="2774" max="2774" width="20.6640625" customWidth="1"/>
    <col min="2775" max="2775" width="14.88671875" customWidth="1"/>
    <col min="2776" max="2776" width="14.33203125" customWidth="1"/>
    <col min="2777" max="2777" width="14.109375" customWidth="1"/>
    <col min="2778" max="2778" width="18.33203125" customWidth="1"/>
    <col min="2779" max="2779" width="17.33203125" customWidth="1"/>
    <col min="2780" max="2780" width="18.5546875" customWidth="1"/>
    <col min="2782" max="2782" width="18.5546875" customWidth="1"/>
    <col min="2783" max="2783" width="26.33203125" customWidth="1"/>
    <col min="2784" max="2784" width="22.44140625" customWidth="1"/>
    <col min="2785" max="2785" width="17" customWidth="1"/>
    <col min="2786" max="2786" width="20.44140625" customWidth="1"/>
    <col min="2787" max="2787" width="16.44140625" customWidth="1"/>
    <col min="2788" max="2788" width="13.33203125" customWidth="1"/>
    <col min="2789" max="2789" width="15" customWidth="1"/>
    <col min="2790" max="2790" width="16.44140625" customWidth="1"/>
    <col min="2791" max="2792" width="18.33203125" customWidth="1"/>
    <col min="2793" max="2797" width="24.88671875" customWidth="1"/>
    <col min="2798" max="2798" width="15.88671875" customWidth="1"/>
    <col min="2799" max="2799" width="19.44140625" customWidth="1"/>
    <col min="2800" max="2800" width="19.6640625" customWidth="1"/>
    <col min="2801" max="2801" width="21.44140625" customWidth="1"/>
    <col min="2802" max="2802" width="15.6640625" customWidth="1"/>
    <col min="2803" max="2803" width="26.44140625" customWidth="1"/>
    <col min="2804" max="2804" width="15.6640625" customWidth="1"/>
    <col min="2808" max="2808" width="17" customWidth="1"/>
    <col min="2809" max="2809" width="16.44140625" customWidth="1"/>
    <col min="2810" max="2810" width="19" customWidth="1"/>
    <col min="2811" max="2812" width="23.6640625" customWidth="1"/>
    <col min="2813" max="2814" width="16.44140625" customWidth="1"/>
    <col min="2815" max="2815" width="12.6640625" customWidth="1"/>
    <col min="2816" max="2816" width="13.5546875" customWidth="1"/>
    <col min="2817" max="2817" width="14.6640625" customWidth="1"/>
    <col min="2818" max="2818" width="16.88671875" customWidth="1"/>
    <col min="2958" max="2958" width="30.6640625" customWidth="1"/>
    <col min="2959" max="2959" width="0" hidden="1" customWidth="1"/>
    <col min="2960" max="2960" width="78.5546875" customWidth="1"/>
    <col min="2961" max="2961" width="12.6640625" bestFit="1" customWidth="1"/>
    <col min="2962" max="2962" width="17.109375" customWidth="1"/>
    <col min="2963" max="2963" width="15" customWidth="1"/>
    <col min="2964" max="2964" width="9.88671875" customWidth="1"/>
    <col min="2965" max="2965" width="24.5546875" bestFit="1" customWidth="1"/>
    <col min="2966" max="2966" width="20.44140625" customWidth="1"/>
    <col min="2967" max="2967" width="24.5546875" customWidth="1"/>
    <col min="2968" max="2968" width="21" customWidth="1"/>
    <col min="2969" max="2969" width="22.6640625" customWidth="1"/>
    <col min="2970" max="2970" width="19.6640625" customWidth="1"/>
    <col min="2971" max="2971" width="18.44140625" customWidth="1"/>
    <col min="2972" max="2972" width="14.5546875" customWidth="1"/>
    <col min="2973" max="2973" width="16.33203125" customWidth="1"/>
    <col min="2974" max="2974" width="21.44140625" customWidth="1"/>
    <col min="2976" max="2976" width="15.6640625" customWidth="1"/>
    <col min="2977" max="2977" width="22.6640625" customWidth="1"/>
    <col min="2978" max="2978" width="26.44140625" customWidth="1"/>
    <col min="2979" max="2979" width="20.109375" customWidth="1"/>
    <col min="2980" max="2980" width="18.44140625" customWidth="1"/>
    <col min="2981" max="2981" width="23.5546875" customWidth="1"/>
    <col min="2982" max="2982" width="16.33203125" customWidth="1"/>
    <col min="2983" max="2983" width="15.109375" customWidth="1"/>
    <col min="2984" max="2984" width="16.33203125" customWidth="1"/>
    <col min="2985" max="2985" width="15.88671875" customWidth="1"/>
    <col min="2986" max="2986" width="17.88671875" customWidth="1"/>
    <col min="2987" max="2987" width="16.33203125" customWidth="1"/>
    <col min="2988" max="2988" width="15.88671875" customWidth="1"/>
    <col min="2989" max="2989" width="18.33203125" customWidth="1"/>
    <col min="2990" max="2990" width="17.109375" customWidth="1"/>
    <col min="2991" max="2992" width="15.5546875" customWidth="1"/>
    <col min="2993" max="2993" width="25.44140625" customWidth="1"/>
    <col min="2994" max="2995" width="21" customWidth="1"/>
    <col min="2996" max="2996" width="13.109375" customWidth="1"/>
    <col min="2997" max="2997" width="15" customWidth="1"/>
    <col min="2999" max="3001" width="17.88671875" customWidth="1"/>
    <col min="3002" max="3002" width="16.88671875" customWidth="1"/>
    <col min="3003" max="3003" width="24.33203125" customWidth="1"/>
    <col min="3004" max="3006" width="15.88671875" customWidth="1"/>
    <col min="3007" max="3007" width="19" customWidth="1"/>
    <col min="3008" max="3008" width="15.33203125" customWidth="1"/>
    <col min="3009" max="3009" width="21.44140625" customWidth="1"/>
    <col min="3010" max="3010" width="16.33203125" customWidth="1"/>
    <col min="3011" max="3011" width="13.33203125" customWidth="1"/>
    <col min="3012" max="3012" width="15" customWidth="1"/>
    <col min="3013" max="3013" width="18.44140625" customWidth="1"/>
    <col min="3014" max="3014" width="17.5546875" customWidth="1"/>
    <col min="3016" max="3016" width="12.88671875" customWidth="1"/>
    <col min="3019" max="3019" width="12.109375" customWidth="1"/>
    <col min="3020" max="3020" width="13.5546875" customWidth="1"/>
    <col min="3023" max="3023" width="14.109375" customWidth="1"/>
    <col min="3024" max="3024" width="12.33203125" customWidth="1"/>
    <col min="3030" max="3030" width="20.6640625" customWidth="1"/>
    <col min="3031" max="3031" width="14.88671875" customWidth="1"/>
    <col min="3032" max="3032" width="14.33203125" customWidth="1"/>
    <col min="3033" max="3033" width="14.109375" customWidth="1"/>
    <col min="3034" max="3034" width="18.33203125" customWidth="1"/>
    <col min="3035" max="3035" width="17.33203125" customWidth="1"/>
    <col min="3036" max="3036" width="18.5546875" customWidth="1"/>
    <col min="3038" max="3038" width="18.5546875" customWidth="1"/>
    <col min="3039" max="3039" width="26.33203125" customWidth="1"/>
    <col min="3040" max="3040" width="22.44140625" customWidth="1"/>
    <col min="3041" max="3041" width="17" customWidth="1"/>
    <col min="3042" max="3042" width="20.44140625" customWidth="1"/>
    <col min="3043" max="3043" width="16.44140625" customWidth="1"/>
    <col min="3044" max="3044" width="13.33203125" customWidth="1"/>
    <col min="3045" max="3045" width="15" customWidth="1"/>
    <col min="3046" max="3046" width="16.44140625" customWidth="1"/>
    <col min="3047" max="3048" width="18.33203125" customWidth="1"/>
    <col min="3049" max="3053" width="24.88671875" customWidth="1"/>
    <col min="3054" max="3054" width="15.88671875" customWidth="1"/>
    <col min="3055" max="3055" width="19.44140625" customWidth="1"/>
    <col min="3056" max="3056" width="19.6640625" customWidth="1"/>
    <col min="3057" max="3057" width="21.44140625" customWidth="1"/>
    <col min="3058" max="3058" width="15.6640625" customWidth="1"/>
    <col min="3059" max="3059" width="26.44140625" customWidth="1"/>
    <col min="3060" max="3060" width="15.6640625" customWidth="1"/>
    <col min="3064" max="3064" width="17" customWidth="1"/>
    <col min="3065" max="3065" width="16.44140625" customWidth="1"/>
    <col min="3066" max="3066" width="19" customWidth="1"/>
    <col min="3067" max="3068" width="23.6640625" customWidth="1"/>
    <col min="3069" max="3070" width="16.44140625" customWidth="1"/>
    <col min="3071" max="3071" width="12.6640625" customWidth="1"/>
    <col min="3072" max="3072" width="13.5546875" customWidth="1"/>
    <col min="3073" max="3073" width="14.6640625" customWidth="1"/>
    <col min="3074" max="3074" width="16.88671875" customWidth="1"/>
    <col min="3214" max="3214" width="30.6640625" customWidth="1"/>
    <col min="3215" max="3215" width="0" hidden="1" customWidth="1"/>
    <col min="3216" max="3216" width="78.5546875" customWidth="1"/>
    <col min="3217" max="3217" width="12.6640625" bestFit="1" customWidth="1"/>
    <col min="3218" max="3218" width="17.109375" customWidth="1"/>
    <col min="3219" max="3219" width="15" customWidth="1"/>
    <col min="3220" max="3220" width="9.88671875" customWidth="1"/>
    <col min="3221" max="3221" width="24.5546875" bestFit="1" customWidth="1"/>
    <col min="3222" max="3222" width="20.44140625" customWidth="1"/>
    <col min="3223" max="3223" width="24.5546875" customWidth="1"/>
    <col min="3224" max="3224" width="21" customWidth="1"/>
    <col min="3225" max="3225" width="22.6640625" customWidth="1"/>
    <col min="3226" max="3226" width="19.6640625" customWidth="1"/>
    <col min="3227" max="3227" width="18.44140625" customWidth="1"/>
    <col min="3228" max="3228" width="14.5546875" customWidth="1"/>
    <col min="3229" max="3229" width="16.33203125" customWidth="1"/>
    <col min="3230" max="3230" width="21.44140625" customWidth="1"/>
    <col min="3232" max="3232" width="15.6640625" customWidth="1"/>
    <col min="3233" max="3233" width="22.6640625" customWidth="1"/>
    <col min="3234" max="3234" width="26.44140625" customWidth="1"/>
    <col min="3235" max="3235" width="20.109375" customWidth="1"/>
    <col min="3236" max="3236" width="18.44140625" customWidth="1"/>
    <col min="3237" max="3237" width="23.5546875" customWidth="1"/>
    <col min="3238" max="3238" width="16.33203125" customWidth="1"/>
    <col min="3239" max="3239" width="15.109375" customWidth="1"/>
    <col min="3240" max="3240" width="16.33203125" customWidth="1"/>
    <col min="3241" max="3241" width="15.88671875" customWidth="1"/>
    <col min="3242" max="3242" width="17.88671875" customWidth="1"/>
    <col min="3243" max="3243" width="16.33203125" customWidth="1"/>
    <col min="3244" max="3244" width="15.88671875" customWidth="1"/>
    <col min="3245" max="3245" width="18.33203125" customWidth="1"/>
    <col min="3246" max="3246" width="17.109375" customWidth="1"/>
    <col min="3247" max="3248" width="15.5546875" customWidth="1"/>
    <col min="3249" max="3249" width="25.44140625" customWidth="1"/>
    <col min="3250" max="3251" width="21" customWidth="1"/>
    <col min="3252" max="3252" width="13.109375" customWidth="1"/>
    <col min="3253" max="3253" width="15" customWidth="1"/>
    <col min="3255" max="3257" width="17.88671875" customWidth="1"/>
    <col min="3258" max="3258" width="16.88671875" customWidth="1"/>
    <col min="3259" max="3259" width="24.33203125" customWidth="1"/>
    <col min="3260" max="3262" width="15.88671875" customWidth="1"/>
    <col min="3263" max="3263" width="19" customWidth="1"/>
    <col min="3264" max="3264" width="15.33203125" customWidth="1"/>
    <col min="3265" max="3265" width="21.44140625" customWidth="1"/>
    <col min="3266" max="3266" width="16.33203125" customWidth="1"/>
    <col min="3267" max="3267" width="13.33203125" customWidth="1"/>
    <col min="3268" max="3268" width="15" customWidth="1"/>
    <col min="3269" max="3269" width="18.44140625" customWidth="1"/>
    <col min="3270" max="3270" width="17.5546875" customWidth="1"/>
    <col min="3272" max="3272" width="12.88671875" customWidth="1"/>
    <col min="3275" max="3275" width="12.109375" customWidth="1"/>
    <col min="3276" max="3276" width="13.5546875" customWidth="1"/>
    <col min="3279" max="3279" width="14.109375" customWidth="1"/>
    <col min="3280" max="3280" width="12.33203125" customWidth="1"/>
    <col min="3286" max="3286" width="20.6640625" customWidth="1"/>
    <col min="3287" max="3287" width="14.88671875" customWidth="1"/>
    <col min="3288" max="3288" width="14.33203125" customWidth="1"/>
    <col min="3289" max="3289" width="14.109375" customWidth="1"/>
    <col min="3290" max="3290" width="18.33203125" customWidth="1"/>
    <col min="3291" max="3291" width="17.33203125" customWidth="1"/>
    <col min="3292" max="3292" width="18.5546875" customWidth="1"/>
    <col min="3294" max="3294" width="18.5546875" customWidth="1"/>
    <col min="3295" max="3295" width="26.33203125" customWidth="1"/>
    <col min="3296" max="3296" width="22.44140625" customWidth="1"/>
    <col min="3297" max="3297" width="17" customWidth="1"/>
    <col min="3298" max="3298" width="20.44140625" customWidth="1"/>
    <col min="3299" max="3299" width="16.44140625" customWidth="1"/>
    <col min="3300" max="3300" width="13.33203125" customWidth="1"/>
    <col min="3301" max="3301" width="15" customWidth="1"/>
    <col min="3302" max="3302" width="16.44140625" customWidth="1"/>
    <col min="3303" max="3304" width="18.33203125" customWidth="1"/>
    <col min="3305" max="3309" width="24.88671875" customWidth="1"/>
    <col min="3310" max="3310" width="15.88671875" customWidth="1"/>
    <col min="3311" max="3311" width="19.44140625" customWidth="1"/>
    <col min="3312" max="3312" width="19.6640625" customWidth="1"/>
    <col min="3313" max="3313" width="21.44140625" customWidth="1"/>
    <col min="3314" max="3314" width="15.6640625" customWidth="1"/>
    <col min="3315" max="3315" width="26.44140625" customWidth="1"/>
    <col min="3316" max="3316" width="15.6640625" customWidth="1"/>
    <col min="3320" max="3320" width="17" customWidth="1"/>
    <col min="3321" max="3321" width="16.44140625" customWidth="1"/>
    <col min="3322" max="3322" width="19" customWidth="1"/>
    <col min="3323" max="3324" width="23.6640625" customWidth="1"/>
    <col min="3325" max="3326" width="16.44140625" customWidth="1"/>
    <col min="3327" max="3327" width="12.6640625" customWidth="1"/>
    <col min="3328" max="3328" width="13.5546875" customWidth="1"/>
    <col min="3329" max="3329" width="14.6640625" customWidth="1"/>
    <col min="3330" max="3330" width="16.88671875" customWidth="1"/>
    <col min="3470" max="3470" width="30.6640625" customWidth="1"/>
    <col min="3471" max="3471" width="0" hidden="1" customWidth="1"/>
    <col min="3472" max="3472" width="78.5546875" customWidth="1"/>
    <col min="3473" max="3473" width="12.6640625" bestFit="1" customWidth="1"/>
    <col min="3474" max="3474" width="17.109375" customWidth="1"/>
    <col min="3475" max="3475" width="15" customWidth="1"/>
    <col min="3476" max="3476" width="9.88671875" customWidth="1"/>
    <col min="3477" max="3477" width="24.5546875" bestFit="1" customWidth="1"/>
    <col min="3478" max="3478" width="20.44140625" customWidth="1"/>
    <col min="3479" max="3479" width="24.5546875" customWidth="1"/>
    <col min="3480" max="3480" width="21" customWidth="1"/>
    <col min="3481" max="3481" width="22.6640625" customWidth="1"/>
    <col min="3482" max="3482" width="19.6640625" customWidth="1"/>
    <col min="3483" max="3483" width="18.44140625" customWidth="1"/>
    <col min="3484" max="3484" width="14.5546875" customWidth="1"/>
    <col min="3485" max="3485" width="16.33203125" customWidth="1"/>
    <col min="3486" max="3486" width="21.44140625" customWidth="1"/>
    <col min="3488" max="3488" width="15.6640625" customWidth="1"/>
    <col min="3489" max="3489" width="22.6640625" customWidth="1"/>
    <col min="3490" max="3490" width="26.44140625" customWidth="1"/>
    <col min="3491" max="3491" width="20.109375" customWidth="1"/>
    <col min="3492" max="3492" width="18.44140625" customWidth="1"/>
    <col min="3493" max="3493" width="23.5546875" customWidth="1"/>
    <col min="3494" max="3494" width="16.33203125" customWidth="1"/>
    <col min="3495" max="3495" width="15.109375" customWidth="1"/>
    <col min="3496" max="3496" width="16.33203125" customWidth="1"/>
    <col min="3497" max="3497" width="15.88671875" customWidth="1"/>
    <col min="3498" max="3498" width="17.88671875" customWidth="1"/>
    <col min="3499" max="3499" width="16.33203125" customWidth="1"/>
    <col min="3500" max="3500" width="15.88671875" customWidth="1"/>
    <col min="3501" max="3501" width="18.33203125" customWidth="1"/>
    <col min="3502" max="3502" width="17.109375" customWidth="1"/>
    <col min="3503" max="3504" width="15.5546875" customWidth="1"/>
    <col min="3505" max="3505" width="25.44140625" customWidth="1"/>
    <col min="3506" max="3507" width="21" customWidth="1"/>
    <col min="3508" max="3508" width="13.109375" customWidth="1"/>
    <col min="3509" max="3509" width="15" customWidth="1"/>
    <col min="3511" max="3513" width="17.88671875" customWidth="1"/>
    <col min="3514" max="3514" width="16.88671875" customWidth="1"/>
    <col min="3515" max="3515" width="24.33203125" customWidth="1"/>
    <col min="3516" max="3518" width="15.88671875" customWidth="1"/>
    <col min="3519" max="3519" width="19" customWidth="1"/>
    <col min="3520" max="3520" width="15.33203125" customWidth="1"/>
    <col min="3521" max="3521" width="21.44140625" customWidth="1"/>
    <col min="3522" max="3522" width="16.33203125" customWidth="1"/>
    <col min="3523" max="3523" width="13.33203125" customWidth="1"/>
    <col min="3524" max="3524" width="15" customWidth="1"/>
    <col min="3525" max="3525" width="18.44140625" customWidth="1"/>
    <col min="3526" max="3526" width="17.5546875" customWidth="1"/>
    <col min="3528" max="3528" width="12.88671875" customWidth="1"/>
    <col min="3531" max="3531" width="12.109375" customWidth="1"/>
    <col min="3532" max="3532" width="13.5546875" customWidth="1"/>
    <col min="3535" max="3535" width="14.109375" customWidth="1"/>
    <col min="3536" max="3536" width="12.33203125" customWidth="1"/>
    <col min="3542" max="3542" width="20.6640625" customWidth="1"/>
    <col min="3543" max="3543" width="14.88671875" customWidth="1"/>
    <col min="3544" max="3544" width="14.33203125" customWidth="1"/>
    <col min="3545" max="3545" width="14.109375" customWidth="1"/>
    <col min="3546" max="3546" width="18.33203125" customWidth="1"/>
    <col min="3547" max="3547" width="17.33203125" customWidth="1"/>
    <col min="3548" max="3548" width="18.5546875" customWidth="1"/>
    <col min="3550" max="3550" width="18.5546875" customWidth="1"/>
    <col min="3551" max="3551" width="26.33203125" customWidth="1"/>
    <col min="3552" max="3552" width="22.44140625" customWidth="1"/>
    <col min="3553" max="3553" width="17" customWidth="1"/>
    <col min="3554" max="3554" width="20.44140625" customWidth="1"/>
    <col min="3555" max="3555" width="16.44140625" customWidth="1"/>
    <col min="3556" max="3556" width="13.33203125" customWidth="1"/>
    <col min="3557" max="3557" width="15" customWidth="1"/>
    <col min="3558" max="3558" width="16.44140625" customWidth="1"/>
    <col min="3559" max="3560" width="18.33203125" customWidth="1"/>
    <col min="3561" max="3565" width="24.88671875" customWidth="1"/>
    <col min="3566" max="3566" width="15.88671875" customWidth="1"/>
    <col min="3567" max="3567" width="19.44140625" customWidth="1"/>
    <col min="3568" max="3568" width="19.6640625" customWidth="1"/>
    <col min="3569" max="3569" width="21.44140625" customWidth="1"/>
    <col min="3570" max="3570" width="15.6640625" customWidth="1"/>
    <col min="3571" max="3571" width="26.44140625" customWidth="1"/>
    <col min="3572" max="3572" width="15.6640625" customWidth="1"/>
    <col min="3576" max="3576" width="17" customWidth="1"/>
    <col min="3577" max="3577" width="16.44140625" customWidth="1"/>
    <col min="3578" max="3578" width="19" customWidth="1"/>
    <col min="3579" max="3580" width="23.6640625" customWidth="1"/>
    <col min="3581" max="3582" width="16.44140625" customWidth="1"/>
    <col min="3583" max="3583" width="12.6640625" customWidth="1"/>
    <col min="3584" max="3584" width="13.5546875" customWidth="1"/>
    <col min="3585" max="3585" width="14.6640625" customWidth="1"/>
    <col min="3586" max="3586" width="16.88671875" customWidth="1"/>
    <col min="3726" max="3726" width="30.6640625" customWidth="1"/>
    <col min="3727" max="3727" width="0" hidden="1" customWidth="1"/>
    <col min="3728" max="3728" width="78.5546875" customWidth="1"/>
    <col min="3729" max="3729" width="12.6640625" bestFit="1" customWidth="1"/>
    <col min="3730" max="3730" width="17.109375" customWidth="1"/>
    <col min="3731" max="3731" width="15" customWidth="1"/>
    <col min="3732" max="3732" width="9.88671875" customWidth="1"/>
    <col min="3733" max="3733" width="24.5546875" bestFit="1" customWidth="1"/>
    <col min="3734" max="3734" width="20.44140625" customWidth="1"/>
    <col min="3735" max="3735" width="24.5546875" customWidth="1"/>
    <col min="3736" max="3736" width="21" customWidth="1"/>
    <col min="3737" max="3737" width="22.6640625" customWidth="1"/>
    <col min="3738" max="3738" width="19.6640625" customWidth="1"/>
    <col min="3739" max="3739" width="18.44140625" customWidth="1"/>
    <col min="3740" max="3740" width="14.5546875" customWidth="1"/>
    <col min="3741" max="3741" width="16.33203125" customWidth="1"/>
    <col min="3742" max="3742" width="21.44140625" customWidth="1"/>
    <col min="3744" max="3744" width="15.6640625" customWidth="1"/>
    <col min="3745" max="3745" width="22.6640625" customWidth="1"/>
    <col min="3746" max="3746" width="26.44140625" customWidth="1"/>
    <col min="3747" max="3747" width="20.109375" customWidth="1"/>
    <col min="3748" max="3748" width="18.44140625" customWidth="1"/>
    <col min="3749" max="3749" width="23.5546875" customWidth="1"/>
    <col min="3750" max="3750" width="16.33203125" customWidth="1"/>
    <col min="3751" max="3751" width="15.109375" customWidth="1"/>
    <col min="3752" max="3752" width="16.33203125" customWidth="1"/>
    <col min="3753" max="3753" width="15.88671875" customWidth="1"/>
    <col min="3754" max="3754" width="17.88671875" customWidth="1"/>
    <col min="3755" max="3755" width="16.33203125" customWidth="1"/>
    <col min="3756" max="3756" width="15.88671875" customWidth="1"/>
    <col min="3757" max="3757" width="18.33203125" customWidth="1"/>
    <col min="3758" max="3758" width="17.109375" customWidth="1"/>
    <col min="3759" max="3760" width="15.5546875" customWidth="1"/>
    <col min="3761" max="3761" width="25.44140625" customWidth="1"/>
    <col min="3762" max="3763" width="21" customWidth="1"/>
    <col min="3764" max="3764" width="13.109375" customWidth="1"/>
    <col min="3765" max="3765" width="15" customWidth="1"/>
    <col min="3767" max="3769" width="17.88671875" customWidth="1"/>
    <col min="3770" max="3770" width="16.88671875" customWidth="1"/>
    <col min="3771" max="3771" width="24.33203125" customWidth="1"/>
    <col min="3772" max="3774" width="15.88671875" customWidth="1"/>
    <col min="3775" max="3775" width="19" customWidth="1"/>
    <col min="3776" max="3776" width="15.33203125" customWidth="1"/>
    <col min="3777" max="3777" width="21.44140625" customWidth="1"/>
    <col min="3778" max="3778" width="16.33203125" customWidth="1"/>
    <col min="3779" max="3779" width="13.33203125" customWidth="1"/>
    <col min="3780" max="3780" width="15" customWidth="1"/>
    <col min="3781" max="3781" width="18.44140625" customWidth="1"/>
    <col min="3782" max="3782" width="17.5546875" customWidth="1"/>
    <col min="3784" max="3784" width="12.88671875" customWidth="1"/>
    <col min="3787" max="3787" width="12.109375" customWidth="1"/>
    <col min="3788" max="3788" width="13.5546875" customWidth="1"/>
    <col min="3791" max="3791" width="14.109375" customWidth="1"/>
    <col min="3792" max="3792" width="12.33203125" customWidth="1"/>
    <col min="3798" max="3798" width="20.6640625" customWidth="1"/>
    <col min="3799" max="3799" width="14.88671875" customWidth="1"/>
    <col min="3800" max="3800" width="14.33203125" customWidth="1"/>
    <col min="3801" max="3801" width="14.109375" customWidth="1"/>
    <col min="3802" max="3802" width="18.33203125" customWidth="1"/>
    <col min="3803" max="3803" width="17.33203125" customWidth="1"/>
    <col min="3804" max="3804" width="18.5546875" customWidth="1"/>
    <col min="3806" max="3806" width="18.5546875" customWidth="1"/>
    <col min="3807" max="3807" width="26.33203125" customWidth="1"/>
    <col min="3808" max="3808" width="22.44140625" customWidth="1"/>
    <col min="3809" max="3809" width="17" customWidth="1"/>
    <col min="3810" max="3810" width="20.44140625" customWidth="1"/>
    <col min="3811" max="3811" width="16.44140625" customWidth="1"/>
    <col min="3812" max="3812" width="13.33203125" customWidth="1"/>
    <col min="3813" max="3813" width="15" customWidth="1"/>
    <col min="3814" max="3814" width="16.44140625" customWidth="1"/>
    <col min="3815" max="3816" width="18.33203125" customWidth="1"/>
    <col min="3817" max="3821" width="24.88671875" customWidth="1"/>
    <col min="3822" max="3822" width="15.88671875" customWidth="1"/>
    <col min="3823" max="3823" width="19.44140625" customWidth="1"/>
    <col min="3824" max="3824" width="19.6640625" customWidth="1"/>
    <col min="3825" max="3825" width="21.44140625" customWidth="1"/>
    <col min="3826" max="3826" width="15.6640625" customWidth="1"/>
    <col min="3827" max="3827" width="26.44140625" customWidth="1"/>
    <col min="3828" max="3828" width="15.6640625" customWidth="1"/>
    <col min="3832" max="3832" width="17" customWidth="1"/>
    <col min="3833" max="3833" width="16.44140625" customWidth="1"/>
    <col min="3834" max="3834" width="19" customWidth="1"/>
    <col min="3835" max="3836" width="23.6640625" customWidth="1"/>
    <col min="3837" max="3838" width="16.44140625" customWidth="1"/>
    <col min="3839" max="3839" width="12.6640625" customWidth="1"/>
    <col min="3840" max="3840" width="13.5546875" customWidth="1"/>
    <col min="3841" max="3841" width="14.6640625" customWidth="1"/>
    <col min="3842" max="3842" width="16.88671875" customWidth="1"/>
    <col min="3982" max="3982" width="30.6640625" customWidth="1"/>
    <col min="3983" max="3983" width="0" hidden="1" customWidth="1"/>
    <col min="3984" max="3984" width="78.5546875" customWidth="1"/>
    <col min="3985" max="3985" width="12.6640625" bestFit="1" customWidth="1"/>
    <col min="3986" max="3986" width="17.109375" customWidth="1"/>
    <col min="3987" max="3987" width="15" customWidth="1"/>
    <col min="3988" max="3988" width="9.88671875" customWidth="1"/>
    <col min="3989" max="3989" width="24.5546875" bestFit="1" customWidth="1"/>
    <col min="3990" max="3990" width="20.44140625" customWidth="1"/>
    <col min="3991" max="3991" width="24.5546875" customWidth="1"/>
    <col min="3992" max="3992" width="21" customWidth="1"/>
    <col min="3993" max="3993" width="22.6640625" customWidth="1"/>
    <col min="3994" max="3994" width="19.6640625" customWidth="1"/>
    <col min="3995" max="3995" width="18.44140625" customWidth="1"/>
    <col min="3996" max="3996" width="14.5546875" customWidth="1"/>
    <col min="3997" max="3997" width="16.33203125" customWidth="1"/>
    <col min="3998" max="3998" width="21.44140625" customWidth="1"/>
    <col min="4000" max="4000" width="15.6640625" customWidth="1"/>
    <col min="4001" max="4001" width="22.6640625" customWidth="1"/>
    <col min="4002" max="4002" width="26.44140625" customWidth="1"/>
    <col min="4003" max="4003" width="20.109375" customWidth="1"/>
    <col min="4004" max="4004" width="18.44140625" customWidth="1"/>
    <col min="4005" max="4005" width="23.5546875" customWidth="1"/>
    <col min="4006" max="4006" width="16.33203125" customWidth="1"/>
    <col min="4007" max="4007" width="15.109375" customWidth="1"/>
    <col min="4008" max="4008" width="16.33203125" customWidth="1"/>
    <col min="4009" max="4009" width="15.88671875" customWidth="1"/>
    <col min="4010" max="4010" width="17.88671875" customWidth="1"/>
    <col min="4011" max="4011" width="16.33203125" customWidth="1"/>
    <col min="4012" max="4012" width="15.88671875" customWidth="1"/>
    <col min="4013" max="4013" width="18.33203125" customWidth="1"/>
    <col min="4014" max="4014" width="17.109375" customWidth="1"/>
    <col min="4015" max="4016" width="15.5546875" customWidth="1"/>
    <col min="4017" max="4017" width="25.44140625" customWidth="1"/>
    <col min="4018" max="4019" width="21" customWidth="1"/>
    <col min="4020" max="4020" width="13.109375" customWidth="1"/>
    <col min="4021" max="4021" width="15" customWidth="1"/>
    <col min="4023" max="4025" width="17.88671875" customWidth="1"/>
    <col min="4026" max="4026" width="16.88671875" customWidth="1"/>
    <col min="4027" max="4027" width="24.33203125" customWidth="1"/>
    <col min="4028" max="4030" width="15.88671875" customWidth="1"/>
    <col min="4031" max="4031" width="19" customWidth="1"/>
    <col min="4032" max="4032" width="15.33203125" customWidth="1"/>
    <col min="4033" max="4033" width="21.44140625" customWidth="1"/>
    <col min="4034" max="4034" width="16.33203125" customWidth="1"/>
    <col min="4035" max="4035" width="13.33203125" customWidth="1"/>
    <col min="4036" max="4036" width="15" customWidth="1"/>
    <col min="4037" max="4037" width="18.44140625" customWidth="1"/>
    <col min="4038" max="4038" width="17.5546875" customWidth="1"/>
    <col min="4040" max="4040" width="12.88671875" customWidth="1"/>
    <col min="4043" max="4043" width="12.109375" customWidth="1"/>
    <col min="4044" max="4044" width="13.5546875" customWidth="1"/>
    <col min="4047" max="4047" width="14.109375" customWidth="1"/>
    <col min="4048" max="4048" width="12.33203125" customWidth="1"/>
    <col min="4054" max="4054" width="20.6640625" customWidth="1"/>
    <col min="4055" max="4055" width="14.88671875" customWidth="1"/>
    <col min="4056" max="4056" width="14.33203125" customWidth="1"/>
    <col min="4057" max="4057" width="14.109375" customWidth="1"/>
    <col min="4058" max="4058" width="18.33203125" customWidth="1"/>
    <col min="4059" max="4059" width="17.33203125" customWidth="1"/>
    <col min="4060" max="4060" width="18.5546875" customWidth="1"/>
    <col min="4062" max="4062" width="18.5546875" customWidth="1"/>
    <col min="4063" max="4063" width="26.33203125" customWidth="1"/>
    <col min="4064" max="4064" width="22.44140625" customWidth="1"/>
    <col min="4065" max="4065" width="17" customWidth="1"/>
    <col min="4066" max="4066" width="20.44140625" customWidth="1"/>
    <col min="4067" max="4067" width="16.44140625" customWidth="1"/>
    <col min="4068" max="4068" width="13.33203125" customWidth="1"/>
    <col min="4069" max="4069" width="15" customWidth="1"/>
    <col min="4070" max="4070" width="16.44140625" customWidth="1"/>
    <col min="4071" max="4072" width="18.33203125" customWidth="1"/>
    <col min="4073" max="4077" width="24.88671875" customWidth="1"/>
    <col min="4078" max="4078" width="15.88671875" customWidth="1"/>
    <col min="4079" max="4079" width="19.44140625" customWidth="1"/>
    <col min="4080" max="4080" width="19.6640625" customWidth="1"/>
    <col min="4081" max="4081" width="21.44140625" customWidth="1"/>
    <col min="4082" max="4082" width="15.6640625" customWidth="1"/>
    <col min="4083" max="4083" width="26.44140625" customWidth="1"/>
    <col min="4084" max="4084" width="15.6640625" customWidth="1"/>
    <col min="4088" max="4088" width="17" customWidth="1"/>
    <col min="4089" max="4089" width="16.44140625" customWidth="1"/>
    <col min="4090" max="4090" width="19" customWidth="1"/>
    <col min="4091" max="4092" width="23.6640625" customWidth="1"/>
    <col min="4093" max="4094" width="16.44140625" customWidth="1"/>
    <col min="4095" max="4095" width="12.6640625" customWidth="1"/>
    <col min="4096" max="4096" width="13.5546875" customWidth="1"/>
    <col min="4097" max="4097" width="14.6640625" customWidth="1"/>
    <col min="4098" max="4098" width="16.88671875" customWidth="1"/>
    <col min="4238" max="4238" width="30.6640625" customWidth="1"/>
    <col min="4239" max="4239" width="0" hidden="1" customWidth="1"/>
    <col min="4240" max="4240" width="78.5546875" customWidth="1"/>
    <col min="4241" max="4241" width="12.6640625" bestFit="1" customWidth="1"/>
    <col min="4242" max="4242" width="17.109375" customWidth="1"/>
    <col min="4243" max="4243" width="15" customWidth="1"/>
    <col min="4244" max="4244" width="9.88671875" customWidth="1"/>
    <col min="4245" max="4245" width="24.5546875" bestFit="1" customWidth="1"/>
    <col min="4246" max="4246" width="20.44140625" customWidth="1"/>
    <col min="4247" max="4247" width="24.5546875" customWidth="1"/>
    <col min="4248" max="4248" width="21" customWidth="1"/>
    <col min="4249" max="4249" width="22.6640625" customWidth="1"/>
    <col min="4250" max="4250" width="19.6640625" customWidth="1"/>
    <col min="4251" max="4251" width="18.44140625" customWidth="1"/>
    <col min="4252" max="4252" width="14.5546875" customWidth="1"/>
    <col min="4253" max="4253" width="16.33203125" customWidth="1"/>
    <col min="4254" max="4254" width="21.44140625" customWidth="1"/>
    <col min="4256" max="4256" width="15.6640625" customWidth="1"/>
    <col min="4257" max="4257" width="22.6640625" customWidth="1"/>
    <col min="4258" max="4258" width="26.44140625" customWidth="1"/>
    <col min="4259" max="4259" width="20.109375" customWidth="1"/>
    <col min="4260" max="4260" width="18.44140625" customWidth="1"/>
    <col min="4261" max="4261" width="23.5546875" customWidth="1"/>
    <col min="4262" max="4262" width="16.33203125" customWidth="1"/>
    <col min="4263" max="4263" width="15.109375" customWidth="1"/>
    <col min="4264" max="4264" width="16.33203125" customWidth="1"/>
    <col min="4265" max="4265" width="15.88671875" customWidth="1"/>
    <col min="4266" max="4266" width="17.88671875" customWidth="1"/>
    <col min="4267" max="4267" width="16.33203125" customWidth="1"/>
    <col min="4268" max="4268" width="15.88671875" customWidth="1"/>
    <col min="4269" max="4269" width="18.33203125" customWidth="1"/>
    <col min="4270" max="4270" width="17.109375" customWidth="1"/>
    <col min="4271" max="4272" width="15.5546875" customWidth="1"/>
    <col min="4273" max="4273" width="25.44140625" customWidth="1"/>
    <col min="4274" max="4275" width="21" customWidth="1"/>
    <col min="4276" max="4276" width="13.109375" customWidth="1"/>
    <col min="4277" max="4277" width="15" customWidth="1"/>
    <col min="4279" max="4281" width="17.88671875" customWidth="1"/>
    <col min="4282" max="4282" width="16.88671875" customWidth="1"/>
    <col min="4283" max="4283" width="24.33203125" customWidth="1"/>
    <col min="4284" max="4286" width="15.88671875" customWidth="1"/>
    <col min="4287" max="4287" width="19" customWidth="1"/>
    <col min="4288" max="4288" width="15.33203125" customWidth="1"/>
    <col min="4289" max="4289" width="21.44140625" customWidth="1"/>
    <col min="4290" max="4290" width="16.33203125" customWidth="1"/>
    <col min="4291" max="4291" width="13.33203125" customWidth="1"/>
    <col min="4292" max="4292" width="15" customWidth="1"/>
    <col min="4293" max="4293" width="18.44140625" customWidth="1"/>
    <col min="4294" max="4294" width="17.5546875" customWidth="1"/>
    <col min="4296" max="4296" width="12.88671875" customWidth="1"/>
    <col min="4299" max="4299" width="12.109375" customWidth="1"/>
    <col min="4300" max="4300" width="13.5546875" customWidth="1"/>
    <col min="4303" max="4303" width="14.109375" customWidth="1"/>
    <col min="4304" max="4304" width="12.33203125" customWidth="1"/>
    <col min="4310" max="4310" width="20.6640625" customWidth="1"/>
    <col min="4311" max="4311" width="14.88671875" customWidth="1"/>
    <col min="4312" max="4312" width="14.33203125" customWidth="1"/>
    <col min="4313" max="4313" width="14.109375" customWidth="1"/>
    <col min="4314" max="4314" width="18.33203125" customWidth="1"/>
    <col min="4315" max="4315" width="17.33203125" customWidth="1"/>
    <col min="4316" max="4316" width="18.5546875" customWidth="1"/>
    <col min="4318" max="4318" width="18.5546875" customWidth="1"/>
    <col min="4319" max="4319" width="26.33203125" customWidth="1"/>
    <col min="4320" max="4320" width="22.44140625" customWidth="1"/>
    <col min="4321" max="4321" width="17" customWidth="1"/>
    <col min="4322" max="4322" width="20.44140625" customWidth="1"/>
    <col min="4323" max="4323" width="16.44140625" customWidth="1"/>
    <col min="4324" max="4324" width="13.33203125" customWidth="1"/>
    <col min="4325" max="4325" width="15" customWidth="1"/>
    <col min="4326" max="4326" width="16.44140625" customWidth="1"/>
    <col min="4327" max="4328" width="18.33203125" customWidth="1"/>
    <col min="4329" max="4333" width="24.88671875" customWidth="1"/>
    <col min="4334" max="4334" width="15.88671875" customWidth="1"/>
    <col min="4335" max="4335" width="19.44140625" customWidth="1"/>
    <col min="4336" max="4336" width="19.6640625" customWidth="1"/>
    <col min="4337" max="4337" width="21.44140625" customWidth="1"/>
    <col min="4338" max="4338" width="15.6640625" customWidth="1"/>
    <col min="4339" max="4339" width="26.44140625" customWidth="1"/>
    <col min="4340" max="4340" width="15.6640625" customWidth="1"/>
    <col min="4344" max="4344" width="17" customWidth="1"/>
    <col min="4345" max="4345" width="16.44140625" customWidth="1"/>
    <col min="4346" max="4346" width="19" customWidth="1"/>
    <col min="4347" max="4348" width="23.6640625" customWidth="1"/>
    <col min="4349" max="4350" width="16.44140625" customWidth="1"/>
    <col min="4351" max="4351" width="12.6640625" customWidth="1"/>
    <col min="4352" max="4352" width="13.5546875" customWidth="1"/>
    <col min="4353" max="4353" width="14.6640625" customWidth="1"/>
    <col min="4354" max="4354" width="16.88671875" customWidth="1"/>
    <col min="4494" max="4494" width="30.6640625" customWidth="1"/>
    <col min="4495" max="4495" width="0" hidden="1" customWidth="1"/>
    <col min="4496" max="4496" width="78.5546875" customWidth="1"/>
    <col min="4497" max="4497" width="12.6640625" bestFit="1" customWidth="1"/>
    <col min="4498" max="4498" width="17.109375" customWidth="1"/>
    <col min="4499" max="4499" width="15" customWidth="1"/>
    <col min="4500" max="4500" width="9.88671875" customWidth="1"/>
    <col min="4501" max="4501" width="24.5546875" bestFit="1" customWidth="1"/>
    <col min="4502" max="4502" width="20.44140625" customWidth="1"/>
    <col min="4503" max="4503" width="24.5546875" customWidth="1"/>
    <col min="4504" max="4504" width="21" customWidth="1"/>
    <col min="4505" max="4505" width="22.6640625" customWidth="1"/>
    <col min="4506" max="4506" width="19.6640625" customWidth="1"/>
    <col min="4507" max="4507" width="18.44140625" customWidth="1"/>
    <col min="4508" max="4508" width="14.5546875" customWidth="1"/>
    <col min="4509" max="4509" width="16.33203125" customWidth="1"/>
    <col min="4510" max="4510" width="21.44140625" customWidth="1"/>
    <col min="4512" max="4512" width="15.6640625" customWidth="1"/>
    <col min="4513" max="4513" width="22.6640625" customWidth="1"/>
    <col min="4514" max="4514" width="26.44140625" customWidth="1"/>
    <col min="4515" max="4515" width="20.109375" customWidth="1"/>
    <col min="4516" max="4516" width="18.44140625" customWidth="1"/>
    <col min="4517" max="4517" width="23.5546875" customWidth="1"/>
    <col min="4518" max="4518" width="16.33203125" customWidth="1"/>
    <col min="4519" max="4519" width="15.109375" customWidth="1"/>
    <col min="4520" max="4520" width="16.33203125" customWidth="1"/>
    <col min="4521" max="4521" width="15.88671875" customWidth="1"/>
    <col min="4522" max="4522" width="17.88671875" customWidth="1"/>
    <col min="4523" max="4523" width="16.33203125" customWidth="1"/>
    <col min="4524" max="4524" width="15.88671875" customWidth="1"/>
    <col min="4525" max="4525" width="18.33203125" customWidth="1"/>
    <col min="4526" max="4526" width="17.109375" customWidth="1"/>
    <col min="4527" max="4528" width="15.5546875" customWidth="1"/>
    <col min="4529" max="4529" width="25.44140625" customWidth="1"/>
    <col min="4530" max="4531" width="21" customWidth="1"/>
    <col min="4532" max="4532" width="13.109375" customWidth="1"/>
    <col min="4533" max="4533" width="15" customWidth="1"/>
    <col min="4535" max="4537" width="17.88671875" customWidth="1"/>
    <col min="4538" max="4538" width="16.88671875" customWidth="1"/>
    <col min="4539" max="4539" width="24.33203125" customWidth="1"/>
    <col min="4540" max="4542" width="15.88671875" customWidth="1"/>
    <col min="4543" max="4543" width="19" customWidth="1"/>
    <col min="4544" max="4544" width="15.33203125" customWidth="1"/>
    <col min="4545" max="4545" width="21.44140625" customWidth="1"/>
    <col min="4546" max="4546" width="16.33203125" customWidth="1"/>
    <col min="4547" max="4547" width="13.33203125" customWidth="1"/>
    <col min="4548" max="4548" width="15" customWidth="1"/>
    <col min="4549" max="4549" width="18.44140625" customWidth="1"/>
    <col min="4550" max="4550" width="17.5546875" customWidth="1"/>
    <col min="4552" max="4552" width="12.88671875" customWidth="1"/>
    <col min="4555" max="4555" width="12.109375" customWidth="1"/>
    <col min="4556" max="4556" width="13.5546875" customWidth="1"/>
    <col min="4559" max="4559" width="14.109375" customWidth="1"/>
    <col min="4560" max="4560" width="12.33203125" customWidth="1"/>
    <col min="4566" max="4566" width="20.6640625" customWidth="1"/>
    <col min="4567" max="4567" width="14.88671875" customWidth="1"/>
    <col min="4568" max="4568" width="14.33203125" customWidth="1"/>
    <col min="4569" max="4569" width="14.109375" customWidth="1"/>
    <col min="4570" max="4570" width="18.33203125" customWidth="1"/>
    <col min="4571" max="4571" width="17.33203125" customWidth="1"/>
    <col min="4572" max="4572" width="18.5546875" customWidth="1"/>
    <col min="4574" max="4574" width="18.5546875" customWidth="1"/>
    <col min="4575" max="4575" width="26.33203125" customWidth="1"/>
    <col min="4576" max="4576" width="22.44140625" customWidth="1"/>
    <col min="4577" max="4577" width="17" customWidth="1"/>
    <col min="4578" max="4578" width="20.44140625" customWidth="1"/>
    <col min="4579" max="4579" width="16.44140625" customWidth="1"/>
    <col min="4580" max="4580" width="13.33203125" customWidth="1"/>
    <col min="4581" max="4581" width="15" customWidth="1"/>
    <col min="4582" max="4582" width="16.44140625" customWidth="1"/>
    <col min="4583" max="4584" width="18.33203125" customWidth="1"/>
    <col min="4585" max="4589" width="24.88671875" customWidth="1"/>
    <col min="4590" max="4590" width="15.88671875" customWidth="1"/>
    <col min="4591" max="4591" width="19.44140625" customWidth="1"/>
    <col min="4592" max="4592" width="19.6640625" customWidth="1"/>
    <col min="4593" max="4593" width="21.44140625" customWidth="1"/>
    <col min="4594" max="4594" width="15.6640625" customWidth="1"/>
    <col min="4595" max="4595" width="26.44140625" customWidth="1"/>
    <col min="4596" max="4596" width="15.6640625" customWidth="1"/>
    <col min="4600" max="4600" width="17" customWidth="1"/>
    <col min="4601" max="4601" width="16.44140625" customWidth="1"/>
    <col min="4602" max="4602" width="19" customWidth="1"/>
    <col min="4603" max="4604" width="23.6640625" customWidth="1"/>
    <col min="4605" max="4606" width="16.44140625" customWidth="1"/>
    <col min="4607" max="4607" width="12.6640625" customWidth="1"/>
    <col min="4608" max="4608" width="13.5546875" customWidth="1"/>
    <col min="4609" max="4609" width="14.6640625" customWidth="1"/>
    <col min="4610" max="4610" width="16.88671875" customWidth="1"/>
    <col min="4750" max="4750" width="30.6640625" customWidth="1"/>
    <col min="4751" max="4751" width="0" hidden="1" customWidth="1"/>
    <col min="4752" max="4752" width="78.5546875" customWidth="1"/>
    <col min="4753" max="4753" width="12.6640625" bestFit="1" customWidth="1"/>
    <col min="4754" max="4754" width="17.109375" customWidth="1"/>
    <col min="4755" max="4755" width="15" customWidth="1"/>
    <col min="4756" max="4756" width="9.88671875" customWidth="1"/>
    <col min="4757" max="4757" width="24.5546875" bestFit="1" customWidth="1"/>
    <col min="4758" max="4758" width="20.44140625" customWidth="1"/>
    <col min="4759" max="4759" width="24.5546875" customWidth="1"/>
    <col min="4760" max="4760" width="21" customWidth="1"/>
    <col min="4761" max="4761" width="22.6640625" customWidth="1"/>
    <col min="4762" max="4762" width="19.6640625" customWidth="1"/>
    <col min="4763" max="4763" width="18.44140625" customWidth="1"/>
    <col min="4764" max="4764" width="14.5546875" customWidth="1"/>
    <col min="4765" max="4765" width="16.33203125" customWidth="1"/>
    <col min="4766" max="4766" width="21.44140625" customWidth="1"/>
    <col min="4768" max="4768" width="15.6640625" customWidth="1"/>
    <col min="4769" max="4769" width="22.6640625" customWidth="1"/>
    <col min="4770" max="4770" width="26.44140625" customWidth="1"/>
    <col min="4771" max="4771" width="20.109375" customWidth="1"/>
    <col min="4772" max="4772" width="18.44140625" customWidth="1"/>
    <col min="4773" max="4773" width="23.5546875" customWidth="1"/>
    <col min="4774" max="4774" width="16.33203125" customWidth="1"/>
    <col min="4775" max="4775" width="15.109375" customWidth="1"/>
    <col min="4776" max="4776" width="16.33203125" customWidth="1"/>
    <col min="4777" max="4777" width="15.88671875" customWidth="1"/>
    <col min="4778" max="4778" width="17.88671875" customWidth="1"/>
    <col min="4779" max="4779" width="16.33203125" customWidth="1"/>
    <col min="4780" max="4780" width="15.88671875" customWidth="1"/>
    <col min="4781" max="4781" width="18.33203125" customWidth="1"/>
    <col min="4782" max="4782" width="17.109375" customWidth="1"/>
    <col min="4783" max="4784" width="15.5546875" customWidth="1"/>
    <col min="4785" max="4785" width="25.44140625" customWidth="1"/>
    <col min="4786" max="4787" width="21" customWidth="1"/>
    <col min="4788" max="4788" width="13.109375" customWidth="1"/>
    <col min="4789" max="4789" width="15" customWidth="1"/>
    <col min="4791" max="4793" width="17.88671875" customWidth="1"/>
    <col min="4794" max="4794" width="16.88671875" customWidth="1"/>
    <col min="4795" max="4795" width="24.33203125" customWidth="1"/>
    <col min="4796" max="4798" width="15.88671875" customWidth="1"/>
    <col min="4799" max="4799" width="19" customWidth="1"/>
    <col min="4800" max="4800" width="15.33203125" customWidth="1"/>
    <col min="4801" max="4801" width="21.44140625" customWidth="1"/>
    <col min="4802" max="4802" width="16.33203125" customWidth="1"/>
    <col min="4803" max="4803" width="13.33203125" customWidth="1"/>
    <col min="4804" max="4804" width="15" customWidth="1"/>
    <col min="4805" max="4805" width="18.44140625" customWidth="1"/>
    <col min="4806" max="4806" width="17.5546875" customWidth="1"/>
    <col min="4808" max="4808" width="12.88671875" customWidth="1"/>
    <col min="4811" max="4811" width="12.109375" customWidth="1"/>
    <col min="4812" max="4812" width="13.5546875" customWidth="1"/>
    <col min="4815" max="4815" width="14.109375" customWidth="1"/>
    <col min="4816" max="4816" width="12.33203125" customWidth="1"/>
    <col min="4822" max="4822" width="20.6640625" customWidth="1"/>
    <col min="4823" max="4823" width="14.88671875" customWidth="1"/>
    <col min="4824" max="4824" width="14.33203125" customWidth="1"/>
    <col min="4825" max="4825" width="14.109375" customWidth="1"/>
    <col min="4826" max="4826" width="18.33203125" customWidth="1"/>
    <col min="4827" max="4827" width="17.33203125" customWidth="1"/>
    <col min="4828" max="4828" width="18.5546875" customWidth="1"/>
    <col min="4830" max="4830" width="18.5546875" customWidth="1"/>
    <col min="4831" max="4831" width="26.33203125" customWidth="1"/>
    <col min="4832" max="4832" width="22.44140625" customWidth="1"/>
    <col min="4833" max="4833" width="17" customWidth="1"/>
    <col min="4834" max="4834" width="20.44140625" customWidth="1"/>
    <col min="4835" max="4835" width="16.44140625" customWidth="1"/>
    <col min="4836" max="4836" width="13.33203125" customWidth="1"/>
    <col min="4837" max="4837" width="15" customWidth="1"/>
    <col min="4838" max="4838" width="16.44140625" customWidth="1"/>
    <col min="4839" max="4840" width="18.33203125" customWidth="1"/>
    <col min="4841" max="4845" width="24.88671875" customWidth="1"/>
    <col min="4846" max="4846" width="15.88671875" customWidth="1"/>
    <col min="4847" max="4847" width="19.44140625" customWidth="1"/>
    <col min="4848" max="4848" width="19.6640625" customWidth="1"/>
    <col min="4849" max="4849" width="21.44140625" customWidth="1"/>
    <col min="4850" max="4850" width="15.6640625" customWidth="1"/>
    <col min="4851" max="4851" width="26.44140625" customWidth="1"/>
    <col min="4852" max="4852" width="15.6640625" customWidth="1"/>
    <col min="4856" max="4856" width="17" customWidth="1"/>
    <col min="4857" max="4857" width="16.44140625" customWidth="1"/>
    <col min="4858" max="4858" width="19" customWidth="1"/>
    <col min="4859" max="4860" width="23.6640625" customWidth="1"/>
    <col min="4861" max="4862" width="16.44140625" customWidth="1"/>
    <col min="4863" max="4863" width="12.6640625" customWidth="1"/>
    <col min="4864" max="4864" width="13.5546875" customWidth="1"/>
    <col min="4865" max="4865" width="14.6640625" customWidth="1"/>
    <col min="4866" max="4866" width="16.88671875" customWidth="1"/>
    <col min="5006" max="5006" width="30.6640625" customWidth="1"/>
    <col min="5007" max="5007" width="0" hidden="1" customWidth="1"/>
    <col min="5008" max="5008" width="78.5546875" customWidth="1"/>
    <col min="5009" max="5009" width="12.6640625" bestFit="1" customWidth="1"/>
    <col min="5010" max="5010" width="17.109375" customWidth="1"/>
    <col min="5011" max="5011" width="15" customWidth="1"/>
    <col min="5012" max="5012" width="9.88671875" customWidth="1"/>
    <col min="5013" max="5013" width="24.5546875" bestFit="1" customWidth="1"/>
    <col min="5014" max="5014" width="20.44140625" customWidth="1"/>
    <col min="5015" max="5015" width="24.5546875" customWidth="1"/>
    <col min="5016" max="5016" width="21" customWidth="1"/>
    <col min="5017" max="5017" width="22.6640625" customWidth="1"/>
    <col min="5018" max="5018" width="19.6640625" customWidth="1"/>
    <col min="5019" max="5019" width="18.44140625" customWidth="1"/>
    <col min="5020" max="5020" width="14.5546875" customWidth="1"/>
    <col min="5021" max="5021" width="16.33203125" customWidth="1"/>
    <col min="5022" max="5022" width="21.44140625" customWidth="1"/>
    <col min="5024" max="5024" width="15.6640625" customWidth="1"/>
    <col min="5025" max="5025" width="22.6640625" customWidth="1"/>
    <col min="5026" max="5026" width="26.44140625" customWidth="1"/>
    <col min="5027" max="5027" width="20.109375" customWidth="1"/>
    <col min="5028" max="5028" width="18.44140625" customWidth="1"/>
    <col min="5029" max="5029" width="23.5546875" customWidth="1"/>
    <col min="5030" max="5030" width="16.33203125" customWidth="1"/>
    <col min="5031" max="5031" width="15.109375" customWidth="1"/>
    <col min="5032" max="5032" width="16.33203125" customWidth="1"/>
    <col min="5033" max="5033" width="15.88671875" customWidth="1"/>
    <col min="5034" max="5034" width="17.88671875" customWidth="1"/>
    <col min="5035" max="5035" width="16.33203125" customWidth="1"/>
    <col min="5036" max="5036" width="15.88671875" customWidth="1"/>
    <col min="5037" max="5037" width="18.33203125" customWidth="1"/>
    <col min="5038" max="5038" width="17.109375" customWidth="1"/>
    <col min="5039" max="5040" width="15.5546875" customWidth="1"/>
    <col min="5041" max="5041" width="25.44140625" customWidth="1"/>
    <col min="5042" max="5043" width="21" customWidth="1"/>
    <col min="5044" max="5044" width="13.109375" customWidth="1"/>
    <col min="5045" max="5045" width="15" customWidth="1"/>
    <col min="5047" max="5049" width="17.88671875" customWidth="1"/>
    <col min="5050" max="5050" width="16.88671875" customWidth="1"/>
    <col min="5051" max="5051" width="24.33203125" customWidth="1"/>
    <col min="5052" max="5054" width="15.88671875" customWidth="1"/>
    <col min="5055" max="5055" width="19" customWidth="1"/>
    <col min="5056" max="5056" width="15.33203125" customWidth="1"/>
    <col min="5057" max="5057" width="21.44140625" customWidth="1"/>
    <col min="5058" max="5058" width="16.33203125" customWidth="1"/>
    <col min="5059" max="5059" width="13.33203125" customWidth="1"/>
    <col min="5060" max="5060" width="15" customWidth="1"/>
    <col min="5061" max="5061" width="18.44140625" customWidth="1"/>
    <col min="5062" max="5062" width="17.5546875" customWidth="1"/>
    <col min="5064" max="5064" width="12.88671875" customWidth="1"/>
    <col min="5067" max="5067" width="12.109375" customWidth="1"/>
    <col min="5068" max="5068" width="13.5546875" customWidth="1"/>
    <col min="5071" max="5071" width="14.109375" customWidth="1"/>
    <col min="5072" max="5072" width="12.33203125" customWidth="1"/>
    <col min="5078" max="5078" width="20.6640625" customWidth="1"/>
    <col min="5079" max="5079" width="14.88671875" customWidth="1"/>
    <col min="5080" max="5080" width="14.33203125" customWidth="1"/>
    <col min="5081" max="5081" width="14.109375" customWidth="1"/>
    <col min="5082" max="5082" width="18.33203125" customWidth="1"/>
    <col min="5083" max="5083" width="17.33203125" customWidth="1"/>
    <col min="5084" max="5084" width="18.5546875" customWidth="1"/>
    <col min="5086" max="5086" width="18.5546875" customWidth="1"/>
    <col min="5087" max="5087" width="26.33203125" customWidth="1"/>
    <col min="5088" max="5088" width="22.44140625" customWidth="1"/>
    <col min="5089" max="5089" width="17" customWidth="1"/>
    <col min="5090" max="5090" width="20.44140625" customWidth="1"/>
    <col min="5091" max="5091" width="16.44140625" customWidth="1"/>
    <col min="5092" max="5092" width="13.33203125" customWidth="1"/>
    <col min="5093" max="5093" width="15" customWidth="1"/>
    <col min="5094" max="5094" width="16.44140625" customWidth="1"/>
    <col min="5095" max="5096" width="18.33203125" customWidth="1"/>
    <col min="5097" max="5101" width="24.88671875" customWidth="1"/>
    <col min="5102" max="5102" width="15.88671875" customWidth="1"/>
    <col min="5103" max="5103" width="19.44140625" customWidth="1"/>
    <col min="5104" max="5104" width="19.6640625" customWidth="1"/>
    <col min="5105" max="5105" width="21.44140625" customWidth="1"/>
    <col min="5106" max="5106" width="15.6640625" customWidth="1"/>
    <col min="5107" max="5107" width="26.44140625" customWidth="1"/>
    <col min="5108" max="5108" width="15.6640625" customWidth="1"/>
    <col min="5112" max="5112" width="17" customWidth="1"/>
    <col min="5113" max="5113" width="16.44140625" customWidth="1"/>
    <col min="5114" max="5114" width="19" customWidth="1"/>
    <col min="5115" max="5116" width="23.6640625" customWidth="1"/>
    <col min="5117" max="5118" width="16.44140625" customWidth="1"/>
    <col min="5119" max="5119" width="12.6640625" customWidth="1"/>
    <col min="5120" max="5120" width="13.5546875" customWidth="1"/>
    <col min="5121" max="5121" width="14.6640625" customWidth="1"/>
    <col min="5122" max="5122" width="16.88671875" customWidth="1"/>
    <col min="5262" max="5262" width="30.6640625" customWidth="1"/>
    <col min="5263" max="5263" width="0" hidden="1" customWidth="1"/>
    <col min="5264" max="5264" width="78.5546875" customWidth="1"/>
    <col min="5265" max="5265" width="12.6640625" bestFit="1" customWidth="1"/>
    <col min="5266" max="5266" width="17.109375" customWidth="1"/>
    <col min="5267" max="5267" width="15" customWidth="1"/>
    <col min="5268" max="5268" width="9.88671875" customWidth="1"/>
    <col min="5269" max="5269" width="24.5546875" bestFit="1" customWidth="1"/>
    <col min="5270" max="5270" width="20.44140625" customWidth="1"/>
    <col min="5271" max="5271" width="24.5546875" customWidth="1"/>
    <col min="5272" max="5272" width="21" customWidth="1"/>
    <col min="5273" max="5273" width="22.6640625" customWidth="1"/>
    <col min="5274" max="5274" width="19.6640625" customWidth="1"/>
    <col min="5275" max="5275" width="18.44140625" customWidth="1"/>
    <col min="5276" max="5276" width="14.5546875" customWidth="1"/>
    <col min="5277" max="5277" width="16.33203125" customWidth="1"/>
    <col min="5278" max="5278" width="21.44140625" customWidth="1"/>
    <col min="5280" max="5280" width="15.6640625" customWidth="1"/>
    <col min="5281" max="5281" width="22.6640625" customWidth="1"/>
    <col min="5282" max="5282" width="26.44140625" customWidth="1"/>
    <col min="5283" max="5283" width="20.109375" customWidth="1"/>
    <col min="5284" max="5284" width="18.44140625" customWidth="1"/>
    <col min="5285" max="5285" width="23.5546875" customWidth="1"/>
    <col min="5286" max="5286" width="16.33203125" customWidth="1"/>
    <col min="5287" max="5287" width="15.109375" customWidth="1"/>
    <col min="5288" max="5288" width="16.33203125" customWidth="1"/>
    <col min="5289" max="5289" width="15.88671875" customWidth="1"/>
    <col min="5290" max="5290" width="17.88671875" customWidth="1"/>
    <col min="5291" max="5291" width="16.33203125" customWidth="1"/>
    <col min="5292" max="5292" width="15.88671875" customWidth="1"/>
    <col min="5293" max="5293" width="18.33203125" customWidth="1"/>
    <col min="5294" max="5294" width="17.109375" customWidth="1"/>
    <col min="5295" max="5296" width="15.5546875" customWidth="1"/>
    <col min="5297" max="5297" width="25.44140625" customWidth="1"/>
    <col min="5298" max="5299" width="21" customWidth="1"/>
    <col min="5300" max="5300" width="13.109375" customWidth="1"/>
    <col min="5301" max="5301" width="15" customWidth="1"/>
    <col min="5303" max="5305" width="17.88671875" customWidth="1"/>
    <col min="5306" max="5306" width="16.88671875" customWidth="1"/>
    <col min="5307" max="5307" width="24.33203125" customWidth="1"/>
    <col min="5308" max="5310" width="15.88671875" customWidth="1"/>
    <col min="5311" max="5311" width="19" customWidth="1"/>
    <col min="5312" max="5312" width="15.33203125" customWidth="1"/>
    <col min="5313" max="5313" width="21.44140625" customWidth="1"/>
    <col min="5314" max="5314" width="16.33203125" customWidth="1"/>
    <col min="5315" max="5315" width="13.33203125" customWidth="1"/>
    <col min="5316" max="5316" width="15" customWidth="1"/>
    <col min="5317" max="5317" width="18.44140625" customWidth="1"/>
    <col min="5318" max="5318" width="17.5546875" customWidth="1"/>
    <col min="5320" max="5320" width="12.88671875" customWidth="1"/>
    <col min="5323" max="5323" width="12.109375" customWidth="1"/>
    <col min="5324" max="5324" width="13.5546875" customWidth="1"/>
    <col min="5327" max="5327" width="14.109375" customWidth="1"/>
    <col min="5328" max="5328" width="12.33203125" customWidth="1"/>
    <col min="5334" max="5334" width="20.6640625" customWidth="1"/>
    <col min="5335" max="5335" width="14.88671875" customWidth="1"/>
    <col min="5336" max="5336" width="14.33203125" customWidth="1"/>
    <col min="5337" max="5337" width="14.109375" customWidth="1"/>
    <col min="5338" max="5338" width="18.33203125" customWidth="1"/>
    <col min="5339" max="5339" width="17.33203125" customWidth="1"/>
    <col min="5340" max="5340" width="18.5546875" customWidth="1"/>
    <col min="5342" max="5342" width="18.5546875" customWidth="1"/>
    <col min="5343" max="5343" width="26.33203125" customWidth="1"/>
    <col min="5344" max="5344" width="22.44140625" customWidth="1"/>
    <col min="5345" max="5345" width="17" customWidth="1"/>
    <col min="5346" max="5346" width="20.44140625" customWidth="1"/>
    <col min="5347" max="5347" width="16.44140625" customWidth="1"/>
    <col min="5348" max="5348" width="13.33203125" customWidth="1"/>
    <col min="5349" max="5349" width="15" customWidth="1"/>
    <col min="5350" max="5350" width="16.44140625" customWidth="1"/>
    <col min="5351" max="5352" width="18.33203125" customWidth="1"/>
    <col min="5353" max="5357" width="24.88671875" customWidth="1"/>
    <col min="5358" max="5358" width="15.88671875" customWidth="1"/>
    <col min="5359" max="5359" width="19.44140625" customWidth="1"/>
    <col min="5360" max="5360" width="19.6640625" customWidth="1"/>
    <col min="5361" max="5361" width="21.44140625" customWidth="1"/>
    <col min="5362" max="5362" width="15.6640625" customWidth="1"/>
    <col min="5363" max="5363" width="26.44140625" customWidth="1"/>
    <col min="5364" max="5364" width="15.6640625" customWidth="1"/>
    <col min="5368" max="5368" width="17" customWidth="1"/>
    <col min="5369" max="5369" width="16.44140625" customWidth="1"/>
    <col min="5370" max="5370" width="19" customWidth="1"/>
    <col min="5371" max="5372" width="23.6640625" customWidth="1"/>
    <col min="5373" max="5374" width="16.44140625" customWidth="1"/>
    <col min="5375" max="5375" width="12.6640625" customWidth="1"/>
    <col min="5376" max="5376" width="13.5546875" customWidth="1"/>
    <col min="5377" max="5377" width="14.6640625" customWidth="1"/>
    <col min="5378" max="5378" width="16.88671875" customWidth="1"/>
    <col min="5518" max="5518" width="30.6640625" customWidth="1"/>
    <col min="5519" max="5519" width="0" hidden="1" customWidth="1"/>
    <col min="5520" max="5520" width="78.5546875" customWidth="1"/>
    <col min="5521" max="5521" width="12.6640625" bestFit="1" customWidth="1"/>
    <col min="5522" max="5522" width="17.109375" customWidth="1"/>
    <col min="5523" max="5523" width="15" customWidth="1"/>
    <col min="5524" max="5524" width="9.88671875" customWidth="1"/>
    <col min="5525" max="5525" width="24.5546875" bestFit="1" customWidth="1"/>
    <col min="5526" max="5526" width="20.44140625" customWidth="1"/>
    <col min="5527" max="5527" width="24.5546875" customWidth="1"/>
    <col min="5528" max="5528" width="21" customWidth="1"/>
    <col min="5529" max="5529" width="22.6640625" customWidth="1"/>
    <col min="5530" max="5530" width="19.6640625" customWidth="1"/>
    <col min="5531" max="5531" width="18.44140625" customWidth="1"/>
    <col min="5532" max="5532" width="14.5546875" customWidth="1"/>
    <col min="5533" max="5533" width="16.33203125" customWidth="1"/>
    <col min="5534" max="5534" width="21.44140625" customWidth="1"/>
    <col min="5536" max="5536" width="15.6640625" customWidth="1"/>
    <col min="5537" max="5537" width="22.6640625" customWidth="1"/>
    <col min="5538" max="5538" width="26.44140625" customWidth="1"/>
    <col min="5539" max="5539" width="20.109375" customWidth="1"/>
    <col min="5540" max="5540" width="18.44140625" customWidth="1"/>
    <col min="5541" max="5541" width="23.5546875" customWidth="1"/>
    <col min="5542" max="5542" width="16.33203125" customWidth="1"/>
    <col min="5543" max="5543" width="15.109375" customWidth="1"/>
    <col min="5544" max="5544" width="16.33203125" customWidth="1"/>
    <col min="5545" max="5545" width="15.88671875" customWidth="1"/>
    <col min="5546" max="5546" width="17.88671875" customWidth="1"/>
    <col min="5547" max="5547" width="16.33203125" customWidth="1"/>
    <col min="5548" max="5548" width="15.88671875" customWidth="1"/>
    <col min="5549" max="5549" width="18.33203125" customWidth="1"/>
    <col min="5550" max="5550" width="17.109375" customWidth="1"/>
    <col min="5551" max="5552" width="15.5546875" customWidth="1"/>
    <col min="5553" max="5553" width="25.44140625" customWidth="1"/>
    <col min="5554" max="5555" width="21" customWidth="1"/>
    <col min="5556" max="5556" width="13.109375" customWidth="1"/>
    <col min="5557" max="5557" width="15" customWidth="1"/>
    <col min="5559" max="5561" width="17.88671875" customWidth="1"/>
    <col min="5562" max="5562" width="16.88671875" customWidth="1"/>
    <col min="5563" max="5563" width="24.33203125" customWidth="1"/>
    <col min="5564" max="5566" width="15.88671875" customWidth="1"/>
    <col min="5567" max="5567" width="19" customWidth="1"/>
    <col min="5568" max="5568" width="15.33203125" customWidth="1"/>
    <col min="5569" max="5569" width="21.44140625" customWidth="1"/>
    <col min="5570" max="5570" width="16.33203125" customWidth="1"/>
    <col min="5571" max="5571" width="13.33203125" customWidth="1"/>
    <col min="5572" max="5572" width="15" customWidth="1"/>
    <col min="5573" max="5573" width="18.44140625" customWidth="1"/>
    <col min="5574" max="5574" width="17.5546875" customWidth="1"/>
    <col min="5576" max="5576" width="12.88671875" customWidth="1"/>
    <col min="5579" max="5579" width="12.109375" customWidth="1"/>
    <col min="5580" max="5580" width="13.5546875" customWidth="1"/>
    <col min="5583" max="5583" width="14.109375" customWidth="1"/>
    <col min="5584" max="5584" width="12.33203125" customWidth="1"/>
    <col min="5590" max="5590" width="20.6640625" customWidth="1"/>
    <col min="5591" max="5591" width="14.88671875" customWidth="1"/>
    <col min="5592" max="5592" width="14.33203125" customWidth="1"/>
    <col min="5593" max="5593" width="14.109375" customWidth="1"/>
    <col min="5594" max="5594" width="18.33203125" customWidth="1"/>
    <col min="5595" max="5595" width="17.33203125" customWidth="1"/>
    <col min="5596" max="5596" width="18.5546875" customWidth="1"/>
    <col min="5598" max="5598" width="18.5546875" customWidth="1"/>
    <col min="5599" max="5599" width="26.33203125" customWidth="1"/>
    <col min="5600" max="5600" width="22.44140625" customWidth="1"/>
    <col min="5601" max="5601" width="17" customWidth="1"/>
    <col min="5602" max="5602" width="20.44140625" customWidth="1"/>
    <col min="5603" max="5603" width="16.44140625" customWidth="1"/>
    <col min="5604" max="5604" width="13.33203125" customWidth="1"/>
    <col min="5605" max="5605" width="15" customWidth="1"/>
    <col min="5606" max="5606" width="16.44140625" customWidth="1"/>
    <col min="5607" max="5608" width="18.33203125" customWidth="1"/>
    <col min="5609" max="5613" width="24.88671875" customWidth="1"/>
    <col min="5614" max="5614" width="15.88671875" customWidth="1"/>
    <col min="5615" max="5615" width="19.44140625" customWidth="1"/>
    <col min="5616" max="5616" width="19.6640625" customWidth="1"/>
    <col min="5617" max="5617" width="21.44140625" customWidth="1"/>
    <col min="5618" max="5618" width="15.6640625" customWidth="1"/>
    <col min="5619" max="5619" width="26.44140625" customWidth="1"/>
    <col min="5620" max="5620" width="15.6640625" customWidth="1"/>
    <col min="5624" max="5624" width="17" customWidth="1"/>
    <col min="5625" max="5625" width="16.44140625" customWidth="1"/>
    <col min="5626" max="5626" width="19" customWidth="1"/>
    <col min="5627" max="5628" width="23.6640625" customWidth="1"/>
    <col min="5629" max="5630" width="16.44140625" customWidth="1"/>
    <col min="5631" max="5631" width="12.6640625" customWidth="1"/>
    <col min="5632" max="5632" width="13.5546875" customWidth="1"/>
    <col min="5633" max="5633" width="14.6640625" customWidth="1"/>
    <col min="5634" max="5634" width="16.88671875" customWidth="1"/>
    <col min="5774" max="5774" width="30.6640625" customWidth="1"/>
    <col min="5775" max="5775" width="0" hidden="1" customWidth="1"/>
    <col min="5776" max="5776" width="78.5546875" customWidth="1"/>
    <col min="5777" max="5777" width="12.6640625" bestFit="1" customWidth="1"/>
    <col min="5778" max="5778" width="17.109375" customWidth="1"/>
    <col min="5779" max="5779" width="15" customWidth="1"/>
    <col min="5780" max="5780" width="9.88671875" customWidth="1"/>
    <col min="5781" max="5781" width="24.5546875" bestFit="1" customWidth="1"/>
    <col min="5782" max="5782" width="20.44140625" customWidth="1"/>
    <col min="5783" max="5783" width="24.5546875" customWidth="1"/>
    <col min="5784" max="5784" width="21" customWidth="1"/>
    <col min="5785" max="5785" width="22.6640625" customWidth="1"/>
    <col min="5786" max="5786" width="19.6640625" customWidth="1"/>
    <col min="5787" max="5787" width="18.44140625" customWidth="1"/>
    <col min="5788" max="5788" width="14.5546875" customWidth="1"/>
    <col min="5789" max="5789" width="16.33203125" customWidth="1"/>
    <col min="5790" max="5790" width="21.44140625" customWidth="1"/>
    <col min="5792" max="5792" width="15.6640625" customWidth="1"/>
    <col min="5793" max="5793" width="22.6640625" customWidth="1"/>
    <col min="5794" max="5794" width="26.44140625" customWidth="1"/>
    <col min="5795" max="5795" width="20.109375" customWidth="1"/>
    <col min="5796" max="5796" width="18.44140625" customWidth="1"/>
    <col min="5797" max="5797" width="23.5546875" customWidth="1"/>
    <col min="5798" max="5798" width="16.33203125" customWidth="1"/>
    <col min="5799" max="5799" width="15.109375" customWidth="1"/>
    <col min="5800" max="5800" width="16.33203125" customWidth="1"/>
    <col min="5801" max="5801" width="15.88671875" customWidth="1"/>
    <col min="5802" max="5802" width="17.88671875" customWidth="1"/>
    <col min="5803" max="5803" width="16.33203125" customWidth="1"/>
    <col min="5804" max="5804" width="15.88671875" customWidth="1"/>
    <col min="5805" max="5805" width="18.33203125" customWidth="1"/>
    <col min="5806" max="5806" width="17.109375" customWidth="1"/>
    <col min="5807" max="5808" width="15.5546875" customWidth="1"/>
    <col min="5809" max="5809" width="25.44140625" customWidth="1"/>
    <col min="5810" max="5811" width="21" customWidth="1"/>
    <col min="5812" max="5812" width="13.109375" customWidth="1"/>
    <col min="5813" max="5813" width="15" customWidth="1"/>
    <col min="5815" max="5817" width="17.88671875" customWidth="1"/>
    <col min="5818" max="5818" width="16.88671875" customWidth="1"/>
    <col min="5819" max="5819" width="24.33203125" customWidth="1"/>
    <col min="5820" max="5822" width="15.88671875" customWidth="1"/>
    <col min="5823" max="5823" width="19" customWidth="1"/>
    <col min="5824" max="5824" width="15.33203125" customWidth="1"/>
    <col min="5825" max="5825" width="21.44140625" customWidth="1"/>
    <col min="5826" max="5826" width="16.33203125" customWidth="1"/>
    <col min="5827" max="5827" width="13.33203125" customWidth="1"/>
    <col min="5828" max="5828" width="15" customWidth="1"/>
    <col min="5829" max="5829" width="18.44140625" customWidth="1"/>
    <col min="5830" max="5830" width="17.5546875" customWidth="1"/>
    <col min="5832" max="5832" width="12.88671875" customWidth="1"/>
    <col min="5835" max="5835" width="12.109375" customWidth="1"/>
    <col min="5836" max="5836" width="13.5546875" customWidth="1"/>
    <col min="5839" max="5839" width="14.109375" customWidth="1"/>
    <col min="5840" max="5840" width="12.33203125" customWidth="1"/>
    <col min="5846" max="5846" width="20.6640625" customWidth="1"/>
    <col min="5847" max="5847" width="14.88671875" customWidth="1"/>
    <col min="5848" max="5848" width="14.33203125" customWidth="1"/>
    <col min="5849" max="5849" width="14.109375" customWidth="1"/>
    <col min="5850" max="5850" width="18.33203125" customWidth="1"/>
    <col min="5851" max="5851" width="17.33203125" customWidth="1"/>
    <col min="5852" max="5852" width="18.5546875" customWidth="1"/>
    <col min="5854" max="5854" width="18.5546875" customWidth="1"/>
    <col min="5855" max="5855" width="26.33203125" customWidth="1"/>
    <col min="5856" max="5856" width="22.44140625" customWidth="1"/>
    <col min="5857" max="5857" width="17" customWidth="1"/>
    <col min="5858" max="5858" width="20.44140625" customWidth="1"/>
    <col min="5859" max="5859" width="16.44140625" customWidth="1"/>
    <col min="5860" max="5860" width="13.33203125" customWidth="1"/>
    <col min="5861" max="5861" width="15" customWidth="1"/>
    <col min="5862" max="5862" width="16.44140625" customWidth="1"/>
    <col min="5863" max="5864" width="18.33203125" customWidth="1"/>
    <col min="5865" max="5869" width="24.88671875" customWidth="1"/>
    <col min="5870" max="5870" width="15.88671875" customWidth="1"/>
    <col min="5871" max="5871" width="19.44140625" customWidth="1"/>
    <col min="5872" max="5872" width="19.6640625" customWidth="1"/>
    <col min="5873" max="5873" width="21.44140625" customWidth="1"/>
    <col min="5874" max="5874" width="15.6640625" customWidth="1"/>
    <col min="5875" max="5875" width="26.44140625" customWidth="1"/>
    <col min="5876" max="5876" width="15.6640625" customWidth="1"/>
    <col min="5880" max="5880" width="17" customWidth="1"/>
    <col min="5881" max="5881" width="16.44140625" customWidth="1"/>
    <col min="5882" max="5882" width="19" customWidth="1"/>
    <col min="5883" max="5884" width="23.6640625" customWidth="1"/>
    <col min="5885" max="5886" width="16.44140625" customWidth="1"/>
    <col min="5887" max="5887" width="12.6640625" customWidth="1"/>
    <col min="5888" max="5888" width="13.5546875" customWidth="1"/>
    <col min="5889" max="5889" width="14.6640625" customWidth="1"/>
    <col min="5890" max="5890" width="16.88671875" customWidth="1"/>
    <col min="6030" max="6030" width="30.6640625" customWidth="1"/>
    <col min="6031" max="6031" width="0" hidden="1" customWidth="1"/>
    <col min="6032" max="6032" width="78.5546875" customWidth="1"/>
    <col min="6033" max="6033" width="12.6640625" bestFit="1" customWidth="1"/>
    <col min="6034" max="6034" width="17.109375" customWidth="1"/>
    <col min="6035" max="6035" width="15" customWidth="1"/>
    <col min="6036" max="6036" width="9.88671875" customWidth="1"/>
    <col min="6037" max="6037" width="24.5546875" bestFit="1" customWidth="1"/>
    <col min="6038" max="6038" width="20.44140625" customWidth="1"/>
    <col min="6039" max="6039" width="24.5546875" customWidth="1"/>
    <col min="6040" max="6040" width="21" customWidth="1"/>
    <col min="6041" max="6041" width="22.6640625" customWidth="1"/>
    <col min="6042" max="6042" width="19.6640625" customWidth="1"/>
    <col min="6043" max="6043" width="18.44140625" customWidth="1"/>
    <col min="6044" max="6044" width="14.5546875" customWidth="1"/>
    <col min="6045" max="6045" width="16.33203125" customWidth="1"/>
    <col min="6046" max="6046" width="21.44140625" customWidth="1"/>
    <col min="6048" max="6048" width="15.6640625" customWidth="1"/>
    <col min="6049" max="6049" width="22.6640625" customWidth="1"/>
    <col min="6050" max="6050" width="26.44140625" customWidth="1"/>
    <col min="6051" max="6051" width="20.109375" customWidth="1"/>
    <col min="6052" max="6052" width="18.44140625" customWidth="1"/>
    <col min="6053" max="6053" width="23.5546875" customWidth="1"/>
    <col min="6054" max="6054" width="16.33203125" customWidth="1"/>
    <col min="6055" max="6055" width="15.109375" customWidth="1"/>
    <col min="6056" max="6056" width="16.33203125" customWidth="1"/>
    <col min="6057" max="6057" width="15.88671875" customWidth="1"/>
    <col min="6058" max="6058" width="17.88671875" customWidth="1"/>
    <col min="6059" max="6059" width="16.33203125" customWidth="1"/>
    <col min="6060" max="6060" width="15.88671875" customWidth="1"/>
    <col min="6061" max="6061" width="18.33203125" customWidth="1"/>
    <col min="6062" max="6062" width="17.109375" customWidth="1"/>
    <col min="6063" max="6064" width="15.5546875" customWidth="1"/>
    <col min="6065" max="6065" width="25.44140625" customWidth="1"/>
    <col min="6066" max="6067" width="21" customWidth="1"/>
    <col min="6068" max="6068" width="13.109375" customWidth="1"/>
    <col min="6069" max="6069" width="15" customWidth="1"/>
    <col min="6071" max="6073" width="17.88671875" customWidth="1"/>
    <col min="6074" max="6074" width="16.88671875" customWidth="1"/>
    <col min="6075" max="6075" width="24.33203125" customWidth="1"/>
    <col min="6076" max="6078" width="15.88671875" customWidth="1"/>
    <col min="6079" max="6079" width="19" customWidth="1"/>
    <col min="6080" max="6080" width="15.33203125" customWidth="1"/>
    <col min="6081" max="6081" width="21.44140625" customWidth="1"/>
    <col min="6082" max="6082" width="16.33203125" customWidth="1"/>
    <col min="6083" max="6083" width="13.33203125" customWidth="1"/>
    <col min="6084" max="6084" width="15" customWidth="1"/>
    <col min="6085" max="6085" width="18.44140625" customWidth="1"/>
    <col min="6086" max="6086" width="17.5546875" customWidth="1"/>
    <col min="6088" max="6088" width="12.88671875" customWidth="1"/>
    <col min="6091" max="6091" width="12.109375" customWidth="1"/>
    <col min="6092" max="6092" width="13.5546875" customWidth="1"/>
    <col min="6095" max="6095" width="14.109375" customWidth="1"/>
    <col min="6096" max="6096" width="12.33203125" customWidth="1"/>
    <col min="6102" max="6102" width="20.6640625" customWidth="1"/>
    <col min="6103" max="6103" width="14.88671875" customWidth="1"/>
    <col min="6104" max="6104" width="14.33203125" customWidth="1"/>
    <col min="6105" max="6105" width="14.109375" customWidth="1"/>
    <col min="6106" max="6106" width="18.33203125" customWidth="1"/>
    <col min="6107" max="6107" width="17.33203125" customWidth="1"/>
    <col min="6108" max="6108" width="18.5546875" customWidth="1"/>
    <col min="6110" max="6110" width="18.5546875" customWidth="1"/>
    <col min="6111" max="6111" width="26.33203125" customWidth="1"/>
    <col min="6112" max="6112" width="22.44140625" customWidth="1"/>
    <col min="6113" max="6113" width="17" customWidth="1"/>
    <col min="6114" max="6114" width="20.44140625" customWidth="1"/>
    <col min="6115" max="6115" width="16.44140625" customWidth="1"/>
    <col min="6116" max="6116" width="13.33203125" customWidth="1"/>
    <col min="6117" max="6117" width="15" customWidth="1"/>
    <col min="6118" max="6118" width="16.44140625" customWidth="1"/>
    <col min="6119" max="6120" width="18.33203125" customWidth="1"/>
    <col min="6121" max="6125" width="24.88671875" customWidth="1"/>
    <col min="6126" max="6126" width="15.88671875" customWidth="1"/>
    <col min="6127" max="6127" width="19.44140625" customWidth="1"/>
    <col min="6128" max="6128" width="19.6640625" customWidth="1"/>
    <col min="6129" max="6129" width="21.44140625" customWidth="1"/>
    <col min="6130" max="6130" width="15.6640625" customWidth="1"/>
    <col min="6131" max="6131" width="26.44140625" customWidth="1"/>
    <col min="6132" max="6132" width="15.6640625" customWidth="1"/>
    <col min="6136" max="6136" width="17" customWidth="1"/>
    <col min="6137" max="6137" width="16.44140625" customWidth="1"/>
    <col min="6138" max="6138" width="19" customWidth="1"/>
    <col min="6139" max="6140" width="23.6640625" customWidth="1"/>
    <col min="6141" max="6142" width="16.44140625" customWidth="1"/>
    <col min="6143" max="6143" width="12.6640625" customWidth="1"/>
    <col min="6144" max="6144" width="13.5546875" customWidth="1"/>
    <col min="6145" max="6145" width="14.6640625" customWidth="1"/>
    <col min="6146" max="6146" width="16.88671875" customWidth="1"/>
    <col min="6286" max="6286" width="30.6640625" customWidth="1"/>
    <col min="6287" max="6287" width="0" hidden="1" customWidth="1"/>
    <col min="6288" max="6288" width="78.5546875" customWidth="1"/>
    <col min="6289" max="6289" width="12.6640625" bestFit="1" customWidth="1"/>
    <col min="6290" max="6290" width="17.109375" customWidth="1"/>
    <col min="6291" max="6291" width="15" customWidth="1"/>
    <col min="6292" max="6292" width="9.88671875" customWidth="1"/>
    <col min="6293" max="6293" width="24.5546875" bestFit="1" customWidth="1"/>
    <col min="6294" max="6294" width="20.44140625" customWidth="1"/>
    <col min="6295" max="6295" width="24.5546875" customWidth="1"/>
    <col min="6296" max="6296" width="21" customWidth="1"/>
    <col min="6297" max="6297" width="22.6640625" customWidth="1"/>
    <col min="6298" max="6298" width="19.6640625" customWidth="1"/>
    <col min="6299" max="6299" width="18.44140625" customWidth="1"/>
    <col min="6300" max="6300" width="14.5546875" customWidth="1"/>
    <col min="6301" max="6301" width="16.33203125" customWidth="1"/>
    <col min="6302" max="6302" width="21.44140625" customWidth="1"/>
    <col min="6304" max="6304" width="15.6640625" customWidth="1"/>
    <col min="6305" max="6305" width="22.6640625" customWidth="1"/>
    <col min="6306" max="6306" width="26.44140625" customWidth="1"/>
    <col min="6307" max="6307" width="20.109375" customWidth="1"/>
    <col min="6308" max="6308" width="18.44140625" customWidth="1"/>
    <col min="6309" max="6309" width="23.5546875" customWidth="1"/>
    <col min="6310" max="6310" width="16.33203125" customWidth="1"/>
    <col min="6311" max="6311" width="15.109375" customWidth="1"/>
    <col min="6312" max="6312" width="16.33203125" customWidth="1"/>
    <col min="6313" max="6313" width="15.88671875" customWidth="1"/>
    <col min="6314" max="6314" width="17.88671875" customWidth="1"/>
    <col min="6315" max="6315" width="16.33203125" customWidth="1"/>
    <col min="6316" max="6316" width="15.88671875" customWidth="1"/>
    <col min="6317" max="6317" width="18.33203125" customWidth="1"/>
    <col min="6318" max="6318" width="17.109375" customWidth="1"/>
    <col min="6319" max="6320" width="15.5546875" customWidth="1"/>
    <col min="6321" max="6321" width="25.44140625" customWidth="1"/>
    <col min="6322" max="6323" width="21" customWidth="1"/>
    <col min="6324" max="6324" width="13.109375" customWidth="1"/>
    <col min="6325" max="6325" width="15" customWidth="1"/>
    <col min="6327" max="6329" width="17.88671875" customWidth="1"/>
    <col min="6330" max="6330" width="16.88671875" customWidth="1"/>
    <col min="6331" max="6331" width="24.33203125" customWidth="1"/>
    <col min="6332" max="6334" width="15.88671875" customWidth="1"/>
    <col min="6335" max="6335" width="19" customWidth="1"/>
    <col min="6336" max="6336" width="15.33203125" customWidth="1"/>
    <col min="6337" max="6337" width="21.44140625" customWidth="1"/>
    <col min="6338" max="6338" width="16.33203125" customWidth="1"/>
    <col min="6339" max="6339" width="13.33203125" customWidth="1"/>
    <col min="6340" max="6340" width="15" customWidth="1"/>
    <col min="6341" max="6341" width="18.44140625" customWidth="1"/>
    <col min="6342" max="6342" width="17.5546875" customWidth="1"/>
    <col min="6344" max="6344" width="12.88671875" customWidth="1"/>
    <col min="6347" max="6347" width="12.109375" customWidth="1"/>
    <col min="6348" max="6348" width="13.5546875" customWidth="1"/>
    <col min="6351" max="6351" width="14.109375" customWidth="1"/>
    <col min="6352" max="6352" width="12.33203125" customWidth="1"/>
    <col min="6358" max="6358" width="20.6640625" customWidth="1"/>
    <col min="6359" max="6359" width="14.88671875" customWidth="1"/>
    <col min="6360" max="6360" width="14.33203125" customWidth="1"/>
    <col min="6361" max="6361" width="14.109375" customWidth="1"/>
    <col min="6362" max="6362" width="18.33203125" customWidth="1"/>
    <col min="6363" max="6363" width="17.33203125" customWidth="1"/>
    <col min="6364" max="6364" width="18.5546875" customWidth="1"/>
    <col min="6366" max="6366" width="18.5546875" customWidth="1"/>
    <col min="6367" max="6367" width="26.33203125" customWidth="1"/>
    <col min="6368" max="6368" width="22.44140625" customWidth="1"/>
    <col min="6369" max="6369" width="17" customWidth="1"/>
    <col min="6370" max="6370" width="20.44140625" customWidth="1"/>
    <col min="6371" max="6371" width="16.44140625" customWidth="1"/>
    <col min="6372" max="6372" width="13.33203125" customWidth="1"/>
    <col min="6373" max="6373" width="15" customWidth="1"/>
    <col min="6374" max="6374" width="16.44140625" customWidth="1"/>
    <col min="6375" max="6376" width="18.33203125" customWidth="1"/>
    <col min="6377" max="6381" width="24.88671875" customWidth="1"/>
    <col min="6382" max="6382" width="15.88671875" customWidth="1"/>
    <col min="6383" max="6383" width="19.44140625" customWidth="1"/>
    <col min="6384" max="6384" width="19.6640625" customWidth="1"/>
    <col min="6385" max="6385" width="21.44140625" customWidth="1"/>
    <col min="6386" max="6386" width="15.6640625" customWidth="1"/>
    <col min="6387" max="6387" width="26.44140625" customWidth="1"/>
    <col min="6388" max="6388" width="15.6640625" customWidth="1"/>
    <col min="6392" max="6392" width="17" customWidth="1"/>
    <col min="6393" max="6393" width="16.44140625" customWidth="1"/>
    <col min="6394" max="6394" width="19" customWidth="1"/>
    <col min="6395" max="6396" width="23.6640625" customWidth="1"/>
    <col min="6397" max="6398" width="16.44140625" customWidth="1"/>
    <col min="6399" max="6399" width="12.6640625" customWidth="1"/>
    <col min="6400" max="6400" width="13.5546875" customWidth="1"/>
    <col min="6401" max="6401" width="14.6640625" customWidth="1"/>
    <col min="6402" max="6402" width="16.88671875" customWidth="1"/>
    <col min="6542" max="6542" width="30.6640625" customWidth="1"/>
    <col min="6543" max="6543" width="0" hidden="1" customWidth="1"/>
    <col min="6544" max="6544" width="78.5546875" customWidth="1"/>
    <col min="6545" max="6545" width="12.6640625" bestFit="1" customWidth="1"/>
    <col min="6546" max="6546" width="17.109375" customWidth="1"/>
    <col min="6547" max="6547" width="15" customWidth="1"/>
    <col min="6548" max="6548" width="9.88671875" customWidth="1"/>
    <col min="6549" max="6549" width="24.5546875" bestFit="1" customWidth="1"/>
    <col min="6550" max="6550" width="20.44140625" customWidth="1"/>
    <col min="6551" max="6551" width="24.5546875" customWidth="1"/>
    <col min="6552" max="6552" width="21" customWidth="1"/>
    <col min="6553" max="6553" width="22.6640625" customWidth="1"/>
    <col min="6554" max="6554" width="19.6640625" customWidth="1"/>
    <col min="6555" max="6555" width="18.44140625" customWidth="1"/>
    <col min="6556" max="6556" width="14.5546875" customWidth="1"/>
    <col min="6557" max="6557" width="16.33203125" customWidth="1"/>
    <col min="6558" max="6558" width="21.44140625" customWidth="1"/>
    <col min="6560" max="6560" width="15.6640625" customWidth="1"/>
    <col min="6561" max="6561" width="22.6640625" customWidth="1"/>
    <col min="6562" max="6562" width="26.44140625" customWidth="1"/>
    <col min="6563" max="6563" width="20.109375" customWidth="1"/>
    <col min="6564" max="6564" width="18.44140625" customWidth="1"/>
    <col min="6565" max="6565" width="23.5546875" customWidth="1"/>
    <col min="6566" max="6566" width="16.33203125" customWidth="1"/>
    <col min="6567" max="6567" width="15.109375" customWidth="1"/>
    <col min="6568" max="6568" width="16.33203125" customWidth="1"/>
    <col min="6569" max="6569" width="15.88671875" customWidth="1"/>
    <col min="6570" max="6570" width="17.88671875" customWidth="1"/>
    <col min="6571" max="6571" width="16.33203125" customWidth="1"/>
    <col min="6572" max="6572" width="15.88671875" customWidth="1"/>
    <col min="6573" max="6573" width="18.33203125" customWidth="1"/>
    <col min="6574" max="6574" width="17.109375" customWidth="1"/>
    <col min="6575" max="6576" width="15.5546875" customWidth="1"/>
    <col min="6577" max="6577" width="25.44140625" customWidth="1"/>
    <col min="6578" max="6579" width="21" customWidth="1"/>
    <col min="6580" max="6580" width="13.109375" customWidth="1"/>
    <col min="6581" max="6581" width="15" customWidth="1"/>
    <col min="6583" max="6585" width="17.88671875" customWidth="1"/>
    <col min="6586" max="6586" width="16.88671875" customWidth="1"/>
    <col min="6587" max="6587" width="24.33203125" customWidth="1"/>
    <col min="6588" max="6590" width="15.88671875" customWidth="1"/>
    <col min="6591" max="6591" width="19" customWidth="1"/>
    <col min="6592" max="6592" width="15.33203125" customWidth="1"/>
    <col min="6593" max="6593" width="21.44140625" customWidth="1"/>
    <col min="6594" max="6594" width="16.33203125" customWidth="1"/>
    <col min="6595" max="6595" width="13.33203125" customWidth="1"/>
    <col min="6596" max="6596" width="15" customWidth="1"/>
    <col min="6597" max="6597" width="18.44140625" customWidth="1"/>
    <col min="6598" max="6598" width="17.5546875" customWidth="1"/>
    <col min="6600" max="6600" width="12.88671875" customWidth="1"/>
    <col min="6603" max="6603" width="12.109375" customWidth="1"/>
    <col min="6604" max="6604" width="13.5546875" customWidth="1"/>
    <col min="6607" max="6607" width="14.109375" customWidth="1"/>
    <col min="6608" max="6608" width="12.33203125" customWidth="1"/>
    <col min="6614" max="6614" width="20.6640625" customWidth="1"/>
    <col min="6615" max="6615" width="14.88671875" customWidth="1"/>
    <col min="6616" max="6616" width="14.33203125" customWidth="1"/>
    <col min="6617" max="6617" width="14.109375" customWidth="1"/>
    <col min="6618" max="6618" width="18.33203125" customWidth="1"/>
    <col min="6619" max="6619" width="17.33203125" customWidth="1"/>
    <col min="6620" max="6620" width="18.5546875" customWidth="1"/>
    <col min="6622" max="6622" width="18.5546875" customWidth="1"/>
    <col min="6623" max="6623" width="26.33203125" customWidth="1"/>
    <col min="6624" max="6624" width="22.44140625" customWidth="1"/>
    <col min="6625" max="6625" width="17" customWidth="1"/>
    <col min="6626" max="6626" width="20.44140625" customWidth="1"/>
    <col min="6627" max="6627" width="16.44140625" customWidth="1"/>
    <col min="6628" max="6628" width="13.33203125" customWidth="1"/>
    <col min="6629" max="6629" width="15" customWidth="1"/>
    <col min="6630" max="6630" width="16.44140625" customWidth="1"/>
    <col min="6631" max="6632" width="18.33203125" customWidth="1"/>
    <col min="6633" max="6637" width="24.88671875" customWidth="1"/>
    <col min="6638" max="6638" width="15.88671875" customWidth="1"/>
    <col min="6639" max="6639" width="19.44140625" customWidth="1"/>
    <col min="6640" max="6640" width="19.6640625" customWidth="1"/>
    <col min="6641" max="6641" width="21.44140625" customWidth="1"/>
    <col min="6642" max="6642" width="15.6640625" customWidth="1"/>
    <col min="6643" max="6643" width="26.44140625" customWidth="1"/>
    <col min="6644" max="6644" width="15.6640625" customWidth="1"/>
    <col min="6648" max="6648" width="17" customWidth="1"/>
    <col min="6649" max="6649" width="16.44140625" customWidth="1"/>
    <col min="6650" max="6650" width="19" customWidth="1"/>
    <col min="6651" max="6652" width="23.6640625" customWidth="1"/>
    <col min="6653" max="6654" width="16.44140625" customWidth="1"/>
    <col min="6655" max="6655" width="12.6640625" customWidth="1"/>
    <col min="6656" max="6656" width="13.5546875" customWidth="1"/>
    <col min="6657" max="6657" width="14.6640625" customWidth="1"/>
    <col min="6658" max="6658" width="16.88671875" customWidth="1"/>
    <col min="6798" max="6798" width="30.6640625" customWidth="1"/>
    <col min="6799" max="6799" width="0" hidden="1" customWidth="1"/>
    <col min="6800" max="6800" width="78.5546875" customWidth="1"/>
    <col min="6801" max="6801" width="12.6640625" bestFit="1" customWidth="1"/>
    <col min="6802" max="6802" width="17.109375" customWidth="1"/>
    <col min="6803" max="6803" width="15" customWidth="1"/>
    <col min="6804" max="6804" width="9.88671875" customWidth="1"/>
    <col min="6805" max="6805" width="24.5546875" bestFit="1" customWidth="1"/>
    <col min="6806" max="6806" width="20.44140625" customWidth="1"/>
    <col min="6807" max="6807" width="24.5546875" customWidth="1"/>
    <col min="6808" max="6808" width="21" customWidth="1"/>
    <col min="6809" max="6809" width="22.6640625" customWidth="1"/>
    <col min="6810" max="6810" width="19.6640625" customWidth="1"/>
    <col min="6811" max="6811" width="18.44140625" customWidth="1"/>
    <col min="6812" max="6812" width="14.5546875" customWidth="1"/>
    <col min="6813" max="6813" width="16.33203125" customWidth="1"/>
    <col min="6814" max="6814" width="21.44140625" customWidth="1"/>
    <col min="6816" max="6816" width="15.6640625" customWidth="1"/>
    <col min="6817" max="6817" width="22.6640625" customWidth="1"/>
    <col min="6818" max="6818" width="26.44140625" customWidth="1"/>
    <col min="6819" max="6819" width="20.109375" customWidth="1"/>
    <col min="6820" max="6820" width="18.44140625" customWidth="1"/>
    <col min="6821" max="6821" width="23.5546875" customWidth="1"/>
    <col min="6822" max="6822" width="16.33203125" customWidth="1"/>
    <col min="6823" max="6823" width="15.109375" customWidth="1"/>
    <col min="6824" max="6824" width="16.33203125" customWidth="1"/>
    <col min="6825" max="6825" width="15.88671875" customWidth="1"/>
    <col min="6826" max="6826" width="17.88671875" customWidth="1"/>
    <col min="6827" max="6827" width="16.33203125" customWidth="1"/>
    <col min="6828" max="6828" width="15.88671875" customWidth="1"/>
    <col min="6829" max="6829" width="18.33203125" customWidth="1"/>
    <col min="6830" max="6830" width="17.109375" customWidth="1"/>
    <col min="6831" max="6832" width="15.5546875" customWidth="1"/>
    <col min="6833" max="6833" width="25.44140625" customWidth="1"/>
    <col min="6834" max="6835" width="21" customWidth="1"/>
    <col min="6836" max="6836" width="13.109375" customWidth="1"/>
    <col min="6837" max="6837" width="15" customWidth="1"/>
    <col min="6839" max="6841" width="17.88671875" customWidth="1"/>
    <col min="6842" max="6842" width="16.88671875" customWidth="1"/>
    <col min="6843" max="6843" width="24.33203125" customWidth="1"/>
    <col min="6844" max="6846" width="15.88671875" customWidth="1"/>
    <col min="6847" max="6847" width="19" customWidth="1"/>
    <col min="6848" max="6848" width="15.33203125" customWidth="1"/>
    <col min="6849" max="6849" width="21.44140625" customWidth="1"/>
    <col min="6850" max="6850" width="16.33203125" customWidth="1"/>
    <col min="6851" max="6851" width="13.33203125" customWidth="1"/>
    <col min="6852" max="6852" width="15" customWidth="1"/>
    <col min="6853" max="6853" width="18.44140625" customWidth="1"/>
    <col min="6854" max="6854" width="17.5546875" customWidth="1"/>
    <col min="6856" max="6856" width="12.88671875" customWidth="1"/>
    <col min="6859" max="6859" width="12.109375" customWidth="1"/>
    <col min="6860" max="6860" width="13.5546875" customWidth="1"/>
    <col min="6863" max="6863" width="14.109375" customWidth="1"/>
    <col min="6864" max="6864" width="12.33203125" customWidth="1"/>
    <col min="6870" max="6870" width="20.6640625" customWidth="1"/>
    <col min="6871" max="6871" width="14.88671875" customWidth="1"/>
    <col min="6872" max="6872" width="14.33203125" customWidth="1"/>
    <col min="6873" max="6873" width="14.109375" customWidth="1"/>
    <col min="6874" max="6874" width="18.33203125" customWidth="1"/>
    <col min="6875" max="6875" width="17.33203125" customWidth="1"/>
    <col min="6876" max="6876" width="18.5546875" customWidth="1"/>
    <col min="6878" max="6878" width="18.5546875" customWidth="1"/>
    <col min="6879" max="6879" width="26.33203125" customWidth="1"/>
    <col min="6880" max="6880" width="22.44140625" customWidth="1"/>
    <col min="6881" max="6881" width="17" customWidth="1"/>
    <col min="6882" max="6882" width="20.44140625" customWidth="1"/>
    <col min="6883" max="6883" width="16.44140625" customWidth="1"/>
    <col min="6884" max="6884" width="13.33203125" customWidth="1"/>
    <col min="6885" max="6885" width="15" customWidth="1"/>
    <col min="6886" max="6886" width="16.44140625" customWidth="1"/>
    <col min="6887" max="6888" width="18.33203125" customWidth="1"/>
    <col min="6889" max="6893" width="24.88671875" customWidth="1"/>
    <col min="6894" max="6894" width="15.88671875" customWidth="1"/>
    <col min="6895" max="6895" width="19.44140625" customWidth="1"/>
    <col min="6896" max="6896" width="19.6640625" customWidth="1"/>
    <col min="6897" max="6897" width="21.44140625" customWidth="1"/>
    <col min="6898" max="6898" width="15.6640625" customWidth="1"/>
    <col min="6899" max="6899" width="26.44140625" customWidth="1"/>
    <col min="6900" max="6900" width="15.6640625" customWidth="1"/>
    <col min="6904" max="6904" width="17" customWidth="1"/>
    <col min="6905" max="6905" width="16.44140625" customWidth="1"/>
    <col min="6906" max="6906" width="19" customWidth="1"/>
    <col min="6907" max="6908" width="23.6640625" customWidth="1"/>
    <col min="6909" max="6910" width="16.44140625" customWidth="1"/>
    <col min="6911" max="6911" width="12.6640625" customWidth="1"/>
    <col min="6912" max="6912" width="13.5546875" customWidth="1"/>
    <col min="6913" max="6913" width="14.6640625" customWidth="1"/>
    <col min="6914" max="6914" width="16.88671875" customWidth="1"/>
    <col min="7054" max="7054" width="30.6640625" customWidth="1"/>
    <col min="7055" max="7055" width="0" hidden="1" customWidth="1"/>
    <col min="7056" max="7056" width="78.5546875" customWidth="1"/>
    <col min="7057" max="7057" width="12.6640625" bestFit="1" customWidth="1"/>
    <col min="7058" max="7058" width="17.109375" customWidth="1"/>
    <col min="7059" max="7059" width="15" customWidth="1"/>
    <col min="7060" max="7060" width="9.88671875" customWidth="1"/>
    <col min="7061" max="7061" width="24.5546875" bestFit="1" customWidth="1"/>
    <col min="7062" max="7062" width="20.44140625" customWidth="1"/>
    <col min="7063" max="7063" width="24.5546875" customWidth="1"/>
    <col min="7064" max="7064" width="21" customWidth="1"/>
    <col min="7065" max="7065" width="22.6640625" customWidth="1"/>
    <col min="7066" max="7066" width="19.6640625" customWidth="1"/>
    <col min="7067" max="7067" width="18.44140625" customWidth="1"/>
    <col min="7068" max="7068" width="14.5546875" customWidth="1"/>
    <col min="7069" max="7069" width="16.33203125" customWidth="1"/>
    <col min="7070" max="7070" width="21.44140625" customWidth="1"/>
    <col min="7072" max="7072" width="15.6640625" customWidth="1"/>
    <col min="7073" max="7073" width="22.6640625" customWidth="1"/>
    <col min="7074" max="7074" width="26.44140625" customWidth="1"/>
    <col min="7075" max="7075" width="20.109375" customWidth="1"/>
    <col min="7076" max="7076" width="18.44140625" customWidth="1"/>
    <col min="7077" max="7077" width="23.5546875" customWidth="1"/>
    <col min="7078" max="7078" width="16.33203125" customWidth="1"/>
    <col min="7079" max="7079" width="15.109375" customWidth="1"/>
    <col min="7080" max="7080" width="16.33203125" customWidth="1"/>
    <col min="7081" max="7081" width="15.88671875" customWidth="1"/>
    <col min="7082" max="7082" width="17.88671875" customWidth="1"/>
    <col min="7083" max="7083" width="16.33203125" customWidth="1"/>
    <col min="7084" max="7084" width="15.88671875" customWidth="1"/>
    <col min="7085" max="7085" width="18.33203125" customWidth="1"/>
    <col min="7086" max="7086" width="17.109375" customWidth="1"/>
    <col min="7087" max="7088" width="15.5546875" customWidth="1"/>
    <col min="7089" max="7089" width="25.44140625" customWidth="1"/>
    <col min="7090" max="7091" width="21" customWidth="1"/>
    <col min="7092" max="7092" width="13.109375" customWidth="1"/>
    <col min="7093" max="7093" width="15" customWidth="1"/>
    <col min="7095" max="7097" width="17.88671875" customWidth="1"/>
    <col min="7098" max="7098" width="16.88671875" customWidth="1"/>
    <col min="7099" max="7099" width="24.33203125" customWidth="1"/>
    <col min="7100" max="7102" width="15.88671875" customWidth="1"/>
    <col min="7103" max="7103" width="19" customWidth="1"/>
    <col min="7104" max="7104" width="15.33203125" customWidth="1"/>
    <col min="7105" max="7105" width="21.44140625" customWidth="1"/>
    <col min="7106" max="7106" width="16.33203125" customWidth="1"/>
    <col min="7107" max="7107" width="13.33203125" customWidth="1"/>
    <col min="7108" max="7108" width="15" customWidth="1"/>
    <col min="7109" max="7109" width="18.44140625" customWidth="1"/>
    <col min="7110" max="7110" width="17.5546875" customWidth="1"/>
    <col min="7112" max="7112" width="12.88671875" customWidth="1"/>
    <col min="7115" max="7115" width="12.109375" customWidth="1"/>
    <col min="7116" max="7116" width="13.5546875" customWidth="1"/>
    <col min="7119" max="7119" width="14.109375" customWidth="1"/>
    <col min="7120" max="7120" width="12.33203125" customWidth="1"/>
    <col min="7126" max="7126" width="20.6640625" customWidth="1"/>
    <col min="7127" max="7127" width="14.88671875" customWidth="1"/>
    <col min="7128" max="7128" width="14.33203125" customWidth="1"/>
    <col min="7129" max="7129" width="14.109375" customWidth="1"/>
    <col min="7130" max="7130" width="18.33203125" customWidth="1"/>
    <col min="7131" max="7131" width="17.33203125" customWidth="1"/>
    <col min="7132" max="7132" width="18.5546875" customWidth="1"/>
    <col min="7134" max="7134" width="18.5546875" customWidth="1"/>
    <col min="7135" max="7135" width="26.33203125" customWidth="1"/>
    <col min="7136" max="7136" width="22.44140625" customWidth="1"/>
    <col min="7137" max="7137" width="17" customWidth="1"/>
    <col min="7138" max="7138" width="20.44140625" customWidth="1"/>
    <col min="7139" max="7139" width="16.44140625" customWidth="1"/>
    <col min="7140" max="7140" width="13.33203125" customWidth="1"/>
    <col min="7141" max="7141" width="15" customWidth="1"/>
    <col min="7142" max="7142" width="16.44140625" customWidth="1"/>
    <col min="7143" max="7144" width="18.33203125" customWidth="1"/>
    <col min="7145" max="7149" width="24.88671875" customWidth="1"/>
    <col min="7150" max="7150" width="15.88671875" customWidth="1"/>
    <col min="7151" max="7151" width="19.44140625" customWidth="1"/>
    <col min="7152" max="7152" width="19.6640625" customWidth="1"/>
    <col min="7153" max="7153" width="21.44140625" customWidth="1"/>
    <col min="7154" max="7154" width="15.6640625" customWidth="1"/>
    <col min="7155" max="7155" width="26.44140625" customWidth="1"/>
    <col min="7156" max="7156" width="15.6640625" customWidth="1"/>
    <col min="7160" max="7160" width="17" customWidth="1"/>
    <col min="7161" max="7161" width="16.44140625" customWidth="1"/>
    <col min="7162" max="7162" width="19" customWidth="1"/>
    <col min="7163" max="7164" width="23.6640625" customWidth="1"/>
    <col min="7165" max="7166" width="16.44140625" customWidth="1"/>
    <col min="7167" max="7167" width="12.6640625" customWidth="1"/>
    <col min="7168" max="7168" width="13.5546875" customWidth="1"/>
    <col min="7169" max="7169" width="14.6640625" customWidth="1"/>
    <col min="7170" max="7170" width="16.88671875" customWidth="1"/>
    <col min="7310" max="7310" width="30.6640625" customWidth="1"/>
    <col min="7311" max="7311" width="0" hidden="1" customWidth="1"/>
    <col min="7312" max="7312" width="78.5546875" customWidth="1"/>
    <col min="7313" max="7313" width="12.6640625" bestFit="1" customWidth="1"/>
    <col min="7314" max="7314" width="17.109375" customWidth="1"/>
    <col min="7315" max="7315" width="15" customWidth="1"/>
    <col min="7316" max="7316" width="9.88671875" customWidth="1"/>
    <col min="7317" max="7317" width="24.5546875" bestFit="1" customWidth="1"/>
    <col min="7318" max="7318" width="20.44140625" customWidth="1"/>
    <col min="7319" max="7319" width="24.5546875" customWidth="1"/>
    <col min="7320" max="7320" width="21" customWidth="1"/>
    <col min="7321" max="7321" width="22.6640625" customWidth="1"/>
    <col min="7322" max="7322" width="19.6640625" customWidth="1"/>
    <col min="7323" max="7323" width="18.44140625" customWidth="1"/>
    <col min="7324" max="7324" width="14.5546875" customWidth="1"/>
    <col min="7325" max="7325" width="16.33203125" customWidth="1"/>
    <col min="7326" max="7326" width="21.44140625" customWidth="1"/>
    <col min="7328" max="7328" width="15.6640625" customWidth="1"/>
    <col min="7329" max="7329" width="22.6640625" customWidth="1"/>
    <col min="7330" max="7330" width="26.44140625" customWidth="1"/>
    <col min="7331" max="7331" width="20.109375" customWidth="1"/>
    <col min="7332" max="7332" width="18.44140625" customWidth="1"/>
    <col min="7333" max="7333" width="23.5546875" customWidth="1"/>
    <col min="7334" max="7334" width="16.33203125" customWidth="1"/>
    <col min="7335" max="7335" width="15.109375" customWidth="1"/>
    <col min="7336" max="7336" width="16.33203125" customWidth="1"/>
    <col min="7337" max="7337" width="15.88671875" customWidth="1"/>
    <col min="7338" max="7338" width="17.88671875" customWidth="1"/>
    <col min="7339" max="7339" width="16.33203125" customWidth="1"/>
    <col min="7340" max="7340" width="15.88671875" customWidth="1"/>
    <col min="7341" max="7341" width="18.33203125" customWidth="1"/>
    <col min="7342" max="7342" width="17.109375" customWidth="1"/>
    <col min="7343" max="7344" width="15.5546875" customWidth="1"/>
    <col min="7345" max="7345" width="25.44140625" customWidth="1"/>
    <col min="7346" max="7347" width="21" customWidth="1"/>
    <col min="7348" max="7348" width="13.109375" customWidth="1"/>
    <col min="7349" max="7349" width="15" customWidth="1"/>
    <col min="7351" max="7353" width="17.88671875" customWidth="1"/>
    <col min="7354" max="7354" width="16.88671875" customWidth="1"/>
    <col min="7355" max="7355" width="24.33203125" customWidth="1"/>
    <col min="7356" max="7358" width="15.88671875" customWidth="1"/>
    <col min="7359" max="7359" width="19" customWidth="1"/>
    <col min="7360" max="7360" width="15.33203125" customWidth="1"/>
    <col min="7361" max="7361" width="21.44140625" customWidth="1"/>
    <col min="7362" max="7362" width="16.33203125" customWidth="1"/>
    <col min="7363" max="7363" width="13.33203125" customWidth="1"/>
    <col min="7364" max="7364" width="15" customWidth="1"/>
    <col min="7365" max="7365" width="18.44140625" customWidth="1"/>
    <col min="7366" max="7366" width="17.5546875" customWidth="1"/>
    <col min="7368" max="7368" width="12.88671875" customWidth="1"/>
    <col min="7371" max="7371" width="12.109375" customWidth="1"/>
    <col min="7372" max="7372" width="13.5546875" customWidth="1"/>
    <col min="7375" max="7375" width="14.109375" customWidth="1"/>
    <col min="7376" max="7376" width="12.33203125" customWidth="1"/>
    <col min="7382" max="7382" width="20.6640625" customWidth="1"/>
    <col min="7383" max="7383" width="14.88671875" customWidth="1"/>
    <col min="7384" max="7384" width="14.33203125" customWidth="1"/>
    <col min="7385" max="7385" width="14.109375" customWidth="1"/>
    <col min="7386" max="7386" width="18.33203125" customWidth="1"/>
    <col min="7387" max="7387" width="17.33203125" customWidth="1"/>
    <col min="7388" max="7388" width="18.5546875" customWidth="1"/>
    <col min="7390" max="7390" width="18.5546875" customWidth="1"/>
    <col min="7391" max="7391" width="26.33203125" customWidth="1"/>
    <col min="7392" max="7392" width="22.44140625" customWidth="1"/>
    <col min="7393" max="7393" width="17" customWidth="1"/>
    <col min="7394" max="7394" width="20.44140625" customWidth="1"/>
    <col min="7395" max="7395" width="16.44140625" customWidth="1"/>
    <col min="7396" max="7396" width="13.33203125" customWidth="1"/>
    <col min="7397" max="7397" width="15" customWidth="1"/>
    <col min="7398" max="7398" width="16.44140625" customWidth="1"/>
    <col min="7399" max="7400" width="18.33203125" customWidth="1"/>
    <col min="7401" max="7405" width="24.88671875" customWidth="1"/>
    <col min="7406" max="7406" width="15.88671875" customWidth="1"/>
    <col min="7407" max="7407" width="19.44140625" customWidth="1"/>
    <col min="7408" max="7408" width="19.6640625" customWidth="1"/>
    <col min="7409" max="7409" width="21.44140625" customWidth="1"/>
    <col min="7410" max="7410" width="15.6640625" customWidth="1"/>
    <col min="7411" max="7411" width="26.44140625" customWidth="1"/>
    <col min="7412" max="7412" width="15.6640625" customWidth="1"/>
    <col min="7416" max="7416" width="17" customWidth="1"/>
    <col min="7417" max="7417" width="16.44140625" customWidth="1"/>
    <col min="7418" max="7418" width="19" customWidth="1"/>
    <col min="7419" max="7420" width="23.6640625" customWidth="1"/>
    <col min="7421" max="7422" width="16.44140625" customWidth="1"/>
    <col min="7423" max="7423" width="12.6640625" customWidth="1"/>
    <col min="7424" max="7424" width="13.5546875" customWidth="1"/>
    <col min="7425" max="7425" width="14.6640625" customWidth="1"/>
    <col min="7426" max="7426" width="16.88671875" customWidth="1"/>
    <col min="7566" max="7566" width="30.6640625" customWidth="1"/>
    <col min="7567" max="7567" width="0" hidden="1" customWidth="1"/>
    <col min="7568" max="7568" width="78.5546875" customWidth="1"/>
    <col min="7569" max="7569" width="12.6640625" bestFit="1" customWidth="1"/>
    <col min="7570" max="7570" width="17.109375" customWidth="1"/>
    <col min="7571" max="7571" width="15" customWidth="1"/>
    <col min="7572" max="7572" width="9.88671875" customWidth="1"/>
    <col min="7573" max="7573" width="24.5546875" bestFit="1" customWidth="1"/>
    <col min="7574" max="7574" width="20.44140625" customWidth="1"/>
    <col min="7575" max="7575" width="24.5546875" customWidth="1"/>
    <col min="7576" max="7576" width="21" customWidth="1"/>
    <col min="7577" max="7577" width="22.6640625" customWidth="1"/>
    <col min="7578" max="7578" width="19.6640625" customWidth="1"/>
    <col min="7579" max="7579" width="18.44140625" customWidth="1"/>
    <col min="7580" max="7580" width="14.5546875" customWidth="1"/>
    <col min="7581" max="7581" width="16.33203125" customWidth="1"/>
    <col min="7582" max="7582" width="21.44140625" customWidth="1"/>
    <col min="7584" max="7584" width="15.6640625" customWidth="1"/>
    <col min="7585" max="7585" width="22.6640625" customWidth="1"/>
    <col min="7586" max="7586" width="26.44140625" customWidth="1"/>
    <col min="7587" max="7587" width="20.109375" customWidth="1"/>
    <col min="7588" max="7588" width="18.44140625" customWidth="1"/>
    <col min="7589" max="7589" width="23.5546875" customWidth="1"/>
    <col min="7590" max="7590" width="16.33203125" customWidth="1"/>
    <col min="7591" max="7591" width="15.109375" customWidth="1"/>
    <col min="7592" max="7592" width="16.33203125" customWidth="1"/>
    <col min="7593" max="7593" width="15.88671875" customWidth="1"/>
    <col min="7594" max="7594" width="17.88671875" customWidth="1"/>
    <col min="7595" max="7595" width="16.33203125" customWidth="1"/>
    <col min="7596" max="7596" width="15.88671875" customWidth="1"/>
    <col min="7597" max="7597" width="18.33203125" customWidth="1"/>
    <col min="7598" max="7598" width="17.109375" customWidth="1"/>
    <col min="7599" max="7600" width="15.5546875" customWidth="1"/>
    <col min="7601" max="7601" width="25.44140625" customWidth="1"/>
    <col min="7602" max="7603" width="21" customWidth="1"/>
    <col min="7604" max="7604" width="13.109375" customWidth="1"/>
    <col min="7605" max="7605" width="15" customWidth="1"/>
    <col min="7607" max="7609" width="17.88671875" customWidth="1"/>
    <col min="7610" max="7610" width="16.88671875" customWidth="1"/>
    <col min="7611" max="7611" width="24.33203125" customWidth="1"/>
    <col min="7612" max="7614" width="15.88671875" customWidth="1"/>
    <col min="7615" max="7615" width="19" customWidth="1"/>
    <col min="7616" max="7616" width="15.33203125" customWidth="1"/>
    <col min="7617" max="7617" width="21.44140625" customWidth="1"/>
    <col min="7618" max="7618" width="16.33203125" customWidth="1"/>
    <col min="7619" max="7619" width="13.33203125" customWidth="1"/>
    <col min="7620" max="7620" width="15" customWidth="1"/>
    <col min="7621" max="7621" width="18.44140625" customWidth="1"/>
    <col min="7622" max="7622" width="17.5546875" customWidth="1"/>
    <col min="7624" max="7624" width="12.88671875" customWidth="1"/>
    <col min="7627" max="7627" width="12.109375" customWidth="1"/>
    <col min="7628" max="7628" width="13.5546875" customWidth="1"/>
    <col min="7631" max="7631" width="14.109375" customWidth="1"/>
    <col min="7632" max="7632" width="12.33203125" customWidth="1"/>
    <col min="7638" max="7638" width="20.6640625" customWidth="1"/>
    <col min="7639" max="7639" width="14.88671875" customWidth="1"/>
    <col min="7640" max="7640" width="14.33203125" customWidth="1"/>
    <col min="7641" max="7641" width="14.109375" customWidth="1"/>
    <col min="7642" max="7642" width="18.33203125" customWidth="1"/>
    <col min="7643" max="7643" width="17.33203125" customWidth="1"/>
    <col min="7644" max="7644" width="18.5546875" customWidth="1"/>
    <col min="7646" max="7646" width="18.5546875" customWidth="1"/>
    <col min="7647" max="7647" width="26.33203125" customWidth="1"/>
    <col min="7648" max="7648" width="22.44140625" customWidth="1"/>
    <col min="7649" max="7649" width="17" customWidth="1"/>
    <col min="7650" max="7650" width="20.44140625" customWidth="1"/>
    <col min="7651" max="7651" width="16.44140625" customWidth="1"/>
    <col min="7652" max="7652" width="13.33203125" customWidth="1"/>
    <col min="7653" max="7653" width="15" customWidth="1"/>
    <col min="7654" max="7654" width="16.44140625" customWidth="1"/>
    <col min="7655" max="7656" width="18.33203125" customWidth="1"/>
    <col min="7657" max="7661" width="24.88671875" customWidth="1"/>
    <col min="7662" max="7662" width="15.88671875" customWidth="1"/>
    <col min="7663" max="7663" width="19.44140625" customWidth="1"/>
    <col min="7664" max="7664" width="19.6640625" customWidth="1"/>
    <col min="7665" max="7665" width="21.44140625" customWidth="1"/>
    <col min="7666" max="7666" width="15.6640625" customWidth="1"/>
    <col min="7667" max="7667" width="26.44140625" customWidth="1"/>
    <col min="7668" max="7668" width="15.6640625" customWidth="1"/>
    <col min="7672" max="7672" width="17" customWidth="1"/>
    <col min="7673" max="7673" width="16.44140625" customWidth="1"/>
    <col min="7674" max="7674" width="19" customWidth="1"/>
    <col min="7675" max="7676" width="23.6640625" customWidth="1"/>
    <col min="7677" max="7678" width="16.44140625" customWidth="1"/>
    <col min="7679" max="7679" width="12.6640625" customWidth="1"/>
    <col min="7680" max="7680" width="13.5546875" customWidth="1"/>
    <col min="7681" max="7681" width="14.6640625" customWidth="1"/>
    <col min="7682" max="7682" width="16.88671875" customWidth="1"/>
    <col min="7822" max="7822" width="30.6640625" customWidth="1"/>
    <col min="7823" max="7823" width="0" hidden="1" customWidth="1"/>
    <col min="7824" max="7824" width="78.5546875" customWidth="1"/>
    <col min="7825" max="7825" width="12.6640625" bestFit="1" customWidth="1"/>
    <col min="7826" max="7826" width="17.109375" customWidth="1"/>
    <col min="7827" max="7827" width="15" customWidth="1"/>
    <col min="7828" max="7828" width="9.88671875" customWidth="1"/>
    <col min="7829" max="7829" width="24.5546875" bestFit="1" customWidth="1"/>
    <col min="7830" max="7830" width="20.44140625" customWidth="1"/>
    <col min="7831" max="7831" width="24.5546875" customWidth="1"/>
    <col min="7832" max="7832" width="21" customWidth="1"/>
    <col min="7833" max="7833" width="22.6640625" customWidth="1"/>
    <col min="7834" max="7834" width="19.6640625" customWidth="1"/>
    <col min="7835" max="7835" width="18.44140625" customWidth="1"/>
    <col min="7836" max="7836" width="14.5546875" customWidth="1"/>
    <col min="7837" max="7837" width="16.33203125" customWidth="1"/>
    <col min="7838" max="7838" width="21.44140625" customWidth="1"/>
    <col min="7840" max="7840" width="15.6640625" customWidth="1"/>
    <col min="7841" max="7841" width="22.6640625" customWidth="1"/>
    <col min="7842" max="7842" width="26.44140625" customWidth="1"/>
    <col min="7843" max="7843" width="20.109375" customWidth="1"/>
    <col min="7844" max="7844" width="18.44140625" customWidth="1"/>
    <col min="7845" max="7845" width="23.5546875" customWidth="1"/>
    <col min="7846" max="7846" width="16.33203125" customWidth="1"/>
    <col min="7847" max="7847" width="15.109375" customWidth="1"/>
    <col min="7848" max="7848" width="16.33203125" customWidth="1"/>
    <col min="7849" max="7849" width="15.88671875" customWidth="1"/>
    <col min="7850" max="7850" width="17.88671875" customWidth="1"/>
    <col min="7851" max="7851" width="16.33203125" customWidth="1"/>
    <col min="7852" max="7852" width="15.88671875" customWidth="1"/>
    <col min="7853" max="7853" width="18.33203125" customWidth="1"/>
    <col min="7854" max="7854" width="17.109375" customWidth="1"/>
    <col min="7855" max="7856" width="15.5546875" customWidth="1"/>
    <col min="7857" max="7857" width="25.44140625" customWidth="1"/>
    <col min="7858" max="7859" width="21" customWidth="1"/>
    <col min="7860" max="7860" width="13.109375" customWidth="1"/>
    <col min="7861" max="7861" width="15" customWidth="1"/>
    <col min="7863" max="7865" width="17.88671875" customWidth="1"/>
    <col min="7866" max="7866" width="16.88671875" customWidth="1"/>
    <col min="7867" max="7867" width="24.33203125" customWidth="1"/>
    <col min="7868" max="7870" width="15.88671875" customWidth="1"/>
    <col min="7871" max="7871" width="19" customWidth="1"/>
    <col min="7872" max="7872" width="15.33203125" customWidth="1"/>
    <col min="7873" max="7873" width="21.44140625" customWidth="1"/>
    <col min="7874" max="7874" width="16.33203125" customWidth="1"/>
    <col min="7875" max="7875" width="13.33203125" customWidth="1"/>
    <col min="7876" max="7876" width="15" customWidth="1"/>
    <col min="7877" max="7877" width="18.44140625" customWidth="1"/>
    <col min="7878" max="7878" width="17.5546875" customWidth="1"/>
    <col min="7880" max="7880" width="12.88671875" customWidth="1"/>
    <col min="7883" max="7883" width="12.109375" customWidth="1"/>
    <col min="7884" max="7884" width="13.5546875" customWidth="1"/>
    <col min="7887" max="7887" width="14.109375" customWidth="1"/>
    <col min="7888" max="7888" width="12.33203125" customWidth="1"/>
    <col min="7894" max="7894" width="20.6640625" customWidth="1"/>
    <col min="7895" max="7895" width="14.88671875" customWidth="1"/>
    <col min="7896" max="7896" width="14.33203125" customWidth="1"/>
    <col min="7897" max="7897" width="14.109375" customWidth="1"/>
    <col min="7898" max="7898" width="18.33203125" customWidth="1"/>
    <col min="7899" max="7899" width="17.33203125" customWidth="1"/>
    <col min="7900" max="7900" width="18.5546875" customWidth="1"/>
    <col min="7902" max="7902" width="18.5546875" customWidth="1"/>
    <col min="7903" max="7903" width="26.33203125" customWidth="1"/>
    <col min="7904" max="7904" width="22.44140625" customWidth="1"/>
    <col min="7905" max="7905" width="17" customWidth="1"/>
    <col min="7906" max="7906" width="20.44140625" customWidth="1"/>
    <col min="7907" max="7907" width="16.44140625" customWidth="1"/>
    <col min="7908" max="7908" width="13.33203125" customWidth="1"/>
    <col min="7909" max="7909" width="15" customWidth="1"/>
    <col min="7910" max="7910" width="16.44140625" customWidth="1"/>
    <col min="7911" max="7912" width="18.33203125" customWidth="1"/>
    <col min="7913" max="7917" width="24.88671875" customWidth="1"/>
    <col min="7918" max="7918" width="15.88671875" customWidth="1"/>
    <col min="7919" max="7919" width="19.44140625" customWidth="1"/>
    <col min="7920" max="7920" width="19.6640625" customWidth="1"/>
    <col min="7921" max="7921" width="21.44140625" customWidth="1"/>
    <col min="7922" max="7922" width="15.6640625" customWidth="1"/>
    <col min="7923" max="7923" width="26.44140625" customWidth="1"/>
    <col min="7924" max="7924" width="15.6640625" customWidth="1"/>
    <col min="7928" max="7928" width="17" customWidth="1"/>
    <col min="7929" max="7929" width="16.44140625" customWidth="1"/>
    <col min="7930" max="7930" width="19" customWidth="1"/>
    <col min="7931" max="7932" width="23.6640625" customWidth="1"/>
    <col min="7933" max="7934" width="16.44140625" customWidth="1"/>
    <col min="7935" max="7935" width="12.6640625" customWidth="1"/>
    <col min="7936" max="7936" width="13.5546875" customWidth="1"/>
    <col min="7937" max="7937" width="14.6640625" customWidth="1"/>
    <col min="7938" max="7938" width="16.88671875" customWidth="1"/>
    <col min="8078" max="8078" width="30.6640625" customWidth="1"/>
    <col min="8079" max="8079" width="0" hidden="1" customWidth="1"/>
    <col min="8080" max="8080" width="78.5546875" customWidth="1"/>
    <col min="8081" max="8081" width="12.6640625" bestFit="1" customWidth="1"/>
    <col min="8082" max="8082" width="17.109375" customWidth="1"/>
    <col min="8083" max="8083" width="15" customWidth="1"/>
    <col min="8084" max="8084" width="9.88671875" customWidth="1"/>
    <col min="8085" max="8085" width="24.5546875" bestFit="1" customWidth="1"/>
    <col min="8086" max="8086" width="20.44140625" customWidth="1"/>
    <col min="8087" max="8087" width="24.5546875" customWidth="1"/>
    <col min="8088" max="8088" width="21" customWidth="1"/>
    <col min="8089" max="8089" width="22.6640625" customWidth="1"/>
    <col min="8090" max="8090" width="19.6640625" customWidth="1"/>
    <col min="8091" max="8091" width="18.44140625" customWidth="1"/>
    <col min="8092" max="8092" width="14.5546875" customWidth="1"/>
    <col min="8093" max="8093" width="16.33203125" customWidth="1"/>
    <col min="8094" max="8094" width="21.44140625" customWidth="1"/>
    <col min="8096" max="8096" width="15.6640625" customWidth="1"/>
    <col min="8097" max="8097" width="22.6640625" customWidth="1"/>
    <col min="8098" max="8098" width="26.44140625" customWidth="1"/>
    <col min="8099" max="8099" width="20.109375" customWidth="1"/>
    <col min="8100" max="8100" width="18.44140625" customWidth="1"/>
    <col min="8101" max="8101" width="23.5546875" customWidth="1"/>
    <col min="8102" max="8102" width="16.33203125" customWidth="1"/>
    <col min="8103" max="8103" width="15.109375" customWidth="1"/>
    <col min="8104" max="8104" width="16.33203125" customWidth="1"/>
    <col min="8105" max="8105" width="15.88671875" customWidth="1"/>
    <col min="8106" max="8106" width="17.88671875" customWidth="1"/>
    <col min="8107" max="8107" width="16.33203125" customWidth="1"/>
    <col min="8108" max="8108" width="15.88671875" customWidth="1"/>
    <col min="8109" max="8109" width="18.33203125" customWidth="1"/>
    <col min="8110" max="8110" width="17.109375" customWidth="1"/>
    <col min="8111" max="8112" width="15.5546875" customWidth="1"/>
    <col min="8113" max="8113" width="25.44140625" customWidth="1"/>
    <col min="8114" max="8115" width="21" customWidth="1"/>
    <col min="8116" max="8116" width="13.109375" customWidth="1"/>
    <col min="8117" max="8117" width="15" customWidth="1"/>
    <col min="8119" max="8121" width="17.88671875" customWidth="1"/>
    <col min="8122" max="8122" width="16.88671875" customWidth="1"/>
    <col min="8123" max="8123" width="24.33203125" customWidth="1"/>
    <col min="8124" max="8126" width="15.88671875" customWidth="1"/>
    <col min="8127" max="8127" width="19" customWidth="1"/>
    <col min="8128" max="8128" width="15.33203125" customWidth="1"/>
    <col min="8129" max="8129" width="21.44140625" customWidth="1"/>
    <col min="8130" max="8130" width="16.33203125" customWidth="1"/>
    <col min="8131" max="8131" width="13.33203125" customWidth="1"/>
    <col min="8132" max="8132" width="15" customWidth="1"/>
    <col min="8133" max="8133" width="18.44140625" customWidth="1"/>
    <col min="8134" max="8134" width="17.5546875" customWidth="1"/>
    <col min="8136" max="8136" width="12.88671875" customWidth="1"/>
    <col min="8139" max="8139" width="12.109375" customWidth="1"/>
    <col min="8140" max="8140" width="13.5546875" customWidth="1"/>
    <col min="8143" max="8143" width="14.109375" customWidth="1"/>
    <col min="8144" max="8144" width="12.33203125" customWidth="1"/>
    <col min="8150" max="8150" width="20.6640625" customWidth="1"/>
    <col min="8151" max="8151" width="14.88671875" customWidth="1"/>
    <col min="8152" max="8152" width="14.33203125" customWidth="1"/>
    <col min="8153" max="8153" width="14.109375" customWidth="1"/>
    <col min="8154" max="8154" width="18.33203125" customWidth="1"/>
    <col min="8155" max="8155" width="17.33203125" customWidth="1"/>
    <col min="8156" max="8156" width="18.5546875" customWidth="1"/>
    <col min="8158" max="8158" width="18.5546875" customWidth="1"/>
    <col min="8159" max="8159" width="26.33203125" customWidth="1"/>
    <col min="8160" max="8160" width="22.44140625" customWidth="1"/>
    <col min="8161" max="8161" width="17" customWidth="1"/>
    <col min="8162" max="8162" width="20.44140625" customWidth="1"/>
    <col min="8163" max="8163" width="16.44140625" customWidth="1"/>
    <col min="8164" max="8164" width="13.33203125" customWidth="1"/>
    <col min="8165" max="8165" width="15" customWidth="1"/>
    <col min="8166" max="8166" width="16.44140625" customWidth="1"/>
    <col min="8167" max="8168" width="18.33203125" customWidth="1"/>
    <col min="8169" max="8173" width="24.88671875" customWidth="1"/>
    <col min="8174" max="8174" width="15.88671875" customWidth="1"/>
    <col min="8175" max="8175" width="19.44140625" customWidth="1"/>
    <col min="8176" max="8176" width="19.6640625" customWidth="1"/>
    <col min="8177" max="8177" width="21.44140625" customWidth="1"/>
    <col min="8178" max="8178" width="15.6640625" customWidth="1"/>
    <col min="8179" max="8179" width="26.44140625" customWidth="1"/>
    <col min="8180" max="8180" width="15.6640625" customWidth="1"/>
    <col min="8184" max="8184" width="17" customWidth="1"/>
    <col min="8185" max="8185" width="16.44140625" customWidth="1"/>
    <col min="8186" max="8186" width="19" customWidth="1"/>
    <col min="8187" max="8188" width="23.6640625" customWidth="1"/>
    <col min="8189" max="8190" width="16.44140625" customWidth="1"/>
    <col min="8191" max="8191" width="12.6640625" customWidth="1"/>
    <col min="8192" max="8192" width="13.5546875" customWidth="1"/>
    <col min="8193" max="8193" width="14.6640625" customWidth="1"/>
    <col min="8194" max="8194" width="16.88671875" customWidth="1"/>
    <col min="8334" max="8334" width="30.6640625" customWidth="1"/>
    <col min="8335" max="8335" width="0" hidden="1" customWidth="1"/>
    <col min="8336" max="8336" width="78.5546875" customWidth="1"/>
    <col min="8337" max="8337" width="12.6640625" bestFit="1" customWidth="1"/>
    <col min="8338" max="8338" width="17.109375" customWidth="1"/>
    <col min="8339" max="8339" width="15" customWidth="1"/>
    <col min="8340" max="8340" width="9.88671875" customWidth="1"/>
    <col min="8341" max="8341" width="24.5546875" bestFit="1" customWidth="1"/>
    <col min="8342" max="8342" width="20.44140625" customWidth="1"/>
    <col min="8343" max="8343" width="24.5546875" customWidth="1"/>
    <col min="8344" max="8344" width="21" customWidth="1"/>
    <col min="8345" max="8345" width="22.6640625" customWidth="1"/>
    <col min="8346" max="8346" width="19.6640625" customWidth="1"/>
    <col min="8347" max="8347" width="18.44140625" customWidth="1"/>
    <col min="8348" max="8348" width="14.5546875" customWidth="1"/>
    <col min="8349" max="8349" width="16.33203125" customWidth="1"/>
    <col min="8350" max="8350" width="21.44140625" customWidth="1"/>
    <col min="8352" max="8352" width="15.6640625" customWidth="1"/>
    <col min="8353" max="8353" width="22.6640625" customWidth="1"/>
    <col min="8354" max="8354" width="26.44140625" customWidth="1"/>
    <col min="8355" max="8355" width="20.109375" customWidth="1"/>
    <col min="8356" max="8356" width="18.44140625" customWidth="1"/>
    <col min="8357" max="8357" width="23.5546875" customWidth="1"/>
    <col min="8358" max="8358" width="16.33203125" customWidth="1"/>
    <col min="8359" max="8359" width="15.109375" customWidth="1"/>
    <col min="8360" max="8360" width="16.33203125" customWidth="1"/>
    <col min="8361" max="8361" width="15.88671875" customWidth="1"/>
    <col min="8362" max="8362" width="17.88671875" customWidth="1"/>
    <col min="8363" max="8363" width="16.33203125" customWidth="1"/>
    <col min="8364" max="8364" width="15.88671875" customWidth="1"/>
    <col min="8365" max="8365" width="18.33203125" customWidth="1"/>
    <col min="8366" max="8366" width="17.109375" customWidth="1"/>
    <col min="8367" max="8368" width="15.5546875" customWidth="1"/>
    <col min="8369" max="8369" width="25.44140625" customWidth="1"/>
    <col min="8370" max="8371" width="21" customWidth="1"/>
    <col min="8372" max="8372" width="13.109375" customWidth="1"/>
    <col min="8373" max="8373" width="15" customWidth="1"/>
    <col min="8375" max="8377" width="17.88671875" customWidth="1"/>
    <col min="8378" max="8378" width="16.88671875" customWidth="1"/>
    <col min="8379" max="8379" width="24.33203125" customWidth="1"/>
    <col min="8380" max="8382" width="15.88671875" customWidth="1"/>
    <col min="8383" max="8383" width="19" customWidth="1"/>
    <col min="8384" max="8384" width="15.33203125" customWidth="1"/>
    <col min="8385" max="8385" width="21.44140625" customWidth="1"/>
    <col min="8386" max="8386" width="16.33203125" customWidth="1"/>
    <col min="8387" max="8387" width="13.33203125" customWidth="1"/>
    <col min="8388" max="8388" width="15" customWidth="1"/>
    <col min="8389" max="8389" width="18.44140625" customWidth="1"/>
    <col min="8390" max="8390" width="17.5546875" customWidth="1"/>
    <col min="8392" max="8392" width="12.88671875" customWidth="1"/>
    <col min="8395" max="8395" width="12.109375" customWidth="1"/>
    <col min="8396" max="8396" width="13.5546875" customWidth="1"/>
    <col min="8399" max="8399" width="14.109375" customWidth="1"/>
    <col min="8400" max="8400" width="12.33203125" customWidth="1"/>
    <col min="8406" max="8406" width="20.6640625" customWidth="1"/>
    <col min="8407" max="8407" width="14.88671875" customWidth="1"/>
    <col min="8408" max="8408" width="14.33203125" customWidth="1"/>
    <col min="8409" max="8409" width="14.109375" customWidth="1"/>
    <col min="8410" max="8410" width="18.33203125" customWidth="1"/>
    <col min="8411" max="8411" width="17.33203125" customWidth="1"/>
    <col min="8412" max="8412" width="18.5546875" customWidth="1"/>
    <col min="8414" max="8414" width="18.5546875" customWidth="1"/>
    <col min="8415" max="8415" width="26.33203125" customWidth="1"/>
    <col min="8416" max="8416" width="22.44140625" customWidth="1"/>
    <col min="8417" max="8417" width="17" customWidth="1"/>
    <col min="8418" max="8418" width="20.44140625" customWidth="1"/>
    <col min="8419" max="8419" width="16.44140625" customWidth="1"/>
    <col min="8420" max="8420" width="13.33203125" customWidth="1"/>
    <col min="8421" max="8421" width="15" customWidth="1"/>
    <col min="8422" max="8422" width="16.44140625" customWidth="1"/>
    <col min="8423" max="8424" width="18.33203125" customWidth="1"/>
    <col min="8425" max="8429" width="24.88671875" customWidth="1"/>
    <col min="8430" max="8430" width="15.88671875" customWidth="1"/>
    <col min="8431" max="8431" width="19.44140625" customWidth="1"/>
    <col min="8432" max="8432" width="19.6640625" customWidth="1"/>
    <col min="8433" max="8433" width="21.44140625" customWidth="1"/>
    <col min="8434" max="8434" width="15.6640625" customWidth="1"/>
    <col min="8435" max="8435" width="26.44140625" customWidth="1"/>
    <col min="8436" max="8436" width="15.6640625" customWidth="1"/>
    <col min="8440" max="8440" width="17" customWidth="1"/>
    <col min="8441" max="8441" width="16.44140625" customWidth="1"/>
    <col min="8442" max="8442" width="19" customWidth="1"/>
    <col min="8443" max="8444" width="23.6640625" customWidth="1"/>
    <col min="8445" max="8446" width="16.44140625" customWidth="1"/>
    <col min="8447" max="8447" width="12.6640625" customWidth="1"/>
    <col min="8448" max="8448" width="13.5546875" customWidth="1"/>
    <col min="8449" max="8449" width="14.6640625" customWidth="1"/>
    <col min="8450" max="8450" width="16.88671875" customWidth="1"/>
    <col min="8590" max="8590" width="30.6640625" customWidth="1"/>
    <col min="8591" max="8591" width="0" hidden="1" customWidth="1"/>
    <col min="8592" max="8592" width="78.5546875" customWidth="1"/>
    <col min="8593" max="8593" width="12.6640625" bestFit="1" customWidth="1"/>
    <col min="8594" max="8594" width="17.109375" customWidth="1"/>
    <col min="8595" max="8595" width="15" customWidth="1"/>
    <col min="8596" max="8596" width="9.88671875" customWidth="1"/>
    <col min="8597" max="8597" width="24.5546875" bestFit="1" customWidth="1"/>
    <col min="8598" max="8598" width="20.44140625" customWidth="1"/>
    <col min="8599" max="8599" width="24.5546875" customWidth="1"/>
    <col min="8600" max="8600" width="21" customWidth="1"/>
    <col min="8601" max="8601" width="22.6640625" customWidth="1"/>
    <col min="8602" max="8602" width="19.6640625" customWidth="1"/>
    <col min="8603" max="8603" width="18.44140625" customWidth="1"/>
    <col min="8604" max="8604" width="14.5546875" customWidth="1"/>
    <col min="8605" max="8605" width="16.33203125" customWidth="1"/>
    <col min="8606" max="8606" width="21.44140625" customWidth="1"/>
    <col min="8608" max="8608" width="15.6640625" customWidth="1"/>
    <col min="8609" max="8609" width="22.6640625" customWidth="1"/>
    <col min="8610" max="8610" width="26.44140625" customWidth="1"/>
    <col min="8611" max="8611" width="20.109375" customWidth="1"/>
    <col min="8612" max="8612" width="18.44140625" customWidth="1"/>
    <col min="8613" max="8613" width="23.5546875" customWidth="1"/>
    <col min="8614" max="8614" width="16.33203125" customWidth="1"/>
    <col min="8615" max="8615" width="15.109375" customWidth="1"/>
    <col min="8616" max="8616" width="16.33203125" customWidth="1"/>
    <col min="8617" max="8617" width="15.88671875" customWidth="1"/>
    <col min="8618" max="8618" width="17.88671875" customWidth="1"/>
    <col min="8619" max="8619" width="16.33203125" customWidth="1"/>
    <col min="8620" max="8620" width="15.88671875" customWidth="1"/>
    <col min="8621" max="8621" width="18.33203125" customWidth="1"/>
    <col min="8622" max="8622" width="17.109375" customWidth="1"/>
    <col min="8623" max="8624" width="15.5546875" customWidth="1"/>
    <col min="8625" max="8625" width="25.44140625" customWidth="1"/>
    <col min="8626" max="8627" width="21" customWidth="1"/>
    <col min="8628" max="8628" width="13.109375" customWidth="1"/>
    <col min="8629" max="8629" width="15" customWidth="1"/>
    <col min="8631" max="8633" width="17.88671875" customWidth="1"/>
    <col min="8634" max="8634" width="16.88671875" customWidth="1"/>
    <col min="8635" max="8635" width="24.33203125" customWidth="1"/>
    <col min="8636" max="8638" width="15.88671875" customWidth="1"/>
    <col min="8639" max="8639" width="19" customWidth="1"/>
    <col min="8640" max="8640" width="15.33203125" customWidth="1"/>
    <col min="8641" max="8641" width="21.44140625" customWidth="1"/>
    <col min="8642" max="8642" width="16.33203125" customWidth="1"/>
    <col min="8643" max="8643" width="13.33203125" customWidth="1"/>
    <col min="8644" max="8644" width="15" customWidth="1"/>
    <col min="8645" max="8645" width="18.44140625" customWidth="1"/>
    <col min="8646" max="8646" width="17.5546875" customWidth="1"/>
    <col min="8648" max="8648" width="12.88671875" customWidth="1"/>
    <col min="8651" max="8651" width="12.109375" customWidth="1"/>
    <col min="8652" max="8652" width="13.5546875" customWidth="1"/>
    <col min="8655" max="8655" width="14.109375" customWidth="1"/>
    <col min="8656" max="8656" width="12.33203125" customWidth="1"/>
    <col min="8662" max="8662" width="20.6640625" customWidth="1"/>
    <col min="8663" max="8663" width="14.88671875" customWidth="1"/>
    <col min="8664" max="8664" width="14.33203125" customWidth="1"/>
    <col min="8665" max="8665" width="14.109375" customWidth="1"/>
    <col min="8666" max="8666" width="18.33203125" customWidth="1"/>
    <col min="8667" max="8667" width="17.33203125" customWidth="1"/>
    <col min="8668" max="8668" width="18.5546875" customWidth="1"/>
    <col min="8670" max="8670" width="18.5546875" customWidth="1"/>
    <col min="8671" max="8671" width="26.33203125" customWidth="1"/>
    <col min="8672" max="8672" width="22.44140625" customWidth="1"/>
    <col min="8673" max="8673" width="17" customWidth="1"/>
    <col min="8674" max="8674" width="20.44140625" customWidth="1"/>
    <col min="8675" max="8675" width="16.44140625" customWidth="1"/>
    <col min="8676" max="8676" width="13.33203125" customWidth="1"/>
    <col min="8677" max="8677" width="15" customWidth="1"/>
    <col min="8678" max="8678" width="16.44140625" customWidth="1"/>
    <col min="8679" max="8680" width="18.33203125" customWidth="1"/>
    <col min="8681" max="8685" width="24.88671875" customWidth="1"/>
    <col min="8686" max="8686" width="15.88671875" customWidth="1"/>
    <col min="8687" max="8687" width="19.44140625" customWidth="1"/>
    <col min="8688" max="8688" width="19.6640625" customWidth="1"/>
    <col min="8689" max="8689" width="21.44140625" customWidth="1"/>
    <col min="8690" max="8690" width="15.6640625" customWidth="1"/>
    <col min="8691" max="8691" width="26.44140625" customWidth="1"/>
    <col min="8692" max="8692" width="15.6640625" customWidth="1"/>
    <col min="8696" max="8696" width="17" customWidth="1"/>
    <col min="8697" max="8697" width="16.44140625" customWidth="1"/>
    <col min="8698" max="8698" width="19" customWidth="1"/>
    <col min="8699" max="8700" width="23.6640625" customWidth="1"/>
    <col min="8701" max="8702" width="16.44140625" customWidth="1"/>
    <col min="8703" max="8703" width="12.6640625" customWidth="1"/>
    <col min="8704" max="8704" width="13.5546875" customWidth="1"/>
    <col min="8705" max="8705" width="14.6640625" customWidth="1"/>
    <col min="8706" max="8706" width="16.88671875" customWidth="1"/>
    <col min="8846" max="8846" width="30.6640625" customWidth="1"/>
    <col min="8847" max="8847" width="0" hidden="1" customWidth="1"/>
    <col min="8848" max="8848" width="78.5546875" customWidth="1"/>
    <col min="8849" max="8849" width="12.6640625" bestFit="1" customWidth="1"/>
    <col min="8850" max="8850" width="17.109375" customWidth="1"/>
    <col min="8851" max="8851" width="15" customWidth="1"/>
    <col min="8852" max="8852" width="9.88671875" customWidth="1"/>
    <col min="8853" max="8853" width="24.5546875" bestFit="1" customWidth="1"/>
    <col min="8854" max="8854" width="20.44140625" customWidth="1"/>
    <col min="8855" max="8855" width="24.5546875" customWidth="1"/>
    <col min="8856" max="8856" width="21" customWidth="1"/>
    <col min="8857" max="8857" width="22.6640625" customWidth="1"/>
    <col min="8858" max="8858" width="19.6640625" customWidth="1"/>
    <col min="8859" max="8859" width="18.44140625" customWidth="1"/>
    <col min="8860" max="8860" width="14.5546875" customWidth="1"/>
    <col min="8861" max="8861" width="16.33203125" customWidth="1"/>
    <col min="8862" max="8862" width="21.44140625" customWidth="1"/>
    <col min="8864" max="8864" width="15.6640625" customWidth="1"/>
    <col min="8865" max="8865" width="22.6640625" customWidth="1"/>
    <col min="8866" max="8866" width="26.44140625" customWidth="1"/>
    <col min="8867" max="8867" width="20.109375" customWidth="1"/>
    <col min="8868" max="8868" width="18.44140625" customWidth="1"/>
    <col min="8869" max="8869" width="23.5546875" customWidth="1"/>
    <col min="8870" max="8870" width="16.33203125" customWidth="1"/>
    <col min="8871" max="8871" width="15.109375" customWidth="1"/>
    <col min="8872" max="8872" width="16.33203125" customWidth="1"/>
    <col min="8873" max="8873" width="15.88671875" customWidth="1"/>
    <col min="8874" max="8874" width="17.88671875" customWidth="1"/>
    <col min="8875" max="8875" width="16.33203125" customWidth="1"/>
    <col min="8876" max="8876" width="15.88671875" customWidth="1"/>
    <col min="8877" max="8877" width="18.33203125" customWidth="1"/>
    <col min="8878" max="8878" width="17.109375" customWidth="1"/>
    <col min="8879" max="8880" width="15.5546875" customWidth="1"/>
    <col min="8881" max="8881" width="25.44140625" customWidth="1"/>
    <col min="8882" max="8883" width="21" customWidth="1"/>
    <col min="8884" max="8884" width="13.109375" customWidth="1"/>
    <col min="8885" max="8885" width="15" customWidth="1"/>
    <col min="8887" max="8889" width="17.88671875" customWidth="1"/>
    <col min="8890" max="8890" width="16.88671875" customWidth="1"/>
    <col min="8891" max="8891" width="24.33203125" customWidth="1"/>
    <col min="8892" max="8894" width="15.88671875" customWidth="1"/>
    <col min="8895" max="8895" width="19" customWidth="1"/>
    <col min="8896" max="8896" width="15.33203125" customWidth="1"/>
    <col min="8897" max="8897" width="21.44140625" customWidth="1"/>
    <col min="8898" max="8898" width="16.33203125" customWidth="1"/>
    <col min="8899" max="8899" width="13.33203125" customWidth="1"/>
    <col min="8900" max="8900" width="15" customWidth="1"/>
    <col min="8901" max="8901" width="18.44140625" customWidth="1"/>
    <col min="8902" max="8902" width="17.5546875" customWidth="1"/>
    <col min="8904" max="8904" width="12.88671875" customWidth="1"/>
    <col min="8907" max="8907" width="12.109375" customWidth="1"/>
    <col min="8908" max="8908" width="13.5546875" customWidth="1"/>
    <col min="8911" max="8911" width="14.109375" customWidth="1"/>
    <col min="8912" max="8912" width="12.33203125" customWidth="1"/>
    <col min="8918" max="8918" width="20.6640625" customWidth="1"/>
    <col min="8919" max="8919" width="14.88671875" customWidth="1"/>
    <col min="8920" max="8920" width="14.33203125" customWidth="1"/>
    <col min="8921" max="8921" width="14.109375" customWidth="1"/>
    <col min="8922" max="8922" width="18.33203125" customWidth="1"/>
    <col min="8923" max="8923" width="17.33203125" customWidth="1"/>
    <col min="8924" max="8924" width="18.5546875" customWidth="1"/>
    <col min="8926" max="8926" width="18.5546875" customWidth="1"/>
    <col min="8927" max="8927" width="26.33203125" customWidth="1"/>
    <col min="8928" max="8928" width="22.44140625" customWidth="1"/>
    <col min="8929" max="8929" width="17" customWidth="1"/>
    <col min="8930" max="8930" width="20.44140625" customWidth="1"/>
    <col min="8931" max="8931" width="16.44140625" customWidth="1"/>
    <col min="8932" max="8932" width="13.33203125" customWidth="1"/>
    <col min="8933" max="8933" width="15" customWidth="1"/>
    <col min="8934" max="8934" width="16.44140625" customWidth="1"/>
    <col min="8935" max="8936" width="18.33203125" customWidth="1"/>
    <col min="8937" max="8941" width="24.88671875" customWidth="1"/>
    <col min="8942" max="8942" width="15.88671875" customWidth="1"/>
    <col min="8943" max="8943" width="19.44140625" customWidth="1"/>
    <col min="8944" max="8944" width="19.6640625" customWidth="1"/>
    <col min="8945" max="8945" width="21.44140625" customWidth="1"/>
    <col min="8946" max="8946" width="15.6640625" customWidth="1"/>
    <col min="8947" max="8947" width="26.44140625" customWidth="1"/>
    <col min="8948" max="8948" width="15.6640625" customWidth="1"/>
    <col min="8952" max="8952" width="17" customWidth="1"/>
    <col min="8953" max="8953" width="16.44140625" customWidth="1"/>
    <col min="8954" max="8954" width="19" customWidth="1"/>
    <col min="8955" max="8956" width="23.6640625" customWidth="1"/>
    <col min="8957" max="8958" width="16.44140625" customWidth="1"/>
    <col min="8959" max="8959" width="12.6640625" customWidth="1"/>
    <col min="8960" max="8960" width="13.5546875" customWidth="1"/>
    <col min="8961" max="8961" width="14.6640625" customWidth="1"/>
    <col min="8962" max="8962" width="16.88671875" customWidth="1"/>
    <col min="9102" max="9102" width="30.6640625" customWidth="1"/>
    <col min="9103" max="9103" width="0" hidden="1" customWidth="1"/>
    <col min="9104" max="9104" width="78.5546875" customWidth="1"/>
    <col min="9105" max="9105" width="12.6640625" bestFit="1" customWidth="1"/>
    <col min="9106" max="9106" width="17.109375" customWidth="1"/>
    <col min="9107" max="9107" width="15" customWidth="1"/>
    <col min="9108" max="9108" width="9.88671875" customWidth="1"/>
    <col min="9109" max="9109" width="24.5546875" bestFit="1" customWidth="1"/>
    <col min="9110" max="9110" width="20.44140625" customWidth="1"/>
    <col min="9111" max="9111" width="24.5546875" customWidth="1"/>
    <col min="9112" max="9112" width="21" customWidth="1"/>
    <col min="9113" max="9113" width="22.6640625" customWidth="1"/>
    <col min="9114" max="9114" width="19.6640625" customWidth="1"/>
    <col min="9115" max="9115" width="18.44140625" customWidth="1"/>
    <col min="9116" max="9116" width="14.5546875" customWidth="1"/>
    <col min="9117" max="9117" width="16.33203125" customWidth="1"/>
    <col min="9118" max="9118" width="21.44140625" customWidth="1"/>
    <col min="9120" max="9120" width="15.6640625" customWidth="1"/>
    <col min="9121" max="9121" width="22.6640625" customWidth="1"/>
    <col min="9122" max="9122" width="26.44140625" customWidth="1"/>
    <col min="9123" max="9123" width="20.109375" customWidth="1"/>
    <col min="9124" max="9124" width="18.44140625" customWidth="1"/>
    <col min="9125" max="9125" width="23.5546875" customWidth="1"/>
    <col min="9126" max="9126" width="16.33203125" customWidth="1"/>
    <col min="9127" max="9127" width="15.109375" customWidth="1"/>
    <col min="9128" max="9128" width="16.33203125" customWidth="1"/>
    <col min="9129" max="9129" width="15.88671875" customWidth="1"/>
    <col min="9130" max="9130" width="17.88671875" customWidth="1"/>
    <col min="9131" max="9131" width="16.33203125" customWidth="1"/>
    <col min="9132" max="9132" width="15.88671875" customWidth="1"/>
    <col min="9133" max="9133" width="18.33203125" customWidth="1"/>
    <col min="9134" max="9134" width="17.109375" customWidth="1"/>
    <col min="9135" max="9136" width="15.5546875" customWidth="1"/>
    <col min="9137" max="9137" width="25.44140625" customWidth="1"/>
    <col min="9138" max="9139" width="21" customWidth="1"/>
    <col min="9140" max="9140" width="13.109375" customWidth="1"/>
    <col min="9141" max="9141" width="15" customWidth="1"/>
    <col min="9143" max="9145" width="17.88671875" customWidth="1"/>
    <col min="9146" max="9146" width="16.88671875" customWidth="1"/>
    <col min="9147" max="9147" width="24.33203125" customWidth="1"/>
    <col min="9148" max="9150" width="15.88671875" customWidth="1"/>
    <col min="9151" max="9151" width="19" customWidth="1"/>
    <col min="9152" max="9152" width="15.33203125" customWidth="1"/>
    <col min="9153" max="9153" width="21.44140625" customWidth="1"/>
    <col min="9154" max="9154" width="16.33203125" customWidth="1"/>
    <col min="9155" max="9155" width="13.33203125" customWidth="1"/>
    <col min="9156" max="9156" width="15" customWidth="1"/>
    <col min="9157" max="9157" width="18.44140625" customWidth="1"/>
    <col min="9158" max="9158" width="17.5546875" customWidth="1"/>
    <col min="9160" max="9160" width="12.88671875" customWidth="1"/>
    <col min="9163" max="9163" width="12.109375" customWidth="1"/>
    <col min="9164" max="9164" width="13.5546875" customWidth="1"/>
    <col min="9167" max="9167" width="14.109375" customWidth="1"/>
    <col min="9168" max="9168" width="12.33203125" customWidth="1"/>
    <col min="9174" max="9174" width="20.6640625" customWidth="1"/>
    <col min="9175" max="9175" width="14.88671875" customWidth="1"/>
    <col min="9176" max="9176" width="14.33203125" customWidth="1"/>
    <col min="9177" max="9177" width="14.109375" customWidth="1"/>
    <col min="9178" max="9178" width="18.33203125" customWidth="1"/>
    <col min="9179" max="9179" width="17.33203125" customWidth="1"/>
    <col min="9180" max="9180" width="18.5546875" customWidth="1"/>
    <col min="9182" max="9182" width="18.5546875" customWidth="1"/>
    <col min="9183" max="9183" width="26.33203125" customWidth="1"/>
    <col min="9184" max="9184" width="22.44140625" customWidth="1"/>
    <col min="9185" max="9185" width="17" customWidth="1"/>
    <col min="9186" max="9186" width="20.44140625" customWidth="1"/>
    <col min="9187" max="9187" width="16.44140625" customWidth="1"/>
    <col min="9188" max="9188" width="13.33203125" customWidth="1"/>
    <col min="9189" max="9189" width="15" customWidth="1"/>
    <col min="9190" max="9190" width="16.44140625" customWidth="1"/>
    <col min="9191" max="9192" width="18.33203125" customWidth="1"/>
    <col min="9193" max="9197" width="24.88671875" customWidth="1"/>
    <col min="9198" max="9198" width="15.88671875" customWidth="1"/>
    <col min="9199" max="9199" width="19.44140625" customWidth="1"/>
    <col min="9200" max="9200" width="19.6640625" customWidth="1"/>
    <col min="9201" max="9201" width="21.44140625" customWidth="1"/>
    <col min="9202" max="9202" width="15.6640625" customWidth="1"/>
    <col min="9203" max="9203" width="26.44140625" customWidth="1"/>
    <col min="9204" max="9204" width="15.6640625" customWidth="1"/>
    <col min="9208" max="9208" width="17" customWidth="1"/>
    <col min="9209" max="9209" width="16.44140625" customWidth="1"/>
    <col min="9210" max="9210" width="19" customWidth="1"/>
    <col min="9211" max="9212" width="23.6640625" customWidth="1"/>
    <col min="9213" max="9214" width="16.44140625" customWidth="1"/>
    <col min="9215" max="9215" width="12.6640625" customWidth="1"/>
    <col min="9216" max="9216" width="13.5546875" customWidth="1"/>
    <col min="9217" max="9217" width="14.6640625" customWidth="1"/>
    <col min="9218" max="9218" width="16.88671875" customWidth="1"/>
    <col min="9358" max="9358" width="30.6640625" customWidth="1"/>
    <col min="9359" max="9359" width="0" hidden="1" customWidth="1"/>
    <col min="9360" max="9360" width="78.5546875" customWidth="1"/>
    <col min="9361" max="9361" width="12.6640625" bestFit="1" customWidth="1"/>
    <col min="9362" max="9362" width="17.109375" customWidth="1"/>
    <col min="9363" max="9363" width="15" customWidth="1"/>
    <col min="9364" max="9364" width="9.88671875" customWidth="1"/>
    <col min="9365" max="9365" width="24.5546875" bestFit="1" customWidth="1"/>
    <col min="9366" max="9366" width="20.44140625" customWidth="1"/>
    <col min="9367" max="9367" width="24.5546875" customWidth="1"/>
    <col min="9368" max="9368" width="21" customWidth="1"/>
    <col min="9369" max="9369" width="22.6640625" customWidth="1"/>
    <col min="9370" max="9370" width="19.6640625" customWidth="1"/>
    <col min="9371" max="9371" width="18.44140625" customWidth="1"/>
    <col min="9372" max="9372" width="14.5546875" customWidth="1"/>
    <col min="9373" max="9373" width="16.33203125" customWidth="1"/>
    <col min="9374" max="9374" width="21.44140625" customWidth="1"/>
    <col min="9376" max="9376" width="15.6640625" customWidth="1"/>
    <col min="9377" max="9377" width="22.6640625" customWidth="1"/>
    <col min="9378" max="9378" width="26.44140625" customWidth="1"/>
    <col min="9379" max="9379" width="20.109375" customWidth="1"/>
    <col min="9380" max="9380" width="18.44140625" customWidth="1"/>
    <col min="9381" max="9381" width="23.5546875" customWidth="1"/>
    <col min="9382" max="9382" width="16.33203125" customWidth="1"/>
    <col min="9383" max="9383" width="15.109375" customWidth="1"/>
    <col min="9384" max="9384" width="16.33203125" customWidth="1"/>
    <col min="9385" max="9385" width="15.88671875" customWidth="1"/>
    <col min="9386" max="9386" width="17.88671875" customWidth="1"/>
    <col min="9387" max="9387" width="16.33203125" customWidth="1"/>
    <col min="9388" max="9388" width="15.88671875" customWidth="1"/>
    <col min="9389" max="9389" width="18.33203125" customWidth="1"/>
    <col min="9390" max="9390" width="17.109375" customWidth="1"/>
    <col min="9391" max="9392" width="15.5546875" customWidth="1"/>
    <col min="9393" max="9393" width="25.44140625" customWidth="1"/>
    <col min="9394" max="9395" width="21" customWidth="1"/>
    <col min="9396" max="9396" width="13.109375" customWidth="1"/>
    <col min="9397" max="9397" width="15" customWidth="1"/>
    <col min="9399" max="9401" width="17.88671875" customWidth="1"/>
    <col min="9402" max="9402" width="16.88671875" customWidth="1"/>
    <col min="9403" max="9403" width="24.33203125" customWidth="1"/>
    <col min="9404" max="9406" width="15.88671875" customWidth="1"/>
    <col min="9407" max="9407" width="19" customWidth="1"/>
    <col min="9408" max="9408" width="15.33203125" customWidth="1"/>
    <col min="9409" max="9409" width="21.44140625" customWidth="1"/>
    <col min="9410" max="9410" width="16.33203125" customWidth="1"/>
    <col min="9411" max="9411" width="13.33203125" customWidth="1"/>
    <col min="9412" max="9412" width="15" customWidth="1"/>
    <col min="9413" max="9413" width="18.44140625" customWidth="1"/>
    <col min="9414" max="9414" width="17.5546875" customWidth="1"/>
    <col min="9416" max="9416" width="12.88671875" customWidth="1"/>
    <col min="9419" max="9419" width="12.109375" customWidth="1"/>
    <col min="9420" max="9420" width="13.5546875" customWidth="1"/>
    <col min="9423" max="9423" width="14.109375" customWidth="1"/>
    <col min="9424" max="9424" width="12.33203125" customWidth="1"/>
    <col min="9430" max="9430" width="20.6640625" customWidth="1"/>
    <col min="9431" max="9431" width="14.88671875" customWidth="1"/>
    <col min="9432" max="9432" width="14.33203125" customWidth="1"/>
    <col min="9433" max="9433" width="14.109375" customWidth="1"/>
    <col min="9434" max="9434" width="18.33203125" customWidth="1"/>
    <col min="9435" max="9435" width="17.33203125" customWidth="1"/>
    <col min="9436" max="9436" width="18.5546875" customWidth="1"/>
    <col min="9438" max="9438" width="18.5546875" customWidth="1"/>
    <col min="9439" max="9439" width="26.33203125" customWidth="1"/>
    <col min="9440" max="9440" width="22.44140625" customWidth="1"/>
    <col min="9441" max="9441" width="17" customWidth="1"/>
    <col min="9442" max="9442" width="20.44140625" customWidth="1"/>
    <col min="9443" max="9443" width="16.44140625" customWidth="1"/>
    <col min="9444" max="9444" width="13.33203125" customWidth="1"/>
    <col min="9445" max="9445" width="15" customWidth="1"/>
    <col min="9446" max="9446" width="16.44140625" customWidth="1"/>
    <col min="9447" max="9448" width="18.33203125" customWidth="1"/>
    <col min="9449" max="9453" width="24.88671875" customWidth="1"/>
    <col min="9454" max="9454" width="15.88671875" customWidth="1"/>
    <col min="9455" max="9455" width="19.44140625" customWidth="1"/>
    <col min="9456" max="9456" width="19.6640625" customWidth="1"/>
    <col min="9457" max="9457" width="21.44140625" customWidth="1"/>
    <col min="9458" max="9458" width="15.6640625" customWidth="1"/>
    <col min="9459" max="9459" width="26.44140625" customWidth="1"/>
    <col min="9460" max="9460" width="15.6640625" customWidth="1"/>
    <col min="9464" max="9464" width="17" customWidth="1"/>
    <col min="9465" max="9465" width="16.44140625" customWidth="1"/>
    <col min="9466" max="9466" width="19" customWidth="1"/>
    <col min="9467" max="9468" width="23.6640625" customWidth="1"/>
    <col min="9469" max="9470" width="16.44140625" customWidth="1"/>
    <col min="9471" max="9471" width="12.6640625" customWidth="1"/>
    <col min="9472" max="9472" width="13.5546875" customWidth="1"/>
    <col min="9473" max="9473" width="14.6640625" customWidth="1"/>
    <col min="9474" max="9474" width="16.88671875" customWidth="1"/>
    <col min="9614" max="9614" width="30.6640625" customWidth="1"/>
    <col min="9615" max="9615" width="0" hidden="1" customWidth="1"/>
    <col min="9616" max="9616" width="78.5546875" customWidth="1"/>
    <col min="9617" max="9617" width="12.6640625" bestFit="1" customWidth="1"/>
    <col min="9618" max="9618" width="17.109375" customWidth="1"/>
    <col min="9619" max="9619" width="15" customWidth="1"/>
    <col min="9620" max="9620" width="9.88671875" customWidth="1"/>
    <col min="9621" max="9621" width="24.5546875" bestFit="1" customWidth="1"/>
    <col min="9622" max="9622" width="20.44140625" customWidth="1"/>
    <col min="9623" max="9623" width="24.5546875" customWidth="1"/>
    <col min="9624" max="9624" width="21" customWidth="1"/>
    <col min="9625" max="9625" width="22.6640625" customWidth="1"/>
    <col min="9626" max="9626" width="19.6640625" customWidth="1"/>
    <col min="9627" max="9627" width="18.44140625" customWidth="1"/>
    <col min="9628" max="9628" width="14.5546875" customWidth="1"/>
    <col min="9629" max="9629" width="16.33203125" customWidth="1"/>
    <col min="9630" max="9630" width="21.44140625" customWidth="1"/>
    <col min="9632" max="9632" width="15.6640625" customWidth="1"/>
    <col min="9633" max="9633" width="22.6640625" customWidth="1"/>
    <col min="9634" max="9634" width="26.44140625" customWidth="1"/>
    <col min="9635" max="9635" width="20.109375" customWidth="1"/>
    <col min="9636" max="9636" width="18.44140625" customWidth="1"/>
    <col min="9637" max="9637" width="23.5546875" customWidth="1"/>
    <col min="9638" max="9638" width="16.33203125" customWidth="1"/>
    <col min="9639" max="9639" width="15.109375" customWidth="1"/>
    <col min="9640" max="9640" width="16.33203125" customWidth="1"/>
    <col min="9641" max="9641" width="15.88671875" customWidth="1"/>
    <col min="9642" max="9642" width="17.88671875" customWidth="1"/>
    <col min="9643" max="9643" width="16.33203125" customWidth="1"/>
    <col min="9644" max="9644" width="15.88671875" customWidth="1"/>
    <col min="9645" max="9645" width="18.33203125" customWidth="1"/>
    <col min="9646" max="9646" width="17.109375" customWidth="1"/>
    <col min="9647" max="9648" width="15.5546875" customWidth="1"/>
    <col min="9649" max="9649" width="25.44140625" customWidth="1"/>
    <col min="9650" max="9651" width="21" customWidth="1"/>
    <col min="9652" max="9652" width="13.109375" customWidth="1"/>
    <col min="9653" max="9653" width="15" customWidth="1"/>
    <col min="9655" max="9657" width="17.88671875" customWidth="1"/>
    <col min="9658" max="9658" width="16.88671875" customWidth="1"/>
    <col min="9659" max="9659" width="24.33203125" customWidth="1"/>
    <col min="9660" max="9662" width="15.88671875" customWidth="1"/>
    <col min="9663" max="9663" width="19" customWidth="1"/>
    <col min="9664" max="9664" width="15.33203125" customWidth="1"/>
    <col min="9665" max="9665" width="21.44140625" customWidth="1"/>
    <col min="9666" max="9666" width="16.33203125" customWidth="1"/>
    <col min="9667" max="9667" width="13.33203125" customWidth="1"/>
    <col min="9668" max="9668" width="15" customWidth="1"/>
    <col min="9669" max="9669" width="18.44140625" customWidth="1"/>
    <col min="9670" max="9670" width="17.5546875" customWidth="1"/>
    <col min="9672" max="9672" width="12.88671875" customWidth="1"/>
    <col min="9675" max="9675" width="12.109375" customWidth="1"/>
    <col min="9676" max="9676" width="13.5546875" customWidth="1"/>
    <col min="9679" max="9679" width="14.109375" customWidth="1"/>
    <col min="9680" max="9680" width="12.33203125" customWidth="1"/>
    <col min="9686" max="9686" width="20.6640625" customWidth="1"/>
    <col min="9687" max="9687" width="14.88671875" customWidth="1"/>
    <col min="9688" max="9688" width="14.33203125" customWidth="1"/>
    <col min="9689" max="9689" width="14.109375" customWidth="1"/>
    <col min="9690" max="9690" width="18.33203125" customWidth="1"/>
    <col min="9691" max="9691" width="17.33203125" customWidth="1"/>
    <col min="9692" max="9692" width="18.5546875" customWidth="1"/>
    <col min="9694" max="9694" width="18.5546875" customWidth="1"/>
    <col min="9695" max="9695" width="26.33203125" customWidth="1"/>
    <col min="9696" max="9696" width="22.44140625" customWidth="1"/>
    <col min="9697" max="9697" width="17" customWidth="1"/>
    <col min="9698" max="9698" width="20.44140625" customWidth="1"/>
    <col min="9699" max="9699" width="16.44140625" customWidth="1"/>
    <col min="9700" max="9700" width="13.33203125" customWidth="1"/>
    <col min="9701" max="9701" width="15" customWidth="1"/>
    <col min="9702" max="9702" width="16.44140625" customWidth="1"/>
    <col min="9703" max="9704" width="18.33203125" customWidth="1"/>
    <col min="9705" max="9709" width="24.88671875" customWidth="1"/>
    <col min="9710" max="9710" width="15.88671875" customWidth="1"/>
    <col min="9711" max="9711" width="19.44140625" customWidth="1"/>
    <col min="9712" max="9712" width="19.6640625" customWidth="1"/>
    <col min="9713" max="9713" width="21.44140625" customWidth="1"/>
    <col min="9714" max="9714" width="15.6640625" customWidth="1"/>
    <col min="9715" max="9715" width="26.44140625" customWidth="1"/>
    <col min="9716" max="9716" width="15.6640625" customWidth="1"/>
    <col min="9720" max="9720" width="17" customWidth="1"/>
    <col min="9721" max="9721" width="16.44140625" customWidth="1"/>
    <col min="9722" max="9722" width="19" customWidth="1"/>
    <col min="9723" max="9724" width="23.6640625" customWidth="1"/>
    <col min="9725" max="9726" width="16.44140625" customWidth="1"/>
    <col min="9727" max="9727" width="12.6640625" customWidth="1"/>
    <col min="9728" max="9728" width="13.5546875" customWidth="1"/>
    <col min="9729" max="9729" width="14.6640625" customWidth="1"/>
    <col min="9730" max="9730" width="16.88671875" customWidth="1"/>
    <col min="9870" max="9870" width="30.6640625" customWidth="1"/>
    <col min="9871" max="9871" width="0" hidden="1" customWidth="1"/>
    <col min="9872" max="9872" width="78.5546875" customWidth="1"/>
    <col min="9873" max="9873" width="12.6640625" bestFit="1" customWidth="1"/>
    <col min="9874" max="9874" width="17.109375" customWidth="1"/>
    <col min="9875" max="9875" width="15" customWidth="1"/>
    <col min="9876" max="9876" width="9.88671875" customWidth="1"/>
    <col min="9877" max="9877" width="24.5546875" bestFit="1" customWidth="1"/>
    <col min="9878" max="9878" width="20.44140625" customWidth="1"/>
    <col min="9879" max="9879" width="24.5546875" customWidth="1"/>
    <col min="9880" max="9880" width="21" customWidth="1"/>
    <col min="9881" max="9881" width="22.6640625" customWidth="1"/>
    <col min="9882" max="9882" width="19.6640625" customWidth="1"/>
    <col min="9883" max="9883" width="18.44140625" customWidth="1"/>
    <col min="9884" max="9884" width="14.5546875" customWidth="1"/>
    <col min="9885" max="9885" width="16.33203125" customWidth="1"/>
    <col min="9886" max="9886" width="21.44140625" customWidth="1"/>
    <col min="9888" max="9888" width="15.6640625" customWidth="1"/>
    <col min="9889" max="9889" width="22.6640625" customWidth="1"/>
    <col min="9890" max="9890" width="26.44140625" customWidth="1"/>
    <col min="9891" max="9891" width="20.109375" customWidth="1"/>
    <col min="9892" max="9892" width="18.44140625" customWidth="1"/>
    <col min="9893" max="9893" width="23.5546875" customWidth="1"/>
    <col min="9894" max="9894" width="16.33203125" customWidth="1"/>
    <col min="9895" max="9895" width="15.109375" customWidth="1"/>
    <col min="9896" max="9896" width="16.33203125" customWidth="1"/>
    <col min="9897" max="9897" width="15.88671875" customWidth="1"/>
    <col min="9898" max="9898" width="17.88671875" customWidth="1"/>
    <col min="9899" max="9899" width="16.33203125" customWidth="1"/>
    <col min="9900" max="9900" width="15.88671875" customWidth="1"/>
    <col min="9901" max="9901" width="18.33203125" customWidth="1"/>
    <col min="9902" max="9902" width="17.109375" customWidth="1"/>
    <col min="9903" max="9904" width="15.5546875" customWidth="1"/>
    <col min="9905" max="9905" width="25.44140625" customWidth="1"/>
    <col min="9906" max="9907" width="21" customWidth="1"/>
    <col min="9908" max="9908" width="13.109375" customWidth="1"/>
    <col min="9909" max="9909" width="15" customWidth="1"/>
    <col min="9911" max="9913" width="17.88671875" customWidth="1"/>
    <col min="9914" max="9914" width="16.88671875" customWidth="1"/>
    <col min="9915" max="9915" width="24.33203125" customWidth="1"/>
    <col min="9916" max="9918" width="15.88671875" customWidth="1"/>
    <col min="9919" max="9919" width="19" customWidth="1"/>
    <col min="9920" max="9920" width="15.33203125" customWidth="1"/>
    <col min="9921" max="9921" width="21.44140625" customWidth="1"/>
    <col min="9922" max="9922" width="16.33203125" customWidth="1"/>
    <col min="9923" max="9923" width="13.33203125" customWidth="1"/>
    <col min="9924" max="9924" width="15" customWidth="1"/>
    <col min="9925" max="9925" width="18.44140625" customWidth="1"/>
    <col min="9926" max="9926" width="17.5546875" customWidth="1"/>
    <col min="9928" max="9928" width="12.88671875" customWidth="1"/>
    <col min="9931" max="9931" width="12.109375" customWidth="1"/>
    <col min="9932" max="9932" width="13.5546875" customWidth="1"/>
    <col min="9935" max="9935" width="14.109375" customWidth="1"/>
    <col min="9936" max="9936" width="12.33203125" customWidth="1"/>
    <col min="9942" max="9942" width="20.6640625" customWidth="1"/>
    <col min="9943" max="9943" width="14.88671875" customWidth="1"/>
    <col min="9944" max="9944" width="14.33203125" customWidth="1"/>
    <col min="9945" max="9945" width="14.109375" customWidth="1"/>
    <col min="9946" max="9946" width="18.33203125" customWidth="1"/>
    <col min="9947" max="9947" width="17.33203125" customWidth="1"/>
    <col min="9948" max="9948" width="18.5546875" customWidth="1"/>
    <col min="9950" max="9950" width="18.5546875" customWidth="1"/>
    <col min="9951" max="9951" width="26.33203125" customWidth="1"/>
    <col min="9952" max="9952" width="22.44140625" customWidth="1"/>
    <col min="9953" max="9953" width="17" customWidth="1"/>
    <col min="9954" max="9954" width="20.44140625" customWidth="1"/>
    <col min="9955" max="9955" width="16.44140625" customWidth="1"/>
    <col min="9956" max="9956" width="13.33203125" customWidth="1"/>
    <col min="9957" max="9957" width="15" customWidth="1"/>
    <col min="9958" max="9958" width="16.44140625" customWidth="1"/>
    <col min="9959" max="9960" width="18.33203125" customWidth="1"/>
    <col min="9961" max="9965" width="24.88671875" customWidth="1"/>
    <col min="9966" max="9966" width="15.88671875" customWidth="1"/>
    <col min="9967" max="9967" width="19.44140625" customWidth="1"/>
    <col min="9968" max="9968" width="19.6640625" customWidth="1"/>
    <col min="9969" max="9969" width="21.44140625" customWidth="1"/>
    <col min="9970" max="9970" width="15.6640625" customWidth="1"/>
    <col min="9971" max="9971" width="26.44140625" customWidth="1"/>
    <col min="9972" max="9972" width="15.6640625" customWidth="1"/>
    <col min="9976" max="9976" width="17" customWidth="1"/>
    <col min="9977" max="9977" width="16.44140625" customWidth="1"/>
    <col min="9978" max="9978" width="19" customWidth="1"/>
    <col min="9979" max="9980" width="23.6640625" customWidth="1"/>
    <col min="9981" max="9982" width="16.44140625" customWidth="1"/>
    <col min="9983" max="9983" width="12.6640625" customWidth="1"/>
    <col min="9984" max="9984" width="13.5546875" customWidth="1"/>
    <col min="9985" max="9985" width="14.6640625" customWidth="1"/>
    <col min="9986" max="9986" width="16.88671875" customWidth="1"/>
    <col min="10126" max="10126" width="30.6640625" customWidth="1"/>
    <col min="10127" max="10127" width="0" hidden="1" customWidth="1"/>
    <col min="10128" max="10128" width="78.5546875" customWidth="1"/>
    <col min="10129" max="10129" width="12.6640625" bestFit="1" customWidth="1"/>
    <col min="10130" max="10130" width="17.109375" customWidth="1"/>
    <col min="10131" max="10131" width="15" customWidth="1"/>
    <col min="10132" max="10132" width="9.88671875" customWidth="1"/>
    <col min="10133" max="10133" width="24.5546875" bestFit="1" customWidth="1"/>
    <col min="10134" max="10134" width="20.44140625" customWidth="1"/>
    <col min="10135" max="10135" width="24.5546875" customWidth="1"/>
    <col min="10136" max="10136" width="21" customWidth="1"/>
    <col min="10137" max="10137" width="22.6640625" customWidth="1"/>
    <col min="10138" max="10138" width="19.6640625" customWidth="1"/>
    <col min="10139" max="10139" width="18.44140625" customWidth="1"/>
    <col min="10140" max="10140" width="14.5546875" customWidth="1"/>
    <col min="10141" max="10141" width="16.33203125" customWidth="1"/>
    <col min="10142" max="10142" width="21.44140625" customWidth="1"/>
    <col min="10144" max="10144" width="15.6640625" customWidth="1"/>
    <col min="10145" max="10145" width="22.6640625" customWidth="1"/>
    <col min="10146" max="10146" width="26.44140625" customWidth="1"/>
    <col min="10147" max="10147" width="20.109375" customWidth="1"/>
    <col min="10148" max="10148" width="18.44140625" customWidth="1"/>
    <col min="10149" max="10149" width="23.5546875" customWidth="1"/>
    <col min="10150" max="10150" width="16.33203125" customWidth="1"/>
    <col min="10151" max="10151" width="15.109375" customWidth="1"/>
    <col min="10152" max="10152" width="16.33203125" customWidth="1"/>
    <col min="10153" max="10153" width="15.88671875" customWidth="1"/>
    <col min="10154" max="10154" width="17.88671875" customWidth="1"/>
    <col min="10155" max="10155" width="16.33203125" customWidth="1"/>
    <col min="10156" max="10156" width="15.88671875" customWidth="1"/>
    <col min="10157" max="10157" width="18.33203125" customWidth="1"/>
    <col min="10158" max="10158" width="17.109375" customWidth="1"/>
    <col min="10159" max="10160" width="15.5546875" customWidth="1"/>
    <col min="10161" max="10161" width="25.44140625" customWidth="1"/>
    <col min="10162" max="10163" width="21" customWidth="1"/>
    <col min="10164" max="10164" width="13.109375" customWidth="1"/>
    <col min="10165" max="10165" width="15" customWidth="1"/>
    <col min="10167" max="10169" width="17.88671875" customWidth="1"/>
    <col min="10170" max="10170" width="16.88671875" customWidth="1"/>
    <col min="10171" max="10171" width="24.33203125" customWidth="1"/>
    <col min="10172" max="10174" width="15.88671875" customWidth="1"/>
    <col min="10175" max="10175" width="19" customWidth="1"/>
    <col min="10176" max="10176" width="15.33203125" customWidth="1"/>
    <col min="10177" max="10177" width="21.44140625" customWidth="1"/>
    <col min="10178" max="10178" width="16.33203125" customWidth="1"/>
    <col min="10179" max="10179" width="13.33203125" customWidth="1"/>
    <col min="10180" max="10180" width="15" customWidth="1"/>
    <col min="10181" max="10181" width="18.44140625" customWidth="1"/>
    <col min="10182" max="10182" width="17.5546875" customWidth="1"/>
    <col min="10184" max="10184" width="12.88671875" customWidth="1"/>
    <col min="10187" max="10187" width="12.109375" customWidth="1"/>
    <col min="10188" max="10188" width="13.5546875" customWidth="1"/>
    <col min="10191" max="10191" width="14.109375" customWidth="1"/>
    <col min="10192" max="10192" width="12.33203125" customWidth="1"/>
    <col min="10198" max="10198" width="20.6640625" customWidth="1"/>
    <col min="10199" max="10199" width="14.88671875" customWidth="1"/>
    <col min="10200" max="10200" width="14.33203125" customWidth="1"/>
    <col min="10201" max="10201" width="14.109375" customWidth="1"/>
    <col min="10202" max="10202" width="18.33203125" customWidth="1"/>
    <col min="10203" max="10203" width="17.33203125" customWidth="1"/>
    <col min="10204" max="10204" width="18.5546875" customWidth="1"/>
    <col min="10206" max="10206" width="18.5546875" customWidth="1"/>
    <col min="10207" max="10207" width="26.33203125" customWidth="1"/>
    <col min="10208" max="10208" width="22.44140625" customWidth="1"/>
    <col min="10209" max="10209" width="17" customWidth="1"/>
    <col min="10210" max="10210" width="20.44140625" customWidth="1"/>
    <col min="10211" max="10211" width="16.44140625" customWidth="1"/>
    <col min="10212" max="10212" width="13.33203125" customWidth="1"/>
    <col min="10213" max="10213" width="15" customWidth="1"/>
    <col min="10214" max="10214" width="16.44140625" customWidth="1"/>
    <col min="10215" max="10216" width="18.33203125" customWidth="1"/>
    <col min="10217" max="10221" width="24.88671875" customWidth="1"/>
    <col min="10222" max="10222" width="15.88671875" customWidth="1"/>
    <col min="10223" max="10223" width="19.44140625" customWidth="1"/>
    <col min="10224" max="10224" width="19.6640625" customWidth="1"/>
    <col min="10225" max="10225" width="21.44140625" customWidth="1"/>
    <col min="10226" max="10226" width="15.6640625" customWidth="1"/>
    <col min="10227" max="10227" width="26.44140625" customWidth="1"/>
    <col min="10228" max="10228" width="15.6640625" customWidth="1"/>
    <col min="10232" max="10232" width="17" customWidth="1"/>
    <col min="10233" max="10233" width="16.44140625" customWidth="1"/>
    <col min="10234" max="10234" width="19" customWidth="1"/>
    <col min="10235" max="10236" width="23.6640625" customWidth="1"/>
    <col min="10237" max="10238" width="16.44140625" customWidth="1"/>
    <col min="10239" max="10239" width="12.6640625" customWidth="1"/>
    <col min="10240" max="10240" width="13.5546875" customWidth="1"/>
    <col min="10241" max="10241" width="14.6640625" customWidth="1"/>
    <col min="10242" max="10242" width="16.88671875" customWidth="1"/>
    <col min="10382" max="10382" width="30.6640625" customWidth="1"/>
    <col min="10383" max="10383" width="0" hidden="1" customWidth="1"/>
    <col min="10384" max="10384" width="78.5546875" customWidth="1"/>
    <col min="10385" max="10385" width="12.6640625" bestFit="1" customWidth="1"/>
    <col min="10386" max="10386" width="17.109375" customWidth="1"/>
    <col min="10387" max="10387" width="15" customWidth="1"/>
    <col min="10388" max="10388" width="9.88671875" customWidth="1"/>
    <col min="10389" max="10389" width="24.5546875" bestFit="1" customWidth="1"/>
    <col min="10390" max="10390" width="20.44140625" customWidth="1"/>
    <col min="10391" max="10391" width="24.5546875" customWidth="1"/>
    <col min="10392" max="10392" width="21" customWidth="1"/>
    <col min="10393" max="10393" width="22.6640625" customWidth="1"/>
    <col min="10394" max="10394" width="19.6640625" customWidth="1"/>
    <col min="10395" max="10395" width="18.44140625" customWidth="1"/>
    <col min="10396" max="10396" width="14.5546875" customWidth="1"/>
    <col min="10397" max="10397" width="16.33203125" customWidth="1"/>
    <col min="10398" max="10398" width="21.44140625" customWidth="1"/>
    <col min="10400" max="10400" width="15.6640625" customWidth="1"/>
    <col min="10401" max="10401" width="22.6640625" customWidth="1"/>
    <col min="10402" max="10402" width="26.44140625" customWidth="1"/>
    <col min="10403" max="10403" width="20.109375" customWidth="1"/>
    <col min="10404" max="10404" width="18.44140625" customWidth="1"/>
    <col min="10405" max="10405" width="23.5546875" customWidth="1"/>
    <col min="10406" max="10406" width="16.33203125" customWidth="1"/>
    <col min="10407" max="10407" width="15.109375" customWidth="1"/>
    <col min="10408" max="10408" width="16.33203125" customWidth="1"/>
    <col min="10409" max="10409" width="15.88671875" customWidth="1"/>
    <col min="10410" max="10410" width="17.88671875" customWidth="1"/>
    <col min="10411" max="10411" width="16.33203125" customWidth="1"/>
    <col min="10412" max="10412" width="15.88671875" customWidth="1"/>
    <col min="10413" max="10413" width="18.33203125" customWidth="1"/>
    <col min="10414" max="10414" width="17.109375" customWidth="1"/>
    <col min="10415" max="10416" width="15.5546875" customWidth="1"/>
    <col min="10417" max="10417" width="25.44140625" customWidth="1"/>
    <col min="10418" max="10419" width="21" customWidth="1"/>
    <col min="10420" max="10420" width="13.109375" customWidth="1"/>
    <col min="10421" max="10421" width="15" customWidth="1"/>
    <col min="10423" max="10425" width="17.88671875" customWidth="1"/>
    <col min="10426" max="10426" width="16.88671875" customWidth="1"/>
    <col min="10427" max="10427" width="24.33203125" customWidth="1"/>
    <col min="10428" max="10430" width="15.88671875" customWidth="1"/>
    <col min="10431" max="10431" width="19" customWidth="1"/>
    <col min="10432" max="10432" width="15.33203125" customWidth="1"/>
    <col min="10433" max="10433" width="21.44140625" customWidth="1"/>
    <col min="10434" max="10434" width="16.33203125" customWidth="1"/>
    <col min="10435" max="10435" width="13.33203125" customWidth="1"/>
    <col min="10436" max="10436" width="15" customWidth="1"/>
    <col min="10437" max="10437" width="18.44140625" customWidth="1"/>
    <col min="10438" max="10438" width="17.5546875" customWidth="1"/>
    <col min="10440" max="10440" width="12.88671875" customWidth="1"/>
    <col min="10443" max="10443" width="12.109375" customWidth="1"/>
    <col min="10444" max="10444" width="13.5546875" customWidth="1"/>
    <col min="10447" max="10447" width="14.109375" customWidth="1"/>
    <col min="10448" max="10448" width="12.33203125" customWidth="1"/>
    <col min="10454" max="10454" width="20.6640625" customWidth="1"/>
    <col min="10455" max="10455" width="14.88671875" customWidth="1"/>
    <col min="10456" max="10456" width="14.33203125" customWidth="1"/>
    <col min="10457" max="10457" width="14.109375" customWidth="1"/>
    <col min="10458" max="10458" width="18.33203125" customWidth="1"/>
    <col min="10459" max="10459" width="17.33203125" customWidth="1"/>
    <col min="10460" max="10460" width="18.5546875" customWidth="1"/>
    <col min="10462" max="10462" width="18.5546875" customWidth="1"/>
    <col min="10463" max="10463" width="26.33203125" customWidth="1"/>
    <col min="10464" max="10464" width="22.44140625" customWidth="1"/>
    <col min="10465" max="10465" width="17" customWidth="1"/>
    <col min="10466" max="10466" width="20.44140625" customWidth="1"/>
    <col min="10467" max="10467" width="16.44140625" customWidth="1"/>
    <col min="10468" max="10468" width="13.33203125" customWidth="1"/>
    <col min="10469" max="10469" width="15" customWidth="1"/>
    <col min="10470" max="10470" width="16.44140625" customWidth="1"/>
    <col min="10471" max="10472" width="18.33203125" customWidth="1"/>
    <col min="10473" max="10477" width="24.88671875" customWidth="1"/>
    <col min="10478" max="10478" width="15.88671875" customWidth="1"/>
    <col min="10479" max="10479" width="19.44140625" customWidth="1"/>
    <col min="10480" max="10480" width="19.6640625" customWidth="1"/>
    <col min="10481" max="10481" width="21.44140625" customWidth="1"/>
    <col min="10482" max="10482" width="15.6640625" customWidth="1"/>
    <col min="10483" max="10483" width="26.44140625" customWidth="1"/>
    <col min="10484" max="10484" width="15.6640625" customWidth="1"/>
    <col min="10488" max="10488" width="17" customWidth="1"/>
    <col min="10489" max="10489" width="16.44140625" customWidth="1"/>
    <col min="10490" max="10490" width="19" customWidth="1"/>
    <col min="10491" max="10492" width="23.6640625" customWidth="1"/>
    <col min="10493" max="10494" width="16.44140625" customWidth="1"/>
    <col min="10495" max="10495" width="12.6640625" customWidth="1"/>
    <col min="10496" max="10496" width="13.5546875" customWidth="1"/>
    <col min="10497" max="10497" width="14.6640625" customWidth="1"/>
    <col min="10498" max="10498" width="16.88671875" customWidth="1"/>
    <col min="10638" max="10638" width="30.6640625" customWidth="1"/>
    <col min="10639" max="10639" width="0" hidden="1" customWidth="1"/>
    <col min="10640" max="10640" width="78.5546875" customWidth="1"/>
    <col min="10641" max="10641" width="12.6640625" bestFit="1" customWidth="1"/>
    <col min="10642" max="10642" width="17.109375" customWidth="1"/>
    <col min="10643" max="10643" width="15" customWidth="1"/>
    <col min="10644" max="10644" width="9.88671875" customWidth="1"/>
    <col min="10645" max="10645" width="24.5546875" bestFit="1" customWidth="1"/>
    <col min="10646" max="10646" width="20.44140625" customWidth="1"/>
    <col min="10647" max="10647" width="24.5546875" customWidth="1"/>
    <col min="10648" max="10648" width="21" customWidth="1"/>
    <col min="10649" max="10649" width="22.6640625" customWidth="1"/>
    <col min="10650" max="10650" width="19.6640625" customWidth="1"/>
    <col min="10651" max="10651" width="18.44140625" customWidth="1"/>
    <col min="10652" max="10652" width="14.5546875" customWidth="1"/>
    <col min="10653" max="10653" width="16.33203125" customWidth="1"/>
    <col min="10654" max="10654" width="21.44140625" customWidth="1"/>
    <col min="10656" max="10656" width="15.6640625" customWidth="1"/>
    <col min="10657" max="10657" width="22.6640625" customWidth="1"/>
    <col min="10658" max="10658" width="26.44140625" customWidth="1"/>
    <col min="10659" max="10659" width="20.109375" customWidth="1"/>
    <col min="10660" max="10660" width="18.44140625" customWidth="1"/>
    <col min="10661" max="10661" width="23.5546875" customWidth="1"/>
    <col min="10662" max="10662" width="16.33203125" customWidth="1"/>
    <col min="10663" max="10663" width="15.109375" customWidth="1"/>
    <col min="10664" max="10664" width="16.33203125" customWidth="1"/>
    <col min="10665" max="10665" width="15.88671875" customWidth="1"/>
    <col min="10666" max="10666" width="17.88671875" customWidth="1"/>
    <col min="10667" max="10667" width="16.33203125" customWidth="1"/>
    <col min="10668" max="10668" width="15.88671875" customWidth="1"/>
    <col min="10669" max="10669" width="18.33203125" customWidth="1"/>
    <col min="10670" max="10670" width="17.109375" customWidth="1"/>
    <col min="10671" max="10672" width="15.5546875" customWidth="1"/>
    <col min="10673" max="10673" width="25.44140625" customWidth="1"/>
    <col min="10674" max="10675" width="21" customWidth="1"/>
    <col min="10676" max="10676" width="13.109375" customWidth="1"/>
    <col min="10677" max="10677" width="15" customWidth="1"/>
    <col min="10679" max="10681" width="17.88671875" customWidth="1"/>
    <col min="10682" max="10682" width="16.88671875" customWidth="1"/>
    <col min="10683" max="10683" width="24.33203125" customWidth="1"/>
    <col min="10684" max="10686" width="15.88671875" customWidth="1"/>
    <col min="10687" max="10687" width="19" customWidth="1"/>
    <col min="10688" max="10688" width="15.33203125" customWidth="1"/>
    <col min="10689" max="10689" width="21.44140625" customWidth="1"/>
    <col min="10690" max="10690" width="16.33203125" customWidth="1"/>
    <col min="10691" max="10691" width="13.33203125" customWidth="1"/>
    <col min="10692" max="10692" width="15" customWidth="1"/>
    <col min="10693" max="10693" width="18.44140625" customWidth="1"/>
    <col min="10694" max="10694" width="17.5546875" customWidth="1"/>
    <col min="10696" max="10696" width="12.88671875" customWidth="1"/>
    <col min="10699" max="10699" width="12.109375" customWidth="1"/>
    <col min="10700" max="10700" width="13.5546875" customWidth="1"/>
    <col min="10703" max="10703" width="14.109375" customWidth="1"/>
    <col min="10704" max="10704" width="12.33203125" customWidth="1"/>
    <col min="10710" max="10710" width="20.6640625" customWidth="1"/>
    <col min="10711" max="10711" width="14.88671875" customWidth="1"/>
    <col min="10712" max="10712" width="14.33203125" customWidth="1"/>
    <col min="10713" max="10713" width="14.109375" customWidth="1"/>
    <col min="10714" max="10714" width="18.33203125" customWidth="1"/>
    <col min="10715" max="10715" width="17.33203125" customWidth="1"/>
    <col min="10716" max="10716" width="18.5546875" customWidth="1"/>
    <col min="10718" max="10718" width="18.5546875" customWidth="1"/>
    <col min="10719" max="10719" width="26.33203125" customWidth="1"/>
    <col min="10720" max="10720" width="22.44140625" customWidth="1"/>
    <col min="10721" max="10721" width="17" customWidth="1"/>
    <col min="10722" max="10722" width="20.44140625" customWidth="1"/>
    <col min="10723" max="10723" width="16.44140625" customWidth="1"/>
    <col min="10724" max="10724" width="13.33203125" customWidth="1"/>
    <col min="10725" max="10725" width="15" customWidth="1"/>
    <col min="10726" max="10726" width="16.44140625" customWidth="1"/>
    <col min="10727" max="10728" width="18.33203125" customWidth="1"/>
    <col min="10729" max="10733" width="24.88671875" customWidth="1"/>
    <col min="10734" max="10734" width="15.88671875" customWidth="1"/>
    <col min="10735" max="10735" width="19.44140625" customWidth="1"/>
    <col min="10736" max="10736" width="19.6640625" customWidth="1"/>
    <col min="10737" max="10737" width="21.44140625" customWidth="1"/>
    <col min="10738" max="10738" width="15.6640625" customWidth="1"/>
    <col min="10739" max="10739" width="26.44140625" customWidth="1"/>
    <col min="10740" max="10740" width="15.6640625" customWidth="1"/>
    <col min="10744" max="10744" width="17" customWidth="1"/>
    <col min="10745" max="10745" width="16.44140625" customWidth="1"/>
    <col min="10746" max="10746" width="19" customWidth="1"/>
    <col min="10747" max="10748" width="23.6640625" customWidth="1"/>
    <col min="10749" max="10750" width="16.44140625" customWidth="1"/>
    <col min="10751" max="10751" width="12.6640625" customWidth="1"/>
    <col min="10752" max="10752" width="13.5546875" customWidth="1"/>
    <col min="10753" max="10753" width="14.6640625" customWidth="1"/>
    <col min="10754" max="10754" width="16.88671875" customWidth="1"/>
    <col min="10894" max="10894" width="30.6640625" customWidth="1"/>
    <col min="10895" max="10895" width="0" hidden="1" customWidth="1"/>
    <col min="10896" max="10896" width="78.5546875" customWidth="1"/>
    <col min="10897" max="10897" width="12.6640625" bestFit="1" customWidth="1"/>
    <col min="10898" max="10898" width="17.109375" customWidth="1"/>
    <col min="10899" max="10899" width="15" customWidth="1"/>
    <col min="10900" max="10900" width="9.88671875" customWidth="1"/>
    <col min="10901" max="10901" width="24.5546875" bestFit="1" customWidth="1"/>
    <col min="10902" max="10902" width="20.44140625" customWidth="1"/>
    <col min="10903" max="10903" width="24.5546875" customWidth="1"/>
    <col min="10904" max="10904" width="21" customWidth="1"/>
    <col min="10905" max="10905" width="22.6640625" customWidth="1"/>
    <col min="10906" max="10906" width="19.6640625" customWidth="1"/>
    <col min="10907" max="10907" width="18.44140625" customWidth="1"/>
    <col min="10908" max="10908" width="14.5546875" customWidth="1"/>
    <col min="10909" max="10909" width="16.33203125" customWidth="1"/>
    <col min="10910" max="10910" width="21.44140625" customWidth="1"/>
    <col min="10912" max="10912" width="15.6640625" customWidth="1"/>
    <col min="10913" max="10913" width="22.6640625" customWidth="1"/>
    <col min="10914" max="10914" width="26.44140625" customWidth="1"/>
    <col min="10915" max="10915" width="20.109375" customWidth="1"/>
    <col min="10916" max="10916" width="18.44140625" customWidth="1"/>
    <col min="10917" max="10917" width="23.5546875" customWidth="1"/>
    <col min="10918" max="10918" width="16.33203125" customWidth="1"/>
    <col min="10919" max="10919" width="15.109375" customWidth="1"/>
    <col min="10920" max="10920" width="16.33203125" customWidth="1"/>
    <col min="10921" max="10921" width="15.88671875" customWidth="1"/>
    <col min="10922" max="10922" width="17.88671875" customWidth="1"/>
    <col min="10923" max="10923" width="16.33203125" customWidth="1"/>
    <col min="10924" max="10924" width="15.88671875" customWidth="1"/>
    <col min="10925" max="10925" width="18.33203125" customWidth="1"/>
    <col min="10926" max="10926" width="17.109375" customWidth="1"/>
    <col min="10927" max="10928" width="15.5546875" customWidth="1"/>
    <col min="10929" max="10929" width="25.44140625" customWidth="1"/>
    <col min="10930" max="10931" width="21" customWidth="1"/>
    <col min="10932" max="10932" width="13.109375" customWidth="1"/>
    <col min="10933" max="10933" width="15" customWidth="1"/>
    <col min="10935" max="10937" width="17.88671875" customWidth="1"/>
    <col min="10938" max="10938" width="16.88671875" customWidth="1"/>
    <col min="10939" max="10939" width="24.33203125" customWidth="1"/>
    <col min="10940" max="10942" width="15.88671875" customWidth="1"/>
    <col min="10943" max="10943" width="19" customWidth="1"/>
    <col min="10944" max="10944" width="15.33203125" customWidth="1"/>
    <col min="10945" max="10945" width="21.44140625" customWidth="1"/>
    <col min="10946" max="10946" width="16.33203125" customWidth="1"/>
    <col min="10947" max="10947" width="13.33203125" customWidth="1"/>
    <col min="10948" max="10948" width="15" customWidth="1"/>
    <col min="10949" max="10949" width="18.44140625" customWidth="1"/>
    <col min="10950" max="10950" width="17.5546875" customWidth="1"/>
    <col min="10952" max="10952" width="12.88671875" customWidth="1"/>
    <col min="10955" max="10955" width="12.109375" customWidth="1"/>
    <col min="10956" max="10956" width="13.5546875" customWidth="1"/>
    <col min="10959" max="10959" width="14.109375" customWidth="1"/>
    <col min="10960" max="10960" width="12.33203125" customWidth="1"/>
    <col min="10966" max="10966" width="20.6640625" customWidth="1"/>
    <col min="10967" max="10967" width="14.88671875" customWidth="1"/>
    <col min="10968" max="10968" width="14.33203125" customWidth="1"/>
    <col min="10969" max="10969" width="14.109375" customWidth="1"/>
    <col min="10970" max="10970" width="18.33203125" customWidth="1"/>
    <col min="10971" max="10971" width="17.33203125" customWidth="1"/>
    <col min="10972" max="10972" width="18.5546875" customWidth="1"/>
    <col min="10974" max="10974" width="18.5546875" customWidth="1"/>
    <col min="10975" max="10975" width="26.33203125" customWidth="1"/>
    <col min="10976" max="10976" width="22.44140625" customWidth="1"/>
    <col min="10977" max="10977" width="17" customWidth="1"/>
    <col min="10978" max="10978" width="20.44140625" customWidth="1"/>
    <col min="10979" max="10979" width="16.44140625" customWidth="1"/>
    <col min="10980" max="10980" width="13.33203125" customWidth="1"/>
    <col min="10981" max="10981" width="15" customWidth="1"/>
    <col min="10982" max="10982" width="16.44140625" customWidth="1"/>
    <col min="10983" max="10984" width="18.33203125" customWidth="1"/>
    <col min="10985" max="10989" width="24.88671875" customWidth="1"/>
    <col min="10990" max="10990" width="15.88671875" customWidth="1"/>
    <col min="10991" max="10991" width="19.44140625" customWidth="1"/>
    <col min="10992" max="10992" width="19.6640625" customWidth="1"/>
    <col min="10993" max="10993" width="21.44140625" customWidth="1"/>
    <col min="10994" max="10994" width="15.6640625" customWidth="1"/>
    <col min="10995" max="10995" width="26.44140625" customWidth="1"/>
    <col min="10996" max="10996" width="15.6640625" customWidth="1"/>
    <col min="11000" max="11000" width="17" customWidth="1"/>
    <col min="11001" max="11001" width="16.44140625" customWidth="1"/>
    <col min="11002" max="11002" width="19" customWidth="1"/>
    <col min="11003" max="11004" width="23.6640625" customWidth="1"/>
    <col min="11005" max="11006" width="16.44140625" customWidth="1"/>
    <col min="11007" max="11007" width="12.6640625" customWidth="1"/>
    <col min="11008" max="11008" width="13.5546875" customWidth="1"/>
    <col min="11009" max="11009" width="14.6640625" customWidth="1"/>
    <col min="11010" max="11010" width="16.88671875" customWidth="1"/>
    <col min="11150" max="11150" width="30.6640625" customWidth="1"/>
    <col min="11151" max="11151" width="0" hidden="1" customWidth="1"/>
    <col min="11152" max="11152" width="78.5546875" customWidth="1"/>
    <col min="11153" max="11153" width="12.6640625" bestFit="1" customWidth="1"/>
    <col min="11154" max="11154" width="17.109375" customWidth="1"/>
    <col min="11155" max="11155" width="15" customWidth="1"/>
    <col min="11156" max="11156" width="9.88671875" customWidth="1"/>
    <col min="11157" max="11157" width="24.5546875" bestFit="1" customWidth="1"/>
    <col min="11158" max="11158" width="20.44140625" customWidth="1"/>
    <col min="11159" max="11159" width="24.5546875" customWidth="1"/>
    <col min="11160" max="11160" width="21" customWidth="1"/>
    <col min="11161" max="11161" width="22.6640625" customWidth="1"/>
    <col min="11162" max="11162" width="19.6640625" customWidth="1"/>
    <col min="11163" max="11163" width="18.44140625" customWidth="1"/>
    <col min="11164" max="11164" width="14.5546875" customWidth="1"/>
    <col min="11165" max="11165" width="16.33203125" customWidth="1"/>
    <col min="11166" max="11166" width="21.44140625" customWidth="1"/>
    <col min="11168" max="11168" width="15.6640625" customWidth="1"/>
    <col min="11169" max="11169" width="22.6640625" customWidth="1"/>
    <col min="11170" max="11170" width="26.44140625" customWidth="1"/>
    <col min="11171" max="11171" width="20.109375" customWidth="1"/>
    <col min="11172" max="11172" width="18.44140625" customWidth="1"/>
    <col min="11173" max="11173" width="23.5546875" customWidth="1"/>
    <col min="11174" max="11174" width="16.33203125" customWidth="1"/>
    <col min="11175" max="11175" width="15.109375" customWidth="1"/>
    <col min="11176" max="11176" width="16.33203125" customWidth="1"/>
    <col min="11177" max="11177" width="15.88671875" customWidth="1"/>
    <col min="11178" max="11178" width="17.88671875" customWidth="1"/>
    <col min="11179" max="11179" width="16.33203125" customWidth="1"/>
    <col min="11180" max="11180" width="15.88671875" customWidth="1"/>
    <col min="11181" max="11181" width="18.33203125" customWidth="1"/>
    <col min="11182" max="11182" width="17.109375" customWidth="1"/>
    <col min="11183" max="11184" width="15.5546875" customWidth="1"/>
    <col min="11185" max="11185" width="25.44140625" customWidth="1"/>
    <col min="11186" max="11187" width="21" customWidth="1"/>
    <col min="11188" max="11188" width="13.109375" customWidth="1"/>
    <col min="11189" max="11189" width="15" customWidth="1"/>
    <col min="11191" max="11193" width="17.88671875" customWidth="1"/>
    <col min="11194" max="11194" width="16.88671875" customWidth="1"/>
    <col min="11195" max="11195" width="24.33203125" customWidth="1"/>
    <col min="11196" max="11198" width="15.88671875" customWidth="1"/>
    <col min="11199" max="11199" width="19" customWidth="1"/>
    <col min="11200" max="11200" width="15.33203125" customWidth="1"/>
    <col min="11201" max="11201" width="21.44140625" customWidth="1"/>
    <col min="11202" max="11202" width="16.33203125" customWidth="1"/>
    <col min="11203" max="11203" width="13.33203125" customWidth="1"/>
    <col min="11204" max="11204" width="15" customWidth="1"/>
    <col min="11205" max="11205" width="18.44140625" customWidth="1"/>
    <col min="11206" max="11206" width="17.5546875" customWidth="1"/>
    <col min="11208" max="11208" width="12.88671875" customWidth="1"/>
    <col min="11211" max="11211" width="12.109375" customWidth="1"/>
    <col min="11212" max="11212" width="13.5546875" customWidth="1"/>
    <col min="11215" max="11215" width="14.109375" customWidth="1"/>
    <col min="11216" max="11216" width="12.33203125" customWidth="1"/>
    <col min="11222" max="11222" width="20.6640625" customWidth="1"/>
    <col min="11223" max="11223" width="14.88671875" customWidth="1"/>
    <col min="11224" max="11224" width="14.33203125" customWidth="1"/>
    <col min="11225" max="11225" width="14.109375" customWidth="1"/>
    <col min="11226" max="11226" width="18.33203125" customWidth="1"/>
    <col min="11227" max="11227" width="17.33203125" customWidth="1"/>
    <col min="11228" max="11228" width="18.5546875" customWidth="1"/>
    <col min="11230" max="11230" width="18.5546875" customWidth="1"/>
    <col min="11231" max="11231" width="26.33203125" customWidth="1"/>
    <col min="11232" max="11232" width="22.44140625" customWidth="1"/>
    <col min="11233" max="11233" width="17" customWidth="1"/>
    <col min="11234" max="11234" width="20.44140625" customWidth="1"/>
    <col min="11235" max="11235" width="16.44140625" customWidth="1"/>
    <col min="11236" max="11236" width="13.33203125" customWidth="1"/>
    <col min="11237" max="11237" width="15" customWidth="1"/>
    <col min="11238" max="11238" width="16.44140625" customWidth="1"/>
    <col min="11239" max="11240" width="18.33203125" customWidth="1"/>
    <col min="11241" max="11245" width="24.88671875" customWidth="1"/>
    <col min="11246" max="11246" width="15.88671875" customWidth="1"/>
    <col min="11247" max="11247" width="19.44140625" customWidth="1"/>
    <col min="11248" max="11248" width="19.6640625" customWidth="1"/>
    <col min="11249" max="11249" width="21.44140625" customWidth="1"/>
    <col min="11250" max="11250" width="15.6640625" customWidth="1"/>
    <col min="11251" max="11251" width="26.44140625" customWidth="1"/>
    <col min="11252" max="11252" width="15.6640625" customWidth="1"/>
    <col min="11256" max="11256" width="17" customWidth="1"/>
    <col min="11257" max="11257" width="16.44140625" customWidth="1"/>
    <col min="11258" max="11258" width="19" customWidth="1"/>
    <col min="11259" max="11260" width="23.6640625" customWidth="1"/>
    <col min="11261" max="11262" width="16.44140625" customWidth="1"/>
    <col min="11263" max="11263" width="12.6640625" customWidth="1"/>
    <col min="11264" max="11264" width="13.5546875" customWidth="1"/>
    <col min="11265" max="11265" width="14.6640625" customWidth="1"/>
    <col min="11266" max="11266" width="16.88671875" customWidth="1"/>
    <col min="11406" max="11406" width="30.6640625" customWidth="1"/>
    <col min="11407" max="11407" width="0" hidden="1" customWidth="1"/>
    <col min="11408" max="11408" width="78.5546875" customWidth="1"/>
    <col min="11409" max="11409" width="12.6640625" bestFit="1" customWidth="1"/>
    <col min="11410" max="11410" width="17.109375" customWidth="1"/>
    <col min="11411" max="11411" width="15" customWidth="1"/>
    <col min="11412" max="11412" width="9.88671875" customWidth="1"/>
    <col min="11413" max="11413" width="24.5546875" bestFit="1" customWidth="1"/>
    <col min="11414" max="11414" width="20.44140625" customWidth="1"/>
    <col min="11415" max="11415" width="24.5546875" customWidth="1"/>
    <col min="11416" max="11416" width="21" customWidth="1"/>
    <col min="11417" max="11417" width="22.6640625" customWidth="1"/>
    <col min="11418" max="11418" width="19.6640625" customWidth="1"/>
    <col min="11419" max="11419" width="18.44140625" customWidth="1"/>
    <col min="11420" max="11420" width="14.5546875" customWidth="1"/>
    <col min="11421" max="11421" width="16.33203125" customWidth="1"/>
    <col min="11422" max="11422" width="21.44140625" customWidth="1"/>
    <col min="11424" max="11424" width="15.6640625" customWidth="1"/>
    <col min="11425" max="11425" width="22.6640625" customWidth="1"/>
    <col min="11426" max="11426" width="26.44140625" customWidth="1"/>
    <col min="11427" max="11427" width="20.109375" customWidth="1"/>
    <col min="11428" max="11428" width="18.44140625" customWidth="1"/>
    <col min="11429" max="11429" width="23.5546875" customWidth="1"/>
    <col min="11430" max="11430" width="16.33203125" customWidth="1"/>
    <col min="11431" max="11431" width="15.109375" customWidth="1"/>
    <col min="11432" max="11432" width="16.33203125" customWidth="1"/>
    <col min="11433" max="11433" width="15.88671875" customWidth="1"/>
    <col min="11434" max="11434" width="17.88671875" customWidth="1"/>
    <col min="11435" max="11435" width="16.33203125" customWidth="1"/>
    <col min="11436" max="11436" width="15.88671875" customWidth="1"/>
    <col min="11437" max="11437" width="18.33203125" customWidth="1"/>
    <col min="11438" max="11438" width="17.109375" customWidth="1"/>
    <col min="11439" max="11440" width="15.5546875" customWidth="1"/>
    <col min="11441" max="11441" width="25.44140625" customWidth="1"/>
    <col min="11442" max="11443" width="21" customWidth="1"/>
    <col min="11444" max="11444" width="13.109375" customWidth="1"/>
    <col min="11445" max="11445" width="15" customWidth="1"/>
    <col min="11447" max="11449" width="17.88671875" customWidth="1"/>
    <col min="11450" max="11450" width="16.88671875" customWidth="1"/>
    <col min="11451" max="11451" width="24.33203125" customWidth="1"/>
    <col min="11452" max="11454" width="15.88671875" customWidth="1"/>
    <col min="11455" max="11455" width="19" customWidth="1"/>
    <col min="11456" max="11456" width="15.33203125" customWidth="1"/>
    <col min="11457" max="11457" width="21.44140625" customWidth="1"/>
    <col min="11458" max="11458" width="16.33203125" customWidth="1"/>
    <col min="11459" max="11459" width="13.33203125" customWidth="1"/>
    <col min="11460" max="11460" width="15" customWidth="1"/>
    <col min="11461" max="11461" width="18.44140625" customWidth="1"/>
    <col min="11462" max="11462" width="17.5546875" customWidth="1"/>
    <col min="11464" max="11464" width="12.88671875" customWidth="1"/>
    <col min="11467" max="11467" width="12.109375" customWidth="1"/>
    <col min="11468" max="11468" width="13.5546875" customWidth="1"/>
    <col min="11471" max="11471" width="14.109375" customWidth="1"/>
    <col min="11472" max="11472" width="12.33203125" customWidth="1"/>
    <col min="11478" max="11478" width="20.6640625" customWidth="1"/>
    <col min="11479" max="11479" width="14.88671875" customWidth="1"/>
    <col min="11480" max="11480" width="14.33203125" customWidth="1"/>
    <col min="11481" max="11481" width="14.109375" customWidth="1"/>
    <col min="11482" max="11482" width="18.33203125" customWidth="1"/>
    <col min="11483" max="11483" width="17.33203125" customWidth="1"/>
    <col min="11484" max="11484" width="18.5546875" customWidth="1"/>
    <col min="11486" max="11486" width="18.5546875" customWidth="1"/>
    <col min="11487" max="11487" width="26.33203125" customWidth="1"/>
    <col min="11488" max="11488" width="22.44140625" customWidth="1"/>
    <col min="11489" max="11489" width="17" customWidth="1"/>
    <col min="11490" max="11490" width="20.44140625" customWidth="1"/>
    <col min="11491" max="11491" width="16.44140625" customWidth="1"/>
    <col min="11492" max="11492" width="13.33203125" customWidth="1"/>
    <col min="11493" max="11493" width="15" customWidth="1"/>
    <col min="11494" max="11494" width="16.44140625" customWidth="1"/>
    <col min="11495" max="11496" width="18.33203125" customWidth="1"/>
    <col min="11497" max="11501" width="24.88671875" customWidth="1"/>
    <col min="11502" max="11502" width="15.88671875" customWidth="1"/>
    <col min="11503" max="11503" width="19.44140625" customWidth="1"/>
    <col min="11504" max="11504" width="19.6640625" customWidth="1"/>
    <col min="11505" max="11505" width="21.44140625" customWidth="1"/>
    <col min="11506" max="11506" width="15.6640625" customWidth="1"/>
    <col min="11507" max="11507" width="26.44140625" customWidth="1"/>
    <col min="11508" max="11508" width="15.6640625" customWidth="1"/>
    <col min="11512" max="11512" width="17" customWidth="1"/>
    <col min="11513" max="11513" width="16.44140625" customWidth="1"/>
    <col min="11514" max="11514" width="19" customWidth="1"/>
    <col min="11515" max="11516" width="23.6640625" customWidth="1"/>
    <col min="11517" max="11518" width="16.44140625" customWidth="1"/>
    <col min="11519" max="11519" width="12.6640625" customWidth="1"/>
    <col min="11520" max="11520" width="13.5546875" customWidth="1"/>
    <col min="11521" max="11521" width="14.6640625" customWidth="1"/>
    <col min="11522" max="11522" width="16.88671875" customWidth="1"/>
    <col min="11662" max="11662" width="30.6640625" customWidth="1"/>
    <col min="11663" max="11663" width="0" hidden="1" customWidth="1"/>
    <col min="11664" max="11664" width="78.5546875" customWidth="1"/>
    <col min="11665" max="11665" width="12.6640625" bestFit="1" customWidth="1"/>
    <col min="11666" max="11666" width="17.109375" customWidth="1"/>
    <col min="11667" max="11667" width="15" customWidth="1"/>
    <col min="11668" max="11668" width="9.88671875" customWidth="1"/>
    <col min="11669" max="11669" width="24.5546875" bestFit="1" customWidth="1"/>
    <col min="11670" max="11670" width="20.44140625" customWidth="1"/>
    <col min="11671" max="11671" width="24.5546875" customWidth="1"/>
    <col min="11672" max="11672" width="21" customWidth="1"/>
    <col min="11673" max="11673" width="22.6640625" customWidth="1"/>
    <col min="11674" max="11674" width="19.6640625" customWidth="1"/>
    <col min="11675" max="11675" width="18.44140625" customWidth="1"/>
    <col min="11676" max="11676" width="14.5546875" customWidth="1"/>
    <col min="11677" max="11677" width="16.33203125" customWidth="1"/>
    <col min="11678" max="11678" width="21.44140625" customWidth="1"/>
    <col min="11680" max="11680" width="15.6640625" customWidth="1"/>
    <col min="11681" max="11681" width="22.6640625" customWidth="1"/>
    <col min="11682" max="11682" width="26.44140625" customWidth="1"/>
    <col min="11683" max="11683" width="20.109375" customWidth="1"/>
    <col min="11684" max="11684" width="18.44140625" customWidth="1"/>
    <col min="11685" max="11685" width="23.5546875" customWidth="1"/>
    <col min="11686" max="11686" width="16.33203125" customWidth="1"/>
    <col min="11687" max="11687" width="15.109375" customWidth="1"/>
    <col min="11688" max="11688" width="16.33203125" customWidth="1"/>
    <col min="11689" max="11689" width="15.88671875" customWidth="1"/>
    <col min="11690" max="11690" width="17.88671875" customWidth="1"/>
    <col min="11691" max="11691" width="16.33203125" customWidth="1"/>
    <col min="11692" max="11692" width="15.88671875" customWidth="1"/>
    <col min="11693" max="11693" width="18.33203125" customWidth="1"/>
    <col min="11694" max="11694" width="17.109375" customWidth="1"/>
    <col min="11695" max="11696" width="15.5546875" customWidth="1"/>
    <col min="11697" max="11697" width="25.44140625" customWidth="1"/>
    <col min="11698" max="11699" width="21" customWidth="1"/>
    <col min="11700" max="11700" width="13.109375" customWidth="1"/>
    <col min="11701" max="11701" width="15" customWidth="1"/>
    <col min="11703" max="11705" width="17.88671875" customWidth="1"/>
    <col min="11706" max="11706" width="16.88671875" customWidth="1"/>
    <col min="11707" max="11707" width="24.33203125" customWidth="1"/>
    <col min="11708" max="11710" width="15.88671875" customWidth="1"/>
    <col min="11711" max="11711" width="19" customWidth="1"/>
    <col min="11712" max="11712" width="15.33203125" customWidth="1"/>
    <col min="11713" max="11713" width="21.44140625" customWidth="1"/>
    <col min="11714" max="11714" width="16.33203125" customWidth="1"/>
    <col min="11715" max="11715" width="13.33203125" customWidth="1"/>
    <col min="11716" max="11716" width="15" customWidth="1"/>
    <col min="11717" max="11717" width="18.44140625" customWidth="1"/>
    <col min="11718" max="11718" width="17.5546875" customWidth="1"/>
    <col min="11720" max="11720" width="12.88671875" customWidth="1"/>
    <col min="11723" max="11723" width="12.109375" customWidth="1"/>
    <col min="11724" max="11724" width="13.5546875" customWidth="1"/>
    <col min="11727" max="11727" width="14.109375" customWidth="1"/>
    <col min="11728" max="11728" width="12.33203125" customWidth="1"/>
    <col min="11734" max="11734" width="20.6640625" customWidth="1"/>
    <col min="11735" max="11735" width="14.88671875" customWidth="1"/>
    <col min="11736" max="11736" width="14.33203125" customWidth="1"/>
    <col min="11737" max="11737" width="14.109375" customWidth="1"/>
    <col min="11738" max="11738" width="18.33203125" customWidth="1"/>
    <col min="11739" max="11739" width="17.33203125" customWidth="1"/>
    <col min="11740" max="11740" width="18.5546875" customWidth="1"/>
    <col min="11742" max="11742" width="18.5546875" customWidth="1"/>
    <col min="11743" max="11743" width="26.33203125" customWidth="1"/>
    <col min="11744" max="11744" width="22.44140625" customWidth="1"/>
    <col min="11745" max="11745" width="17" customWidth="1"/>
    <col min="11746" max="11746" width="20.44140625" customWidth="1"/>
    <col min="11747" max="11747" width="16.44140625" customWidth="1"/>
    <col min="11748" max="11748" width="13.33203125" customWidth="1"/>
    <col min="11749" max="11749" width="15" customWidth="1"/>
    <col min="11750" max="11750" width="16.44140625" customWidth="1"/>
    <col min="11751" max="11752" width="18.33203125" customWidth="1"/>
    <col min="11753" max="11757" width="24.88671875" customWidth="1"/>
    <col min="11758" max="11758" width="15.88671875" customWidth="1"/>
    <col min="11759" max="11759" width="19.44140625" customWidth="1"/>
    <col min="11760" max="11760" width="19.6640625" customWidth="1"/>
    <col min="11761" max="11761" width="21.44140625" customWidth="1"/>
    <col min="11762" max="11762" width="15.6640625" customWidth="1"/>
    <col min="11763" max="11763" width="26.44140625" customWidth="1"/>
    <col min="11764" max="11764" width="15.6640625" customWidth="1"/>
    <col min="11768" max="11768" width="17" customWidth="1"/>
    <col min="11769" max="11769" width="16.44140625" customWidth="1"/>
    <col min="11770" max="11770" width="19" customWidth="1"/>
    <col min="11771" max="11772" width="23.6640625" customWidth="1"/>
    <col min="11773" max="11774" width="16.44140625" customWidth="1"/>
    <col min="11775" max="11775" width="12.6640625" customWidth="1"/>
    <col min="11776" max="11776" width="13.5546875" customWidth="1"/>
    <col min="11777" max="11777" width="14.6640625" customWidth="1"/>
    <col min="11778" max="11778" width="16.88671875" customWidth="1"/>
    <col min="11918" max="11918" width="30.6640625" customWidth="1"/>
    <col min="11919" max="11919" width="0" hidden="1" customWidth="1"/>
    <col min="11920" max="11920" width="78.5546875" customWidth="1"/>
    <col min="11921" max="11921" width="12.6640625" bestFit="1" customWidth="1"/>
    <col min="11922" max="11922" width="17.109375" customWidth="1"/>
    <col min="11923" max="11923" width="15" customWidth="1"/>
    <col min="11924" max="11924" width="9.88671875" customWidth="1"/>
    <col min="11925" max="11925" width="24.5546875" bestFit="1" customWidth="1"/>
    <col min="11926" max="11926" width="20.44140625" customWidth="1"/>
    <col min="11927" max="11927" width="24.5546875" customWidth="1"/>
    <col min="11928" max="11928" width="21" customWidth="1"/>
    <col min="11929" max="11929" width="22.6640625" customWidth="1"/>
    <col min="11930" max="11930" width="19.6640625" customWidth="1"/>
    <col min="11931" max="11931" width="18.44140625" customWidth="1"/>
    <col min="11932" max="11932" width="14.5546875" customWidth="1"/>
    <col min="11933" max="11933" width="16.33203125" customWidth="1"/>
    <col min="11934" max="11934" width="21.44140625" customWidth="1"/>
    <col min="11936" max="11936" width="15.6640625" customWidth="1"/>
    <col min="11937" max="11937" width="22.6640625" customWidth="1"/>
    <col min="11938" max="11938" width="26.44140625" customWidth="1"/>
    <col min="11939" max="11939" width="20.109375" customWidth="1"/>
    <col min="11940" max="11940" width="18.44140625" customWidth="1"/>
    <col min="11941" max="11941" width="23.5546875" customWidth="1"/>
    <col min="11942" max="11942" width="16.33203125" customWidth="1"/>
    <col min="11943" max="11943" width="15.109375" customWidth="1"/>
    <col min="11944" max="11944" width="16.33203125" customWidth="1"/>
    <col min="11945" max="11945" width="15.88671875" customWidth="1"/>
    <col min="11946" max="11946" width="17.88671875" customWidth="1"/>
    <col min="11947" max="11947" width="16.33203125" customWidth="1"/>
    <col min="11948" max="11948" width="15.88671875" customWidth="1"/>
    <col min="11949" max="11949" width="18.33203125" customWidth="1"/>
    <col min="11950" max="11950" width="17.109375" customWidth="1"/>
    <col min="11951" max="11952" width="15.5546875" customWidth="1"/>
    <col min="11953" max="11953" width="25.44140625" customWidth="1"/>
    <col min="11954" max="11955" width="21" customWidth="1"/>
    <col min="11956" max="11956" width="13.109375" customWidth="1"/>
    <col min="11957" max="11957" width="15" customWidth="1"/>
    <col min="11959" max="11961" width="17.88671875" customWidth="1"/>
    <col min="11962" max="11962" width="16.88671875" customWidth="1"/>
    <col min="11963" max="11963" width="24.33203125" customWidth="1"/>
    <col min="11964" max="11966" width="15.88671875" customWidth="1"/>
    <col min="11967" max="11967" width="19" customWidth="1"/>
    <col min="11968" max="11968" width="15.33203125" customWidth="1"/>
    <col min="11969" max="11969" width="21.44140625" customWidth="1"/>
    <col min="11970" max="11970" width="16.33203125" customWidth="1"/>
    <col min="11971" max="11971" width="13.33203125" customWidth="1"/>
    <col min="11972" max="11972" width="15" customWidth="1"/>
    <col min="11973" max="11973" width="18.44140625" customWidth="1"/>
    <col min="11974" max="11974" width="17.5546875" customWidth="1"/>
    <col min="11976" max="11976" width="12.88671875" customWidth="1"/>
    <col min="11979" max="11979" width="12.109375" customWidth="1"/>
    <col min="11980" max="11980" width="13.5546875" customWidth="1"/>
    <col min="11983" max="11983" width="14.109375" customWidth="1"/>
    <col min="11984" max="11984" width="12.33203125" customWidth="1"/>
    <col min="11990" max="11990" width="20.6640625" customWidth="1"/>
    <col min="11991" max="11991" width="14.88671875" customWidth="1"/>
    <col min="11992" max="11992" width="14.33203125" customWidth="1"/>
    <col min="11993" max="11993" width="14.109375" customWidth="1"/>
    <col min="11994" max="11994" width="18.33203125" customWidth="1"/>
    <col min="11995" max="11995" width="17.33203125" customWidth="1"/>
    <col min="11996" max="11996" width="18.5546875" customWidth="1"/>
    <col min="11998" max="11998" width="18.5546875" customWidth="1"/>
    <col min="11999" max="11999" width="26.33203125" customWidth="1"/>
    <col min="12000" max="12000" width="22.44140625" customWidth="1"/>
    <col min="12001" max="12001" width="17" customWidth="1"/>
    <col min="12002" max="12002" width="20.44140625" customWidth="1"/>
    <col min="12003" max="12003" width="16.44140625" customWidth="1"/>
    <col min="12004" max="12004" width="13.33203125" customWidth="1"/>
    <col min="12005" max="12005" width="15" customWidth="1"/>
    <col min="12006" max="12006" width="16.44140625" customWidth="1"/>
    <col min="12007" max="12008" width="18.33203125" customWidth="1"/>
    <col min="12009" max="12013" width="24.88671875" customWidth="1"/>
    <col min="12014" max="12014" width="15.88671875" customWidth="1"/>
    <col min="12015" max="12015" width="19.44140625" customWidth="1"/>
    <col min="12016" max="12016" width="19.6640625" customWidth="1"/>
    <col min="12017" max="12017" width="21.44140625" customWidth="1"/>
    <col min="12018" max="12018" width="15.6640625" customWidth="1"/>
    <col min="12019" max="12019" width="26.44140625" customWidth="1"/>
    <col min="12020" max="12020" width="15.6640625" customWidth="1"/>
    <col min="12024" max="12024" width="17" customWidth="1"/>
    <col min="12025" max="12025" width="16.44140625" customWidth="1"/>
    <col min="12026" max="12026" width="19" customWidth="1"/>
    <col min="12027" max="12028" width="23.6640625" customWidth="1"/>
    <col min="12029" max="12030" width="16.44140625" customWidth="1"/>
    <col min="12031" max="12031" width="12.6640625" customWidth="1"/>
    <col min="12032" max="12032" width="13.5546875" customWidth="1"/>
    <col min="12033" max="12033" width="14.6640625" customWidth="1"/>
    <col min="12034" max="12034" width="16.88671875" customWidth="1"/>
    <col min="12174" max="12174" width="30.6640625" customWidth="1"/>
    <col min="12175" max="12175" width="0" hidden="1" customWidth="1"/>
    <col min="12176" max="12176" width="78.5546875" customWidth="1"/>
    <col min="12177" max="12177" width="12.6640625" bestFit="1" customWidth="1"/>
    <col min="12178" max="12178" width="17.109375" customWidth="1"/>
    <col min="12179" max="12179" width="15" customWidth="1"/>
    <col min="12180" max="12180" width="9.88671875" customWidth="1"/>
    <col min="12181" max="12181" width="24.5546875" bestFit="1" customWidth="1"/>
    <col min="12182" max="12182" width="20.44140625" customWidth="1"/>
    <col min="12183" max="12183" width="24.5546875" customWidth="1"/>
    <col min="12184" max="12184" width="21" customWidth="1"/>
    <col min="12185" max="12185" width="22.6640625" customWidth="1"/>
    <col min="12186" max="12186" width="19.6640625" customWidth="1"/>
    <col min="12187" max="12187" width="18.44140625" customWidth="1"/>
    <col min="12188" max="12188" width="14.5546875" customWidth="1"/>
    <col min="12189" max="12189" width="16.33203125" customWidth="1"/>
    <col min="12190" max="12190" width="21.44140625" customWidth="1"/>
    <col min="12192" max="12192" width="15.6640625" customWidth="1"/>
    <col min="12193" max="12193" width="22.6640625" customWidth="1"/>
    <col min="12194" max="12194" width="26.44140625" customWidth="1"/>
    <col min="12195" max="12195" width="20.109375" customWidth="1"/>
    <col min="12196" max="12196" width="18.44140625" customWidth="1"/>
    <col min="12197" max="12197" width="23.5546875" customWidth="1"/>
    <col min="12198" max="12198" width="16.33203125" customWidth="1"/>
    <col min="12199" max="12199" width="15.109375" customWidth="1"/>
    <col min="12200" max="12200" width="16.33203125" customWidth="1"/>
    <col min="12201" max="12201" width="15.88671875" customWidth="1"/>
    <col min="12202" max="12202" width="17.88671875" customWidth="1"/>
    <col min="12203" max="12203" width="16.33203125" customWidth="1"/>
    <col min="12204" max="12204" width="15.88671875" customWidth="1"/>
    <col min="12205" max="12205" width="18.33203125" customWidth="1"/>
    <col min="12206" max="12206" width="17.109375" customWidth="1"/>
    <col min="12207" max="12208" width="15.5546875" customWidth="1"/>
    <col min="12209" max="12209" width="25.44140625" customWidth="1"/>
    <col min="12210" max="12211" width="21" customWidth="1"/>
    <col min="12212" max="12212" width="13.109375" customWidth="1"/>
    <col min="12213" max="12213" width="15" customWidth="1"/>
    <col min="12215" max="12217" width="17.88671875" customWidth="1"/>
    <col min="12218" max="12218" width="16.88671875" customWidth="1"/>
    <col min="12219" max="12219" width="24.33203125" customWidth="1"/>
    <col min="12220" max="12222" width="15.88671875" customWidth="1"/>
    <col min="12223" max="12223" width="19" customWidth="1"/>
    <col min="12224" max="12224" width="15.33203125" customWidth="1"/>
    <col min="12225" max="12225" width="21.44140625" customWidth="1"/>
    <col min="12226" max="12226" width="16.33203125" customWidth="1"/>
    <col min="12227" max="12227" width="13.33203125" customWidth="1"/>
    <col min="12228" max="12228" width="15" customWidth="1"/>
    <col min="12229" max="12229" width="18.44140625" customWidth="1"/>
    <col min="12230" max="12230" width="17.5546875" customWidth="1"/>
    <col min="12232" max="12232" width="12.88671875" customWidth="1"/>
    <col min="12235" max="12235" width="12.109375" customWidth="1"/>
    <col min="12236" max="12236" width="13.5546875" customWidth="1"/>
    <col min="12239" max="12239" width="14.109375" customWidth="1"/>
    <col min="12240" max="12240" width="12.33203125" customWidth="1"/>
    <col min="12246" max="12246" width="20.6640625" customWidth="1"/>
    <col min="12247" max="12247" width="14.88671875" customWidth="1"/>
    <col min="12248" max="12248" width="14.33203125" customWidth="1"/>
    <col min="12249" max="12249" width="14.109375" customWidth="1"/>
    <col min="12250" max="12250" width="18.33203125" customWidth="1"/>
    <col min="12251" max="12251" width="17.33203125" customWidth="1"/>
    <col min="12252" max="12252" width="18.5546875" customWidth="1"/>
    <col min="12254" max="12254" width="18.5546875" customWidth="1"/>
    <col min="12255" max="12255" width="26.33203125" customWidth="1"/>
    <col min="12256" max="12256" width="22.44140625" customWidth="1"/>
    <col min="12257" max="12257" width="17" customWidth="1"/>
    <col min="12258" max="12258" width="20.44140625" customWidth="1"/>
    <col min="12259" max="12259" width="16.44140625" customWidth="1"/>
    <col min="12260" max="12260" width="13.33203125" customWidth="1"/>
    <col min="12261" max="12261" width="15" customWidth="1"/>
    <col min="12262" max="12262" width="16.44140625" customWidth="1"/>
    <col min="12263" max="12264" width="18.33203125" customWidth="1"/>
    <col min="12265" max="12269" width="24.88671875" customWidth="1"/>
    <col min="12270" max="12270" width="15.88671875" customWidth="1"/>
    <col min="12271" max="12271" width="19.44140625" customWidth="1"/>
    <col min="12272" max="12272" width="19.6640625" customWidth="1"/>
    <col min="12273" max="12273" width="21.44140625" customWidth="1"/>
    <col min="12274" max="12274" width="15.6640625" customWidth="1"/>
    <col min="12275" max="12275" width="26.44140625" customWidth="1"/>
    <col min="12276" max="12276" width="15.6640625" customWidth="1"/>
    <col min="12280" max="12280" width="17" customWidth="1"/>
    <col min="12281" max="12281" width="16.44140625" customWidth="1"/>
    <col min="12282" max="12282" width="19" customWidth="1"/>
    <col min="12283" max="12284" width="23.6640625" customWidth="1"/>
    <col min="12285" max="12286" width="16.44140625" customWidth="1"/>
    <col min="12287" max="12287" width="12.6640625" customWidth="1"/>
    <col min="12288" max="12288" width="13.5546875" customWidth="1"/>
    <col min="12289" max="12289" width="14.6640625" customWidth="1"/>
    <col min="12290" max="12290" width="16.88671875" customWidth="1"/>
    <col min="12430" max="12430" width="30.6640625" customWidth="1"/>
    <col min="12431" max="12431" width="0" hidden="1" customWidth="1"/>
    <col min="12432" max="12432" width="78.5546875" customWidth="1"/>
    <col min="12433" max="12433" width="12.6640625" bestFit="1" customWidth="1"/>
    <col min="12434" max="12434" width="17.109375" customWidth="1"/>
    <col min="12435" max="12435" width="15" customWidth="1"/>
    <col min="12436" max="12436" width="9.88671875" customWidth="1"/>
    <col min="12437" max="12437" width="24.5546875" bestFit="1" customWidth="1"/>
    <col min="12438" max="12438" width="20.44140625" customWidth="1"/>
    <col min="12439" max="12439" width="24.5546875" customWidth="1"/>
    <col min="12440" max="12440" width="21" customWidth="1"/>
    <col min="12441" max="12441" width="22.6640625" customWidth="1"/>
    <col min="12442" max="12442" width="19.6640625" customWidth="1"/>
    <col min="12443" max="12443" width="18.44140625" customWidth="1"/>
    <col min="12444" max="12444" width="14.5546875" customWidth="1"/>
    <col min="12445" max="12445" width="16.33203125" customWidth="1"/>
    <col min="12446" max="12446" width="21.44140625" customWidth="1"/>
    <col min="12448" max="12448" width="15.6640625" customWidth="1"/>
    <col min="12449" max="12449" width="22.6640625" customWidth="1"/>
    <col min="12450" max="12450" width="26.44140625" customWidth="1"/>
    <col min="12451" max="12451" width="20.109375" customWidth="1"/>
    <col min="12452" max="12452" width="18.44140625" customWidth="1"/>
    <col min="12453" max="12453" width="23.5546875" customWidth="1"/>
    <col min="12454" max="12454" width="16.33203125" customWidth="1"/>
    <col min="12455" max="12455" width="15.109375" customWidth="1"/>
    <col min="12456" max="12456" width="16.33203125" customWidth="1"/>
    <col min="12457" max="12457" width="15.88671875" customWidth="1"/>
    <col min="12458" max="12458" width="17.88671875" customWidth="1"/>
    <col min="12459" max="12459" width="16.33203125" customWidth="1"/>
    <col min="12460" max="12460" width="15.88671875" customWidth="1"/>
    <col min="12461" max="12461" width="18.33203125" customWidth="1"/>
    <col min="12462" max="12462" width="17.109375" customWidth="1"/>
    <col min="12463" max="12464" width="15.5546875" customWidth="1"/>
    <col min="12465" max="12465" width="25.44140625" customWidth="1"/>
    <col min="12466" max="12467" width="21" customWidth="1"/>
    <col min="12468" max="12468" width="13.109375" customWidth="1"/>
    <col min="12469" max="12469" width="15" customWidth="1"/>
    <col min="12471" max="12473" width="17.88671875" customWidth="1"/>
    <col min="12474" max="12474" width="16.88671875" customWidth="1"/>
    <col min="12475" max="12475" width="24.33203125" customWidth="1"/>
    <col min="12476" max="12478" width="15.88671875" customWidth="1"/>
    <col min="12479" max="12479" width="19" customWidth="1"/>
    <col min="12480" max="12480" width="15.33203125" customWidth="1"/>
    <col min="12481" max="12481" width="21.44140625" customWidth="1"/>
    <col min="12482" max="12482" width="16.33203125" customWidth="1"/>
    <col min="12483" max="12483" width="13.33203125" customWidth="1"/>
    <col min="12484" max="12484" width="15" customWidth="1"/>
    <col min="12485" max="12485" width="18.44140625" customWidth="1"/>
    <col min="12486" max="12486" width="17.5546875" customWidth="1"/>
    <col min="12488" max="12488" width="12.88671875" customWidth="1"/>
    <col min="12491" max="12491" width="12.109375" customWidth="1"/>
    <col min="12492" max="12492" width="13.5546875" customWidth="1"/>
    <col min="12495" max="12495" width="14.109375" customWidth="1"/>
    <col min="12496" max="12496" width="12.33203125" customWidth="1"/>
    <col min="12502" max="12502" width="20.6640625" customWidth="1"/>
    <col min="12503" max="12503" width="14.88671875" customWidth="1"/>
    <col min="12504" max="12504" width="14.33203125" customWidth="1"/>
    <col min="12505" max="12505" width="14.109375" customWidth="1"/>
    <col min="12506" max="12506" width="18.33203125" customWidth="1"/>
    <col min="12507" max="12507" width="17.33203125" customWidth="1"/>
    <col min="12508" max="12508" width="18.5546875" customWidth="1"/>
    <col min="12510" max="12510" width="18.5546875" customWidth="1"/>
    <col min="12511" max="12511" width="26.33203125" customWidth="1"/>
    <col min="12512" max="12512" width="22.44140625" customWidth="1"/>
    <col min="12513" max="12513" width="17" customWidth="1"/>
    <col min="12514" max="12514" width="20.44140625" customWidth="1"/>
    <col min="12515" max="12515" width="16.44140625" customWidth="1"/>
    <col min="12516" max="12516" width="13.33203125" customWidth="1"/>
    <col min="12517" max="12517" width="15" customWidth="1"/>
    <col min="12518" max="12518" width="16.44140625" customWidth="1"/>
    <col min="12519" max="12520" width="18.33203125" customWidth="1"/>
    <col min="12521" max="12525" width="24.88671875" customWidth="1"/>
    <col min="12526" max="12526" width="15.88671875" customWidth="1"/>
    <col min="12527" max="12527" width="19.44140625" customWidth="1"/>
    <col min="12528" max="12528" width="19.6640625" customWidth="1"/>
    <col min="12529" max="12529" width="21.44140625" customWidth="1"/>
    <col min="12530" max="12530" width="15.6640625" customWidth="1"/>
    <col min="12531" max="12531" width="26.44140625" customWidth="1"/>
    <col min="12532" max="12532" width="15.6640625" customWidth="1"/>
    <col min="12536" max="12536" width="17" customWidth="1"/>
    <col min="12537" max="12537" width="16.44140625" customWidth="1"/>
    <col min="12538" max="12538" width="19" customWidth="1"/>
    <col min="12539" max="12540" width="23.6640625" customWidth="1"/>
    <col min="12541" max="12542" width="16.44140625" customWidth="1"/>
    <col min="12543" max="12543" width="12.6640625" customWidth="1"/>
    <col min="12544" max="12544" width="13.5546875" customWidth="1"/>
    <col min="12545" max="12545" width="14.6640625" customWidth="1"/>
    <col min="12546" max="12546" width="16.88671875" customWidth="1"/>
    <col min="12686" max="12686" width="30.6640625" customWidth="1"/>
    <col min="12687" max="12687" width="0" hidden="1" customWidth="1"/>
    <col min="12688" max="12688" width="78.5546875" customWidth="1"/>
    <col min="12689" max="12689" width="12.6640625" bestFit="1" customWidth="1"/>
    <col min="12690" max="12690" width="17.109375" customWidth="1"/>
    <col min="12691" max="12691" width="15" customWidth="1"/>
    <col min="12692" max="12692" width="9.88671875" customWidth="1"/>
    <col min="12693" max="12693" width="24.5546875" bestFit="1" customWidth="1"/>
    <col min="12694" max="12694" width="20.44140625" customWidth="1"/>
    <col min="12695" max="12695" width="24.5546875" customWidth="1"/>
    <col min="12696" max="12696" width="21" customWidth="1"/>
    <col min="12697" max="12697" width="22.6640625" customWidth="1"/>
    <col min="12698" max="12698" width="19.6640625" customWidth="1"/>
    <col min="12699" max="12699" width="18.44140625" customWidth="1"/>
    <col min="12700" max="12700" width="14.5546875" customWidth="1"/>
    <col min="12701" max="12701" width="16.33203125" customWidth="1"/>
    <col min="12702" max="12702" width="21.44140625" customWidth="1"/>
    <col min="12704" max="12704" width="15.6640625" customWidth="1"/>
    <col min="12705" max="12705" width="22.6640625" customWidth="1"/>
    <col min="12706" max="12706" width="26.44140625" customWidth="1"/>
    <col min="12707" max="12707" width="20.109375" customWidth="1"/>
    <col min="12708" max="12708" width="18.44140625" customWidth="1"/>
    <col min="12709" max="12709" width="23.5546875" customWidth="1"/>
    <col min="12710" max="12710" width="16.33203125" customWidth="1"/>
    <col min="12711" max="12711" width="15.109375" customWidth="1"/>
    <col min="12712" max="12712" width="16.33203125" customWidth="1"/>
    <col min="12713" max="12713" width="15.88671875" customWidth="1"/>
    <col min="12714" max="12714" width="17.88671875" customWidth="1"/>
    <col min="12715" max="12715" width="16.33203125" customWidth="1"/>
    <col min="12716" max="12716" width="15.88671875" customWidth="1"/>
    <col min="12717" max="12717" width="18.33203125" customWidth="1"/>
    <col min="12718" max="12718" width="17.109375" customWidth="1"/>
    <col min="12719" max="12720" width="15.5546875" customWidth="1"/>
    <col min="12721" max="12721" width="25.44140625" customWidth="1"/>
    <col min="12722" max="12723" width="21" customWidth="1"/>
    <col min="12724" max="12724" width="13.109375" customWidth="1"/>
    <col min="12725" max="12725" width="15" customWidth="1"/>
    <col min="12727" max="12729" width="17.88671875" customWidth="1"/>
    <col min="12730" max="12730" width="16.88671875" customWidth="1"/>
    <col min="12731" max="12731" width="24.33203125" customWidth="1"/>
    <col min="12732" max="12734" width="15.88671875" customWidth="1"/>
    <col min="12735" max="12735" width="19" customWidth="1"/>
    <col min="12736" max="12736" width="15.33203125" customWidth="1"/>
    <col min="12737" max="12737" width="21.44140625" customWidth="1"/>
    <col min="12738" max="12738" width="16.33203125" customWidth="1"/>
    <col min="12739" max="12739" width="13.33203125" customWidth="1"/>
    <col min="12740" max="12740" width="15" customWidth="1"/>
    <col min="12741" max="12741" width="18.44140625" customWidth="1"/>
    <col min="12742" max="12742" width="17.5546875" customWidth="1"/>
    <col min="12744" max="12744" width="12.88671875" customWidth="1"/>
    <col min="12747" max="12747" width="12.109375" customWidth="1"/>
    <col min="12748" max="12748" width="13.5546875" customWidth="1"/>
    <col min="12751" max="12751" width="14.109375" customWidth="1"/>
    <col min="12752" max="12752" width="12.33203125" customWidth="1"/>
    <col min="12758" max="12758" width="20.6640625" customWidth="1"/>
    <col min="12759" max="12759" width="14.88671875" customWidth="1"/>
    <col min="12760" max="12760" width="14.33203125" customWidth="1"/>
    <col min="12761" max="12761" width="14.109375" customWidth="1"/>
    <col min="12762" max="12762" width="18.33203125" customWidth="1"/>
    <col min="12763" max="12763" width="17.33203125" customWidth="1"/>
    <col min="12764" max="12764" width="18.5546875" customWidth="1"/>
    <col min="12766" max="12766" width="18.5546875" customWidth="1"/>
    <col min="12767" max="12767" width="26.33203125" customWidth="1"/>
    <col min="12768" max="12768" width="22.44140625" customWidth="1"/>
    <col min="12769" max="12769" width="17" customWidth="1"/>
    <col min="12770" max="12770" width="20.44140625" customWidth="1"/>
    <col min="12771" max="12771" width="16.44140625" customWidth="1"/>
    <col min="12772" max="12772" width="13.33203125" customWidth="1"/>
    <col min="12773" max="12773" width="15" customWidth="1"/>
    <col min="12774" max="12774" width="16.44140625" customWidth="1"/>
    <col min="12775" max="12776" width="18.33203125" customWidth="1"/>
    <col min="12777" max="12781" width="24.88671875" customWidth="1"/>
    <col min="12782" max="12782" width="15.88671875" customWidth="1"/>
    <col min="12783" max="12783" width="19.44140625" customWidth="1"/>
    <col min="12784" max="12784" width="19.6640625" customWidth="1"/>
    <col min="12785" max="12785" width="21.44140625" customWidth="1"/>
    <col min="12786" max="12786" width="15.6640625" customWidth="1"/>
    <col min="12787" max="12787" width="26.44140625" customWidth="1"/>
    <col min="12788" max="12788" width="15.6640625" customWidth="1"/>
    <col min="12792" max="12792" width="17" customWidth="1"/>
    <col min="12793" max="12793" width="16.44140625" customWidth="1"/>
    <col min="12794" max="12794" width="19" customWidth="1"/>
    <col min="12795" max="12796" width="23.6640625" customWidth="1"/>
    <col min="12797" max="12798" width="16.44140625" customWidth="1"/>
    <col min="12799" max="12799" width="12.6640625" customWidth="1"/>
    <col min="12800" max="12800" width="13.5546875" customWidth="1"/>
    <col min="12801" max="12801" width="14.6640625" customWidth="1"/>
    <col min="12802" max="12802" width="16.88671875" customWidth="1"/>
    <col min="12942" max="12942" width="30.6640625" customWidth="1"/>
    <col min="12943" max="12943" width="0" hidden="1" customWidth="1"/>
    <col min="12944" max="12944" width="78.5546875" customWidth="1"/>
    <col min="12945" max="12945" width="12.6640625" bestFit="1" customWidth="1"/>
    <col min="12946" max="12946" width="17.109375" customWidth="1"/>
    <col min="12947" max="12947" width="15" customWidth="1"/>
    <col min="12948" max="12948" width="9.88671875" customWidth="1"/>
    <col min="12949" max="12949" width="24.5546875" bestFit="1" customWidth="1"/>
    <col min="12950" max="12950" width="20.44140625" customWidth="1"/>
    <col min="12951" max="12951" width="24.5546875" customWidth="1"/>
    <col min="12952" max="12952" width="21" customWidth="1"/>
    <col min="12953" max="12953" width="22.6640625" customWidth="1"/>
    <col min="12954" max="12954" width="19.6640625" customWidth="1"/>
    <col min="12955" max="12955" width="18.44140625" customWidth="1"/>
    <col min="12956" max="12956" width="14.5546875" customWidth="1"/>
    <col min="12957" max="12957" width="16.33203125" customWidth="1"/>
    <col min="12958" max="12958" width="21.44140625" customWidth="1"/>
    <col min="12960" max="12960" width="15.6640625" customWidth="1"/>
    <col min="12961" max="12961" width="22.6640625" customWidth="1"/>
    <col min="12962" max="12962" width="26.44140625" customWidth="1"/>
    <col min="12963" max="12963" width="20.109375" customWidth="1"/>
    <col min="12964" max="12964" width="18.44140625" customWidth="1"/>
    <col min="12965" max="12965" width="23.5546875" customWidth="1"/>
    <col min="12966" max="12966" width="16.33203125" customWidth="1"/>
    <col min="12967" max="12967" width="15.109375" customWidth="1"/>
    <col min="12968" max="12968" width="16.33203125" customWidth="1"/>
    <col min="12969" max="12969" width="15.88671875" customWidth="1"/>
    <col min="12970" max="12970" width="17.88671875" customWidth="1"/>
    <col min="12971" max="12971" width="16.33203125" customWidth="1"/>
    <col min="12972" max="12972" width="15.88671875" customWidth="1"/>
    <col min="12973" max="12973" width="18.33203125" customWidth="1"/>
    <col min="12974" max="12974" width="17.109375" customWidth="1"/>
    <col min="12975" max="12976" width="15.5546875" customWidth="1"/>
    <col min="12977" max="12977" width="25.44140625" customWidth="1"/>
    <col min="12978" max="12979" width="21" customWidth="1"/>
    <col min="12980" max="12980" width="13.109375" customWidth="1"/>
    <col min="12981" max="12981" width="15" customWidth="1"/>
    <col min="12983" max="12985" width="17.88671875" customWidth="1"/>
    <col min="12986" max="12986" width="16.88671875" customWidth="1"/>
    <col min="12987" max="12987" width="24.33203125" customWidth="1"/>
    <col min="12988" max="12990" width="15.88671875" customWidth="1"/>
    <col min="12991" max="12991" width="19" customWidth="1"/>
    <col min="12992" max="12992" width="15.33203125" customWidth="1"/>
    <col min="12993" max="12993" width="21.44140625" customWidth="1"/>
    <col min="12994" max="12994" width="16.33203125" customWidth="1"/>
    <col min="12995" max="12995" width="13.33203125" customWidth="1"/>
    <col min="12996" max="12996" width="15" customWidth="1"/>
    <col min="12997" max="12997" width="18.44140625" customWidth="1"/>
    <col min="12998" max="12998" width="17.5546875" customWidth="1"/>
    <col min="13000" max="13000" width="12.88671875" customWidth="1"/>
    <col min="13003" max="13003" width="12.109375" customWidth="1"/>
    <col min="13004" max="13004" width="13.5546875" customWidth="1"/>
    <col min="13007" max="13007" width="14.109375" customWidth="1"/>
    <col min="13008" max="13008" width="12.33203125" customWidth="1"/>
    <col min="13014" max="13014" width="20.6640625" customWidth="1"/>
    <col min="13015" max="13015" width="14.88671875" customWidth="1"/>
    <col min="13016" max="13016" width="14.33203125" customWidth="1"/>
    <col min="13017" max="13017" width="14.109375" customWidth="1"/>
    <col min="13018" max="13018" width="18.33203125" customWidth="1"/>
    <col min="13019" max="13019" width="17.33203125" customWidth="1"/>
    <col min="13020" max="13020" width="18.5546875" customWidth="1"/>
    <col min="13022" max="13022" width="18.5546875" customWidth="1"/>
    <col min="13023" max="13023" width="26.33203125" customWidth="1"/>
    <col min="13024" max="13024" width="22.44140625" customWidth="1"/>
    <col min="13025" max="13025" width="17" customWidth="1"/>
    <col min="13026" max="13026" width="20.44140625" customWidth="1"/>
    <col min="13027" max="13027" width="16.44140625" customWidth="1"/>
    <col min="13028" max="13028" width="13.33203125" customWidth="1"/>
    <col min="13029" max="13029" width="15" customWidth="1"/>
    <col min="13030" max="13030" width="16.44140625" customWidth="1"/>
    <col min="13031" max="13032" width="18.33203125" customWidth="1"/>
    <col min="13033" max="13037" width="24.88671875" customWidth="1"/>
    <col min="13038" max="13038" width="15.88671875" customWidth="1"/>
    <col min="13039" max="13039" width="19.44140625" customWidth="1"/>
    <col min="13040" max="13040" width="19.6640625" customWidth="1"/>
    <col min="13041" max="13041" width="21.44140625" customWidth="1"/>
    <col min="13042" max="13042" width="15.6640625" customWidth="1"/>
    <col min="13043" max="13043" width="26.44140625" customWidth="1"/>
    <col min="13044" max="13044" width="15.6640625" customWidth="1"/>
    <col min="13048" max="13048" width="17" customWidth="1"/>
    <col min="13049" max="13049" width="16.44140625" customWidth="1"/>
    <col min="13050" max="13050" width="19" customWidth="1"/>
    <col min="13051" max="13052" width="23.6640625" customWidth="1"/>
    <col min="13053" max="13054" width="16.44140625" customWidth="1"/>
    <col min="13055" max="13055" width="12.6640625" customWidth="1"/>
    <col min="13056" max="13056" width="13.5546875" customWidth="1"/>
    <col min="13057" max="13057" width="14.6640625" customWidth="1"/>
    <col min="13058" max="13058" width="16.88671875" customWidth="1"/>
    <col min="13198" max="13198" width="30.6640625" customWidth="1"/>
    <col min="13199" max="13199" width="0" hidden="1" customWidth="1"/>
    <col min="13200" max="13200" width="78.5546875" customWidth="1"/>
    <col min="13201" max="13201" width="12.6640625" bestFit="1" customWidth="1"/>
    <col min="13202" max="13202" width="17.109375" customWidth="1"/>
    <col min="13203" max="13203" width="15" customWidth="1"/>
    <col min="13204" max="13204" width="9.88671875" customWidth="1"/>
    <col min="13205" max="13205" width="24.5546875" bestFit="1" customWidth="1"/>
    <col min="13206" max="13206" width="20.44140625" customWidth="1"/>
    <col min="13207" max="13207" width="24.5546875" customWidth="1"/>
    <col min="13208" max="13208" width="21" customWidth="1"/>
    <col min="13209" max="13209" width="22.6640625" customWidth="1"/>
    <col min="13210" max="13210" width="19.6640625" customWidth="1"/>
    <col min="13211" max="13211" width="18.44140625" customWidth="1"/>
    <col min="13212" max="13212" width="14.5546875" customWidth="1"/>
    <col min="13213" max="13213" width="16.33203125" customWidth="1"/>
    <col min="13214" max="13214" width="21.44140625" customWidth="1"/>
    <col min="13216" max="13216" width="15.6640625" customWidth="1"/>
    <col min="13217" max="13217" width="22.6640625" customWidth="1"/>
    <col min="13218" max="13218" width="26.44140625" customWidth="1"/>
    <col min="13219" max="13219" width="20.109375" customWidth="1"/>
    <col min="13220" max="13220" width="18.44140625" customWidth="1"/>
    <col min="13221" max="13221" width="23.5546875" customWidth="1"/>
    <col min="13222" max="13222" width="16.33203125" customWidth="1"/>
    <col min="13223" max="13223" width="15.109375" customWidth="1"/>
    <col min="13224" max="13224" width="16.33203125" customWidth="1"/>
    <col min="13225" max="13225" width="15.88671875" customWidth="1"/>
    <col min="13226" max="13226" width="17.88671875" customWidth="1"/>
    <col min="13227" max="13227" width="16.33203125" customWidth="1"/>
    <col min="13228" max="13228" width="15.88671875" customWidth="1"/>
    <col min="13229" max="13229" width="18.33203125" customWidth="1"/>
    <col min="13230" max="13230" width="17.109375" customWidth="1"/>
    <col min="13231" max="13232" width="15.5546875" customWidth="1"/>
    <col min="13233" max="13233" width="25.44140625" customWidth="1"/>
    <col min="13234" max="13235" width="21" customWidth="1"/>
    <col min="13236" max="13236" width="13.109375" customWidth="1"/>
    <col min="13237" max="13237" width="15" customWidth="1"/>
    <col min="13239" max="13241" width="17.88671875" customWidth="1"/>
    <col min="13242" max="13242" width="16.88671875" customWidth="1"/>
    <col min="13243" max="13243" width="24.33203125" customWidth="1"/>
    <col min="13244" max="13246" width="15.88671875" customWidth="1"/>
    <col min="13247" max="13247" width="19" customWidth="1"/>
    <col min="13248" max="13248" width="15.33203125" customWidth="1"/>
    <col min="13249" max="13249" width="21.44140625" customWidth="1"/>
    <col min="13250" max="13250" width="16.33203125" customWidth="1"/>
    <col min="13251" max="13251" width="13.33203125" customWidth="1"/>
    <col min="13252" max="13252" width="15" customWidth="1"/>
    <col min="13253" max="13253" width="18.44140625" customWidth="1"/>
    <col min="13254" max="13254" width="17.5546875" customWidth="1"/>
    <col min="13256" max="13256" width="12.88671875" customWidth="1"/>
    <col min="13259" max="13259" width="12.109375" customWidth="1"/>
    <col min="13260" max="13260" width="13.5546875" customWidth="1"/>
    <col min="13263" max="13263" width="14.109375" customWidth="1"/>
    <col min="13264" max="13264" width="12.33203125" customWidth="1"/>
    <col min="13270" max="13270" width="20.6640625" customWidth="1"/>
    <col min="13271" max="13271" width="14.88671875" customWidth="1"/>
    <col min="13272" max="13272" width="14.33203125" customWidth="1"/>
    <col min="13273" max="13273" width="14.109375" customWidth="1"/>
    <col min="13274" max="13274" width="18.33203125" customWidth="1"/>
    <col min="13275" max="13275" width="17.33203125" customWidth="1"/>
    <col min="13276" max="13276" width="18.5546875" customWidth="1"/>
    <col min="13278" max="13278" width="18.5546875" customWidth="1"/>
    <col min="13279" max="13279" width="26.33203125" customWidth="1"/>
    <col min="13280" max="13280" width="22.44140625" customWidth="1"/>
    <col min="13281" max="13281" width="17" customWidth="1"/>
    <col min="13282" max="13282" width="20.44140625" customWidth="1"/>
    <col min="13283" max="13283" width="16.44140625" customWidth="1"/>
    <col min="13284" max="13284" width="13.33203125" customWidth="1"/>
    <col min="13285" max="13285" width="15" customWidth="1"/>
    <col min="13286" max="13286" width="16.44140625" customWidth="1"/>
    <col min="13287" max="13288" width="18.33203125" customWidth="1"/>
    <col min="13289" max="13293" width="24.88671875" customWidth="1"/>
    <col min="13294" max="13294" width="15.88671875" customWidth="1"/>
    <col min="13295" max="13295" width="19.44140625" customWidth="1"/>
    <col min="13296" max="13296" width="19.6640625" customWidth="1"/>
    <col min="13297" max="13297" width="21.44140625" customWidth="1"/>
    <col min="13298" max="13298" width="15.6640625" customWidth="1"/>
    <col min="13299" max="13299" width="26.44140625" customWidth="1"/>
    <col min="13300" max="13300" width="15.6640625" customWidth="1"/>
    <col min="13304" max="13304" width="17" customWidth="1"/>
    <col min="13305" max="13305" width="16.44140625" customWidth="1"/>
    <col min="13306" max="13306" width="19" customWidth="1"/>
    <col min="13307" max="13308" width="23.6640625" customWidth="1"/>
    <col min="13309" max="13310" width="16.44140625" customWidth="1"/>
    <col min="13311" max="13311" width="12.6640625" customWidth="1"/>
    <col min="13312" max="13312" width="13.5546875" customWidth="1"/>
    <col min="13313" max="13313" width="14.6640625" customWidth="1"/>
    <col min="13314" max="13314" width="16.88671875" customWidth="1"/>
    <col min="13454" max="13454" width="30.6640625" customWidth="1"/>
    <col min="13455" max="13455" width="0" hidden="1" customWidth="1"/>
    <col min="13456" max="13456" width="78.5546875" customWidth="1"/>
    <col min="13457" max="13457" width="12.6640625" bestFit="1" customWidth="1"/>
    <col min="13458" max="13458" width="17.109375" customWidth="1"/>
    <col min="13459" max="13459" width="15" customWidth="1"/>
    <col min="13460" max="13460" width="9.88671875" customWidth="1"/>
    <col min="13461" max="13461" width="24.5546875" bestFit="1" customWidth="1"/>
    <col min="13462" max="13462" width="20.44140625" customWidth="1"/>
    <col min="13463" max="13463" width="24.5546875" customWidth="1"/>
    <col min="13464" max="13464" width="21" customWidth="1"/>
    <col min="13465" max="13465" width="22.6640625" customWidth="1"/>
    <col min="13466" max="13466" width="19.6640625" customWidth="1"/>
    <col min="13467" max="13467" width="18.44140625" customWidth="1"/>
    <col min="13468" max="13468" width="14.5546875" customWidth="1"/>
    <col min="13469" max="13469" width="16.33203125" customWidth="1"/>
    <col min="13470" max="13470" width="21.44140625" customWidth="1"/>
    <col min="13472" max="13472" width="15.6640625" customWidth="1"/>
    <col min="13473" max="13473" width="22.6640625" customWidth="1"/>
    <col min="13474" max="13474" width="26.44140625" customWidth="1"/>
    <col min="13475" max="13475" width="20.109375" customWidth="1"/>
    <col min="13476" max="13476" width="18.44140625" customWidth="1"/>
    <col min="13477" max="13477" width="23.5546875" customWidth="1"/>
    <col min="13478" max="13478" width="16.33203125" customWidth="1"/>
    <col min="13479" max="13479" width="15.109375" customWidth="1"/>
    <col min="13480" max="13480" width="16.33203125" customWidth="1"/>
    <col min="13481" max="13481" width="15.88671875" customWidth="1"/>
    <col min="13482" max="13482" width="17.88671875" customWidth="1"/>
    <col min="13483" max="13483" width="16.33203125" customWidth="1"/>
    <col min="13484" max="13484" width="15.88671875" customWidth="1"/>
    <col min="13485" max="13485" width="18.33203125" customWidth="1"/>
    <col min="13486" max="13486" width="17.109375" customWidth="1"/>
    <col min="13487" max="13488" width="15.5546875" customWidth="1"/>
    <col min="13489" max="13489" width="25.44140625" customWidth="1"/>
    <col min="13490" max="13491" width="21" customWidth="1"/>
    <col min="13492" max="13492" width="13.109375" customWidth="1"/>
    <col min="13493" max="13493" width="15" customWidth="1"/>
    <col min="13495" max="13497" width="17.88671875" customWidth="1"/>
    <col min="13498" max="13498" width="16.88671875" customWidth="1"/>
    <col min="13499" max="13499" width="24.33203125" customWidth="1"/>
    <col min="13500" max="13502" width="15.88671875" customWidth="1"/>
    <col min="13503" max="13503" width="19" customWidth="1"/>
    <col min="13504" max="13504" width="15.33203125" customWidth="1"/>
    <col min="13505" max="13505" width="21.44140625" customWidth="1"/>
    <col min="13506" max="13506" width="16.33203125" customWidth="1"/>
    <col min="13507" max="13507" width="13.33203125" customWidth="1"/>
    <col min="13508" max="13508" width="15" customWidth="1"/>
    <col min="13509" max="13509" width="18.44140625" customWidth="1"/>
    <col min="13510" max="13510" width="17.5546875" customWidth="1"/>
    <col min="13512" max="13512" width="12.88671875" customWidth="1"/>
    <col min="13515" max="13515" width="12.109375" customWidth="1"/>
    <col min="13516" max="13516" width="13.5546875" customWidth="1"/>
    <col min="13519" max="13519" width="14.109375" customWidth="1"/>
    <col min="13520" max="13520" width="12.33203125" customWidth="1"/>
    <col min="13526" max="13526" width="20.6640625" customWidth="1"/>
    <col min="13527" max="13527" width="14.88671875" customWidth="1"/>
    <col min="13528" max="13528" width="14.33203125" customWidth="1"/>
    <col min="13529" max="13529" width="14.109375" customWidth="1"/>
    <col min="13530" max="13530" width="18.33203125" customWidth="1"/>
    <col min="13531" max="13531" width="17.33203125" customWidth="1"/>
    <col min="13532" max="13532" width="18.5546875" customWidth="1"/>
    <col min="13534" max="13534" width="18.5546875" customWidth="1"/>
    <col min="13535" max="13535" width="26.33203125" customWidth="1"/>
    <col min="13536" max="13536" width="22.44140625" customWidth="1"/>
    <col min="13537" max="13537" width="17" customWidth="1"/>
    <col min="13538" max="13538" width="20.44140625" customWidth="1"/>
    <col min="13539" max="13539" width="16.44140625" customWidth="1"/>
    <col min="13540" max="13540" width="13.33203125" customWidth="1"/>
    <col min="13541" max="13541" width="15" customWidth="1"/>
    <col min="13542" max="13542" width="16.44140625" customWidth="1"/>
    <col min="13543" max="13544" width="18.33203125" customWidth="1"/>
    <col min="13545" max="13549" width="24.88671875" customWidth="1"/>
    <col min="13550" max="13550" width="15.88671875" customWidth="1"/>
    <col min="13551" max="13551" width="19.44140625" customWidth="1"/>
    <col min="13552" max="13552" width="19.6640625" customWidth="1"/>
    <col min="13553" max="13553" width="21.44140625" customWidth="1"/>
    <col min="13554" max="13554" width="15.6640625" customWidth="1"/>
    <col min="13555" max="13555" width="26.44140625" customWidth="1"/>
    <col min="13556" max="13556" width="15.6640625" customWidth="1"/>
    <col min="13560" max="13560" width="17" customWidth="1"/>
    <col min="13561" max="13561" width="16.44140625" customWidth="1"/>
    <col min="13562" max="13562" width="19" customWidth="1"/>
    <col min="13563" max="13564" width="23.6640625" customWidth="1"/>
    <col min="13565" max="13566" width="16.44140625" customWidth="1"/>
    <col min="13567" max="13567" width="12.6640625" customWidth="1"/>
    <col min="13568" max="13568" width="13.5546875" customWidth="1"/>
    <col min="13569" max="13569" width="14.6640625" customWidth="1"/>
    <col min="13570" max="13570" width="16.88671875" customWidth="1"/>
    <col min="13710" max="13710" width="30.6640625" customWidth="1"/>
    <col min="13711" max="13711" width="0" hidden="1" customWidth="1"/>
    <col min="13712" max="13712" width="78.5546875" customWidth="1"/>
    <col min="13713" max="13713" width="12.6640625" bestFit="1" customWidth="1"/>
    <col min="13714" max="13714" width="17.109375" customWidth="1"/>
    <col min="13715" max="13715" width="15" customWidth="1"/>
    <col min="13716" max="13716" width="9.88671875" customWidth="1"/>
    <col min="13717" max="13717" width="24.5546875" bestFit="1" customWidth="1"/>
    <col min="13718" max="13718" width="20.44140625" customWidth="1"/>
    <col min="13719" max="13719" width="24.5546875" customWidth="1"/>
    <col min="13720" max="13720" width="21" customWidth="1"/>
    <col min="13721" max="13721" width="22.6640625" customWidth="1"/>
    <col min="13722" max="13722" width="19.6640625" customWidth="1"/>
    <col min="13723" max="13723" width="18.44140625" customWidth="1"/>
    <col min="13724" max="13724" width="14.5546875" customWidth="1"/>
    <col min="13725" max="13725" width="16.33203125" customWidth="1"/>
    <col min="13726" max="13726" width="21.44140625" customWidth="1"/>
    <col min="13728" max="13728" width="15.6640625" customWidth="1"/>
    <col min="13729" max="13729" width="22.6640625" customWidth="1"/>
    <col min="13730" max="13730" width="26.44140625" customWidth="1"/>
    <col min="13731" max="13731" width="20.109375" customWidth="1"/>
    <col min="13732" max="13732" width="18.44140625" customWidth="1"/>
    <col min="13733" max="13733" width="23.5546875" customWidth="1"/>
    <col min="13734" max="13734" width="16.33203125" customWidth="1"/>
    <col min="13735" max="13735" width="15.109375" customWidth="1"/>
    <col min="13736" max="13736" width="16.33203125" customWidth="1"/>
    <col min="13737" max="13737" width="15.88671875" customWidth="1"/>
    <col min="13738" max="13738" width="17.88671875" customWidth="1"/>
    <col min="13739" max="13739" width="16.33203125" customWidth="1"/>
    <col min="13740" max="13740" width="15.88671875" customWidth="1"/>
    <col min="13741" max="13741" width="18.33203125" customWidth="1"/>
    <col min="13742" max="13742" width="17.109375" customWidth="1"/>
    <col min="13743" max="13744" width="15.5546875" customWidth="1"/>
    <col min="13745" max="13745" width="25.44140625" customWidth="1"/>
    <col min="13746" max="13747" width="21" customWidth="1"/>
    <col min="13748" max="13748" width="13.109375" customWidth="1"/>
    <col min="13749" max="13749" width="15" customWidth="1"/>
    <col min="13751" max="13753" width="17.88671875" customWidth="1"/>
    <col min="13754" max="13754" width="16.88671875" customWidth="1"/>
    <col min="13755" max="13755" width="24.33203125" customWidth="1"/>
    <col min="13756" max="13758" width="15.88671875" customWidth="1"/>
    <col min="13759" max="13759" width="19" customWidth="1"/>
    <col min="13760" max="13760" width="15.33203125" customWidth="1"/>
    <col min="13761" max="13761" width="21.44140625" customWidth="1"/>
    <col min="13762" max="13762" width="16.33203125" customWidth="1"/>
    <col min="13763" max="13763" width="13.33203125" customWidth="1"/>
    <col min="13764" max="13764" width="15" customWidth="1"/>
    <col min="13765" max="13765" width="18.44140625" customWidth="1"/>
    <col min="13766" max="13766" width="17.5546875" customWidth="1"/>
    <col min="13768" max="13768" width="12.88671875" customWidth="1"/>
    <col min="13771" max="13771" width="12.109375" customWidth="1"/>
    <col min="13772" max="13772" width="13.5546875" customWidth="1"/>
    <col min="13775" max="13775" width="14.109375" customWidth="1"/>
    <col min="13776" max="13776" width="12.33203125" customWidth="1"/>
    <col min="13782" max="13782" width="20.6640625" customWidth="1"/>
    <col min="13783" max="13783" width="14.88671875" customWidth="1"/>
    <col min="13784" max="13784" width="14.33203125" customWidth="1"/>
    <col min="13785" max="13785" width="14.109375" customWidth="1"/>
    <col min="13786" max="13786" width="18.33203125" customWidth="1"/>
    <col min="13787" max="13787" width="17.33203125" customWidth="1"/>
    <col min="13788" max="13788" width="18.5546875" customWidth="1"/>
    <col min="13790" max="13790" width="18.5546875" customWidth="1"/>
    <col min="13791" max="13791" width="26.33203125" customWidth="1"/>
    <col min="13792" max="13792" width="22.44140625" customWidth="1"/>
    <col min="13793" max="13793" width="17" customWidth="1"/>
    <col min="13794" max="13794" width="20.44140625" customWidth="1"/>
    <col min="13795" max="13795" width="16.44140625" customWidth="1"/>
    <col min="13796" max="13796" width="13.33203125" customWidth="1"/>
    <col min="13797" max="13797" width="15" customWidth="1"/>
    <col min="13798" max="13798" width="16.44140625" customWidth="1"/>
    <col min="13799" max="13800" width="18.33203125" customWidth="1"/>
    <col min="13801" max="13805" width="24.88671875" customWidth="1"/>
    <col min="13806" max="13806" width="15.88671875" customWidth="1"/>
    <col min="13807" max="13807" width="19.44140625" customWidth="1"/>
    <col min="13808" max="13808" width="19.6640625" customWidth="1"/>
    <col min="13809" max="13809" width="21.44140625" customWidth="1"/>
    <col min="13810" max="13810" width="15.6640625" customWidth="1"/>
    <col min="13811" max="13811" width="26.44140625" customWidth="1"/>
    <col min="13812" max="13812" width="15.6640625" customWidth="1"/>
    <col min="13816" max="13816" width="17" customWidth="1"/>
    <col min="13817" max="13817" width="16.44140625" customWidth="1"/>
    <col min="13818" max="13818" width="19" customWidth="1"/>
    <col min="13819" max="13820" width="23.6640625" customWidth="1"/>
    <col min="13821" max="13822" width="16.44140625" customWidth="1"/>
    <col min="13823" max="13823" width="12.6640625" customWidth="1"/>
    <col min="13824" max="13824" width="13.5546875" customWidth="1"/>
    <col min="13825" max="13825" width="14.6640625" customWidth="1"/>
    <col min="13826" max="13826" width="16.88671875" customWidth="1"/>
    <col min="13966" max="13966" width="30.6640625" customWidth="1"/>
    <col min="13967" max="13967" width="0" hidden="1" customWidth="1"/>
    <col min="13968" max="13968" width="78.5546875" customWidth="1"/>
    <col min="13969" max="13969" width="12.6640625" bestFit="1" customWidth="1"/>
    <col min="13970" max="13970" width="17.109375" customWidth="1"/>
    <col min="13971" max="13971" width="15" customWidth="1"/>
    <col min="13972" max="13972" width="9.88671875" customWidth="1"/>
    <col min="13973" max="13973" width="24.5546875" bestFit="1" customWidth="1"/>
    <col min="13974" max="13974" width="20.44140625" customWidth="1"/>
    <col min="13975" max="13975" width="24.5546875" customWidth="1"/>
    <col min="13976" max="13976" width="21" customWidth="1"/>
    <col min="13977" max="13977" width="22.6640625" customWidth="1"/>
    <col min="13978" max="13978" width="19.6640625" customWidth="1"/>
    <col min="13979" max="13979" width="18.44140625" customWidth="1"/>
    <col min="13980" max="13980" width="14.5546875" customWidth="1"/>
    <col min="13981" max="13981" width="16.33203125" customWidth="1"/>
    <col min="13982" max="13982" width="21.44140625" customWidth="1"/>
    <col min="13984" max="13984" width="15.6640625" customWidth="1"/>
    <col min="13985" max="13985" width="22.6640625" customWidth="1"/>
    <col min="13986" max="13986" width="26.44140625" customWidth="1"/>
    <col min="13987" max="13987" width="20.109375" customWidth="1"/>
    <col min="13988" max="13988" width="18.44140625" customWidth="1"/>
    <col min="13989" max="13989" width="23.5546875" customWidth="1"/>
    <col min="13990" max="13990" width="16.33203125" customWidth="1"/>
    <col min="13991" max="13991" width="15.109375" customWidth="1"/>
    <col min="13992" max="13992" width="16.33203125" customWidth="1"/>
    <col min="13993" max="13993" width="15.88671875" customWidth="1"/>
    <col min="13994" max="13994" width="17.88671875" customWidth="1"/>
    <col min="13995" max="13995" width="16.33203125" customWidth="1"/>
    <col min="13996" max="13996" width="15.88671875" customWidth="1"/>
    <col min="13997" max="13997" width="18.33203125" customWidth="1"/>
    <col min="13998" max="13998" width="17.109375" customWidth="1"/>
    <col min="13999" max="14000" width="15.5546875" customWidth="1"/>
    <col min="14001" max="14001" width="25.44140625" customWidth="1"/>
    <col min="14002" max="14003" width="21" customWidth="1"/>
    <col min="14004" max="14004" width="13.109375" customWidth="1"/>
    <col min="14005" max="14005" width="15" customWidth="1"/>
    <col min="14007" max="14009" width="17.88671875" customWidth="1"/>
    <col min="14010" max="14010" width="16.88671875" customWidth="1"/>
    <col min="14011" max="14011" width="24.33203125" customWidth="1"/>
    <col min="14012" max="14014" width="15.88671875" customWidth="1"/>
    <col min="14015" max="14015" width="19" customWidth="1"/>
    <col min="14016" max="14016" width="15.33203125" customWidth="1"/>
    <col min="14017" max="14017" width="21.44140625" customWidth="1"/>
    <col min="14018" max="14018" width="16.33203125" customWidth="1"/>
    <col min="14019" max="14019" width="13.33203125" customWidth="1"/>
    <col min="14020" max="14020" width="15" customWidth="1"/>
    <col min="14021" max="14021" width="18.44140625" customWidth="1"/>
    <col min="14022" max="14022" width="17.5546875" customWidth="1"/>
    <col min="14024" max="14024" width="12.88671875" customWidth="1"/>
    <col min="14027" max="14027" width="12.109375" customWidth="1"/>
    <col min="14028" max="14028" width="13.5546875" customWidth="1"/>
    <col min="14031" max="14031" width="14.109375" customWidth="1"/>
    <col min="14032" max="14032" width="12.33203125" customWidth="1"/>
    <col min="14038" max="14038" width="20.6640625" customWidth="1"/>
    <col min="14039" max="14039" width="14.88671875" customWidth="1"/>
    <col min="14040" max="14040" width="14.33203125" customWidth="1"/>
    <col min="14041" max="14041" width="14.109375" customWidth="1"/>
    <col min="14042" max="14042" width="18.33203125" customWidth="1"/>
    <col min="14043" max="14043" width="17.33203125" customWidth="1"/>
    <col min="14044" max="14044" width="18.5546875" customWidth="1"/>
    <col min="14046" max="14046" width="18.5546875" customWidth="1"/>
    <col min="14047" max="14047" width="26.33203125" customWidth="1"/>
    <col min="14048" max="14048" width="22.44140625" customWidth="1"/>
    <col min="14049" max="14049" width="17" customWidth="1"/>
    <col min="14050" max="14050" width="20.44140625" customWidth="1"/>
    <col min="14051" max="14051" width="16.44140625" customWidth="1"/>
    <col min="14052" max="14052" width="13.33203125" customWidth="1"/>
    <col min="14053" max="14053" width="15" customWidth="1"/>
    <col min="14054" max="14054" width="16.44140625" customWidth="1"/>
    <col min="14055" max="14056" width="18.33203125" customWidth="1"/>
    <col min="14057" max="14061" width="24.88671875" customWidth="1"/>
    <col min="14062" max="14062" width="15.88671875" customWidth="1"/>
    <col min="14063" max="14063" width="19.44140625" customWidth="1"/>
    <col min="14064" max="14064" width="19.6640625" customWidth="1"/>
    <col min="14065" max="14065" width="21.44140625" customWidth="1"/>
    <col min="14066" max="14066" width="15.6640625" customWidth="1"/>
    <col min="14067" max="14067" width="26.44140625" customWidth="1"/>
    <col min="14068" max="14068" width="15.6640625" customWidth="1"/>
    <col min="14072" max="14072" width="17" customWidth="1"/>
    <col min="14073" max="14073" width="16.44140625" customWidth="1"/>
    <col min="14074" max="14074" width="19" customWidth="1"/>
    <col min="14075" max="14076" width="23.6640625" customWidth="1"/>
    <col min="14077" max="14078" width="16.44140625" customWidth="1"/>
    <col min="14079" max="14079" width="12.6640625" customWidth="1"/>
    <col min="14080" max="14080" width="13.5546875" customWidth="1"/>
    <col min="14081" max="14081" width="14.6640625" customWidth="1"/>
    <col min="14082" max="14082" width="16.88671875" customWidth="1"/>
    <col min="14222" max="14222" width="30.6640625" customWidth="1"/>
    <col min="14223" max="14223" width="0" hidden="1" customWidth="1"/>
    <col min="14224" max="14224" width="78.5546875" customWidth="1"/>
    <col min="14225" max="14225" width="12.6640625" bestFit="1" customWidth="1"/>
    <col min="14226" max="14226" width="17.109375" customWidth="1"/>
    <col min="14227" max="14227" width="15" customWidth="1"/>
    <col min="14228" max="14228" width="9.88671875" customWidth="1"/>
    <col min="14229" max="14229" width="24.5546875" bestFit="1" customWidth="1"/>
    <col min="14230" max="14230" width="20.44140625" customWidth="1"/>
    <col min="14231" max="14231" width="24.5546875" customWidth="1"/>
    <col min="14232" max="14232" width="21" customWidth="1"/>
    <col min="14233" max="14233" width="22.6640625" customWidth="1"/>
    <col min="14234" max="14234" width="19.6640625" customWidth="1"/>
    <col min="14235" max="14235" width="18.44140625" customWidth="1"/>
    <col min="14236" max="14236" width="14.5546875" customWidth="1"/>
    <col min="14237" max="14237" width="16.33203125" customWidth="1"/>
    <col min="14238" max="14238" width="21.44140625" customWidth="1"/>
    <col min="14240" max="14240" width="15.6640625" customWidth="1"/>
    <col min="14241" max="14241" width="22.6640625" customWidth="1"/>
    <col min="14242" max="14242" width="26.44140625" customWidth="1"/>
    <col min="14243" max="14243" width="20.109375" customWidth="1"/>
    <col min="14244" max="14244" width="18.44140625" customWidth="1"/>
    <col min="14245" max="14245" width="23.5546875" customWidth="1"/>
    <col min="14246" max="14246" width="16.33203125" customWidth="1"/>
    <col min="14247" max="14247" width="15.109375" customWidth="1"/>
    <col min="14248" max="14248" width="16.33203125" customWidth="1"/>
    <col min="14249" max="14249" width="15.88671875" customWidth="1"/>
    <col min="14250" max="14250" width="17.88671875" customWidth="1"/>
    <col min="14251" max="14251" width="16.33203125" customWidth="1"/>
    <col min="14252" max="14252" width="15.88671875" customWidth="1"/>
    <col min="14253" max="14253" width="18.33203125" customWidth="1"/>
    <col min="14254" max="14254" width="17.109375" customWidth="1"/>
    <col min="14255" max="14256" width="15.5546875" customWidth="1"/>
    <col min="14257" max="14257" width="25.44140625" customWidth="1"/>
    <col min="14258" max="14259" width="21" customWidth="1"/>
    <col min="14260" max="14260" width="13.109375" customWidth="1"/>
    <col min="14261" max="14261" width="15" customWidth="1"/>
    <col min="14263" max="14265" width="17.88671875" customWidth="1"/>
    <col min="14266" max="14266" width="16.88671875" customWidth="1"/>
    <col min="14267" max="14267" width="24.33203125" customWidth="1"/>
    <col min="14268" max="14270" width="15.88671875" customWidth="1"/>
    <col min="14271" max="14271" width="19" customWidth="1"/>
    <col min="14272" max="14272" width="15.33203125" customWidth="1"/>
    <col min="14273" max="14273" width="21.44140625" customWidth="1"/>
    <col min="14274" max="14274" width="16.33203125" customWidth="1"/>
    <col min="14275" max="14275" width="13.33203125" customWidth="1"/>
    <col min="14276" max="14276" width="15" customWidth="1"/>
    <col min="14277" max="14277" width="18.44140625" customWidth="1"/>
    <col min="14278" max="14278" width="17.5546875" customWidth="1"/>
    <col min="14280" max="14280" width="12.88671875" customWidth="1"/>
    <col min="14283" max="14283" width="12.109375" customWidth="1"/>
    <col min="14284" max="14284" width="13.5546875" customWidth="1"/>
    <col min="14287" max="14287" width="14.109375" customWidth="1"/>
    <col min="14288" max="14288" width="12.33203125" customWidth="1"/>
    <col min="14294" max="14294" width="20.6640625" customWidth="1"/>
    <col min="14295" max="14295" width="14.88671875" customWidth="1"/>
    <col min="14296" max="14296" width="14.33203125" customWidth="1"/>
    <col min="14297" max="14297" width="14.109375" customWidth="1"/>
    <col min="14298" max="14298" width="18.33203125" customWidth="1"/>
    <col min="14299" max="14299" width="17.33203125" customWidth="1"/>
    <col min="14300" max="14300" width="18.5546875" customWidth="1"/>
    <col min="14302" max="14302" width="18.5546875" customWidth="1"/>
    <col min="14303" max="14303" width="26.33203125" customWidth="1"/>
    <col min="14304" max="14304" width="22.44140625" customWidth="1"/>
    <col min="14305" max="14305" width="17" customWidth="1"/>
    <col min="14306" max="14306" width="20.44140625" customWidth="1"/>
    <col min="14307" max="14307" width="16.44140625" customWidth="1"/>
    <col min="14308" max="14308" width="13.33203125" customWidth="1"/>
    <col min="14309" max="14309" width="15" customWidth="1"/>
    <col min="14310" max="14310" width="16.44140625" customWidth="1"/>
    <col min="14311" max="14312" width="18.33203125" customWidth="1"/>
    <col min="14313" max="14317" width="24.88671875" customWidth="1"/>
    <col min="14318" max="14318" width="15.88671875" customWidth="1"/>
    <col min="14319" max="14319" width="19.44140625" customWidth="1"/>
    <col min="14320" max="14320" width="19.6640625" customWidth="1"/>
    <col min="14321" max="14321" width="21.44140625" customWidth="1"/>
    <col min="14322" max="14322" width="15.6640625" customWidth="1"/>
    <col min="14323" max="14323" width="26.44140625" customWidth="1"/>
    <col min="14324" max="14324" width="15.6640625" customWidth="1"/>
    <col min="14328" max="14328" width="17" customWidth="1"/>
    <col min="14329" max="14329" width="16.44140625" customWidth="1"/>
    <col min="14330" max="14330" width="19" customWidth="1"/>
    <col min="14331" max="14332" width="23.6640625" customWidth="1"/>
    <col min="14333" max="14334" width="16.44140625" customWidth="1"/>
    <col min="14335" max="14335" width="12.6640625" customWidth="1"/>
    <col min="14336" max="14336" width="13.5546875" customWidth="1"/>
    <col min="14337" max="14337" width="14.6640625" customWidth="1"/>
    <col min="14338" max="14338" width="16.88671875" customWidth="1"/>
    <col min="14478" max="14478" width="30.6640625" customWidth="1"/>
    <col min="14479" max="14479" width="0" hidden="1" customWidth="1"/>
    <col min="14480" max="14480" width="78.5546875" customWidth="1"/>
    <col min="14481" max="14481" width="12.6640625" bestFit="1" customWidth="1"/>
    <col min="14482" max="14482" width="17.109375" customWidth="1"/>
    <col min="14483" max="14483" width="15" customWidth="1"/>
    <col min="14484" max="14484" width="9.88671875" customWidth="1"/>
    <col min="14485" max="14485" width="24.5546875" bestFit="1" customWidth="1"/>
    <col min="14486" max="14486" width="20.44140625" customWidth="1"/>
    <col min="14487" max="14487" width="24.5546875" customWidth="1"/>
    <col min="14488" max="14488" width="21" customWidth="1"/>
    <col min="14489" max="14489" width="22.6640625" customWidth="1"/>
    <col min="14490" max="14490" width="19.6640625" customWidth="1"/>
    <col min="14491" max="14491" width="18.44140625" customWidth="1"/>
    <col min="14492" max="14492" width="14.5546875" customWidth="1"/>
    <col min="14493" max="14493" width="16.33203125" customWidth="1"/>
    <col min="14494" max="14494" width="21.44140625" customWidth="1"/>
    <col min="14496" max="14496" width="15.6640625" customWidth="1"/>
    <col min="14497" max="14497" width="22.6640625" customWidth="1"/>
    <col min="14498" max="14498" width="26.44140625" customWidth="1"/>
    <col min="14499" max="14499" width="20.109375" customWidth="1"/>
    <col min="14500" max="14500" width="18.44140625" customWidth="1"/>
    <col min="14501" max="14501" width="23.5546875" customWidth="1"/>
    <col min="14502" max="14502" width="16.33203125" customWidth="1"/>
    <col min="14503" max="14503" width="15.109375" customWidth="1"/>
    <col min="14504" max="14504" width="16.33203125" customWidth="1"/>
    <col min="14505" max="14505" width="15.88671875" customWidth="1"/>
    <col min="14506" max="14506" width="17.88671875" customWidth="1"/>
    <col min="14507" max="14507" width="16.33203125" customWidth="1"/>
    <col min="14508" max="14508" width="15.88671875" customWidth="1"/>
    <col min="14509" max="14509" width="18.33203125" customWidth="1"/>
    <col min="14510" max="14510" width="17.109375" customWidth="1"/>
    <col min="14511" max="14512" width="15.5546875" customWidth="1"/>
    <col min="14513" max="14513" width="25.44140625" customWidth="1"/>
    <col min="14514" max="14515" width="21" customWidth="1"/>
    <col min="14516" max="14516" width="13.109375" customWidth="1"/>
    <col min="14517" max="14517" width="15" customWidth="1"/>
    <col min="14519" max="14521" width="17.88671875" customWidth="1"/>
    <col min="14522" max="14522" width="16.88671875" customWidth="1"/>
    <col min="14523" max="14523" width="24.33203125" customWidth="1"/>
    <col min="14524" max="14526" width="15.88671875" customWidth="1"/>
    <col min="14527" max="14527" width="19" customWidth="1"/>
    <col min="14528" max="14528" width="15.33203125" customWidth="1"/>
    <col min="14529" max="14529" width="21.44140625" customWidth="1"/>
    <col min="14530" max="14530" width="16.33203125" customWidth="1"/>
    <col min="14531" max="14531" width="13.33203125" customWidth="1"/>
    <col min="14532" max="14532" width="15" customWidth="1"/>
    <col min="14533" max="14533" width="18.44140625" customWidth="1"/>
    <col min="14534" max="14534" width="17.5546875" customWidth="1"/>
    <col min="14536" max="14536" width="12.88671875" customWidth="1"/>
    <col min="14539" max="14539" width="12.109375" customWidth="1"/>
    <col min="14540" max="14540" width="13.5546875" customWidth="1"/>
    <col min="14543" max="14543" width="14.109375" customWidth="1"/>
    <col min="14544" max="14544" width="12.33203125" customWidth="1"/>
    <col min="14550" max="14550" width="20.6640625" customWidth="1"/>
    <col min="14551" max="14551" width="14.88671875" customWidth="1"/>
    <col min="14552" max="14552" width="14.33203125" customWidth="1"/>
    <col min="14553" max="14553" width="14.109375" customWidth="1"/>
    <col min="14554" max="14554" width="18.33203125" customWidth="1"/>
    <col min="14555" max="14555" width="17.33203125" customWidth="1"/>
    <col min="14556" max="14556" width="18.5546875" customWidth="1"/>
    <col min="14558" max="14558" width="18.5546875" customWidth="1"/>
    <col min="14559" max="14559" width="26.33203125" customWidth="1"/>
    <col min="14560" max="14560" width="22.44140625" customWidth="1"/>
    <col min="14561" max="14561" width="17" customWidth="1"/>
    <col min="14562" max="14562" width="20.44140625" customWidth="1"/>
    <col min="14563" max="14563" width="16.44140625" customWidth="1"/>
    <col min="14564" max="14564" width="13.33203125" customWidth="1"/>
    <col min="14565" max="14565" width="15" customWidth="1"/>
    <col min="14566" max="14566" width="16.44140625" customWidth="1"/>
    <col min="14567" max="14568" width="18.33203125" customWidth="1"/>
    <col min="14569" max="14573" width="24.88671875" customWidth="1"/>
    <col min="14574" max="14574" width="15.88671875" customWidth="1"/>
    <col min="14575" max="14575" width="19.44140625" customWidth="1"/>
    <col min="14576" max="14576" width="19.6640625" customWidth="1"/>
    <col min="14577" max="14577" width="21.44140625" customWidth="1"/>
    <col min="14578" max="14578" width="15.6640625" customWidth="1"/>
    <col min="14579" max="14579" width="26.44140625" customWidth="1"/>
    <col min="14580" max="14580" width="15.6640625" customWidth="1"/>
    <col min="14584" max="14584" width="17" customWidth="1"/>
    <col min="14585" max="14585" width="16.44140625" customWidth="1"/>
    <col min="14586" max="14586" width="19" customWidth="1"/>
    <col min="14587" max="14588" width="23.6640625" customWidth="1"/>
    <col min="14589" max="14590" width="16.44140625" customWidth="1"/>
    <col min="14591" max="14591" width="12.6640625" customWidth="1"/>
    <col min="14592" max="14592" width="13.5546875" customWidth="1"/>
    <col min="14593" max="14593" width="14.6640625" customWidth="1"/>
    <col min="14594" max="14594" width="16.88671875" customWidth="1"/>
    <col min="14734" max="14734" width="30.6640625" customWidth="1"/>
    <col min="14735" max="14735" width="0" hidden="1" customWidth="1"/>
    <col min="14736" max="14736" width="78.5546875" customWidth="1"/>
    <col min="14737" max="14737" width="12.6640625" bestFit="1" customWidth="1"/>
    <col min="14738" max="14738" width="17.109375" customWidth="1"/>
    <col min="14739" max="14739" width="15" customWidth="1"/>
    <col min="14740" max="14740" width="9.88671875" customWidth="1"/>
    <col min="14741" max="14741" width="24.5546875" bestFit="1" customWidth="1"/>
    <col min="14742" max="14742" width="20.44140625" customWidth="1"/>
    <col min="14743" max="14743" width="24.5546875" customWidth="1"/>
    <col min="14744" max="14744" width="21" customWidth="1"/>
    <col min="14745" max="14745" width="22.6640625" customWidth="1"/>
    <col min="14746" max="14746" width="19.6640625" customWidth="1"/>
    <col min="14747" max="14747" width="18.44140625" customWidth="1"/>
    <col min="14748" max="14748" width="14.5546875" customWidth="1"/>
    <col min="14749" max="14749" width="16.33203125" customWidth="1"/>
    <col min="14750" max="14750" width="21.44140625" customWidth="1"/>
    <col min="14752" max="14752" width="15.6640625" customWidth="1"/>
    <col min="14753" max="14753" width="22.6640625" customWidth="1"/>
    <col min="14754" max="14754" width="26.44140625" customWidth="1"/>
    <col min="14755" max="14755" width="20.109375" customWidth="1"/>
    <col min="14756" max="14756" width="18.44140625" customWidth="1"/>
    <col min="14757" max="14757" width="23.5546875" customWidth="1"/>
    <col min="14758" max="14758" width="16.33203125" customWidth="1"/>
    <col min="14759" max="14759" width="15.109375" customWidth="1"/>
    <col min="14760" max="14760" width="16.33203125" customWidth="1"/>
    <col min="14761" max="14761" width="15.88671875" customWidth="1"/>
    <col min="14762" max="14762" width="17.88671875" customWidth="1"/>
    <col min="14763" max="14763" width="16.33203125" customWidth="1"/>
    <col min="14764" max="14764" width="15.88671875" customWidth="1"/>
    <col min="14765" max="14765" width="18.33203125" customWidth="1"/>
    <col min="14766" max="14766" width="17.109375" customWidth="1"/>
    <col min="14767" max="14768" width="15.5546875" customWidth="1"/>
    <col min="14769" max="14769" width="25.44140625" customWidth="1"/>
    <col min="14770" max="14771" width="21" customWidth="1"/>
    <col min="14772" max="14772" width="13.109375" customWidth="1"/>
    <col min="14773" max="14773" width="15" customWidth="1"/>
    <col min="14775" max="14777" width="17.88671875" customWidth="1"/>
    <col min="14778" max="14778" width="16.88671875" customWidth="1"/>
    <col min="14779" max="14779" width="24.33203125" customWidth="1"/>
    <col min="14780" max="14782" width="15.88671875" customWidth="1"/>
    <col min="14783" max="14783" width="19" customWidth="1"/>
    <col min="14784" max="14784" width="15.33203125" customWidth="1"/>
    <col min="14785" max="14785" width="21.44140625" customWidth="1"/>
    <col min="14786" max="14786" width="16.33203125" customWidth="1"/>
    <col min="14787" max="14787" width="13.33203125" customWidth="1"/>
    <col min="14788" max="14788" width="15" customWidth="1"/>
    <col min="14789" max="14789" width="18.44140625" customWidth="1"/>
    <col min="14790" max="14790" width="17.5546875" customWidth="1"/>
    <col min="14792" max="14792" width="12.88671875" customWidth="1"/>
    <col min="14795" max="14795" width="12.109375" customWidth="1"/>
    <col min="14796" max="14796" width="13.5546875" customWidth="1"/>
    <col min="14799" max="14799" width="14.109375" customWidth="1"/>
    <col min="14800" max="14800" width="12.33203125" customWidth="1"/>
    <col min="14806" max="14806" width="20.6640625" customWidth="1"/>
    <col min="14807" max="14807" width="14.88671875" customWidth="1"/>
    <col min="14808" max="14808" width="14.33203125" customWidth="1"/>
    <col min="14809" max="14809" width="14.109375" customWidth="1"/>
    <col min="14810" max="14810" width="18.33203125" customWidth="1"/>
    <col min="14811" max="14811" width="17.33203125" customWidth="1"/>
    <col min="14812" max="14812" width="18.5546875" customWidth="1"/>
    <col min="14814" max="14814" width="18.5546875" customWidth="1"/>
    <col min="14815" max="14815" width="26.33203125" customWidth="1"/>
    <col min="14816" max="14816" width="22.44140625" customWidth="1"/>
    <col min="14817" max="14817" width="17" customWidth="1"/>
    <col min="14818" max="14818" width="20.44140625" customWidth="1"/>
    <col min="14819" max="14819" width="16.44140625" customWidth="1"/>
    <col min="14820" max="14820" width="13.33203125" customWidth="1"/>
    <col min="14821" max="14821" width="15" customWidth="1"/>
    <col min="14822" max="14822" width="16.44140625" customWidth="1"/>
    <col min="14823" max="14824" width="18.33203125" customWidth="1"/>
    <col min="14825" max="14829" width="24.88671875" customWidth="1"/>
    <col min="14830" max="14830" width="15.88671875" customWidth="1"/>
    <col min="14831" max="14831" width="19.44140625" customWidth="1"/>
    <col min="14832" max="14832" width="19.6640625" customWidth="1"/>
    <col min="14833" max="14833" width="21.44140625" customWidth="1"/>
    <col min="14834" max="14834" width="15.6640625" customWidth="1"/>
    <col min="14835" max="14835" width="26.44140625" customWidth="1"/>
    <col min="14836" max="14836" width="15.6640625" customWidth="1"/>
    <col min="14840" max="14840" width="17" customWidth="1"/>
    <col min="14841" max="14841" width="16.44140625" customWidth="1"/>
    <col min="14842" max="14842" width="19" customWidth="1"/>
    <col min="14843" max="14844" width="23.6640625" customWidth="1"/>
    <col min="14845" max="14846" width="16.44140625" customWidth="1"/>
    <col min="14847" max="14847" width="12.6640625" customWidth="1"/>
    <col min="14848" max="14848" width="13.5546875" customWidth="1"/>
    <col min="14849" max="14849" width="14.6640625" customWidth="1"/>
    <col min="14850" max="14850" width="16.88671875" customWidth="1"/>
    <col min="14990" max="14990" width="30.6640625" customWidth="1"/>
    <col min="14991" max="14991" width="0" hidden="1" customWidth="1"/>
    <col min="14992" max="14992" width="78.5546875" customWidth="1"/>
    <col min="14993" max="14993" width="12.6640625" bestFit="1" customWidth="1"/>
    <col min="14994" max="14994" width="17.109375" customWidth="1"/>
    <col min="14995" max="14995" width="15" customWidth="1"/>
    <col min="14996" max="14996" width="9.88671875" customWidth="1"/>
    <col min="14997" max="14997" width="24.5546875" bestFit="1" customWidth="1"/>
    <col min="14998" max="14998" width="20.44140625" customWidth="1"/>
    <col min="14999" max="14999" width="24.5546875" customWidth="1"/>
    <col min="15000" max="15000" width="21" customWidth="1"/>
    <col min="15001" max="15001" width="22.6640625" customWidth="1"/>
    <col min="15002" max="15002" width="19.6640625" customWidth="1"/>
    <col min="15003" max="15003" width="18.44140625" customWidth="1"/>
    <col min="15004" max="15004" width="14.5546875" customWidth="1"/>
    <col min="15005" max="15005" width="16.33203125" customWidth="1"/>
    <col min="15006" max="15006" width="21.44140625" customWidth="1"/>
    <col min="15008" max="15008" width="15.6640625" customWidth="1"/>
    <col min="15009" max="15009" width="22.6640625" customWidth="1"/>
    <col min="15010" max="15010" width="26.44140625" customWidth="1"/>
    <col min="15011" max="15011" width="20.109375" customWidth="1"/>
    <col min="15012" max="15012" width="18.44140625" customWidth="1"/>
    <col min="15013" max="15013" width="23.5546875" customWidth="1"/>
    <col min="15014" max="15014" width="16.33203125" customWidth="1"/>
    <col min="15015" max="15015" width="15.109375" customWidth="1"/>
    <col min="15016" max="15016" width="16.33203125" customWidth="1"/>
    <col min="15017" max="15017" width="15.88671875" customWidth="1"/>
    <col min="15018" max="15018" width="17.88671875" customWidth="1"/>
    <col min="15019" max="15019" width="16.33203125" customWidth="1"/>
    <col min="15020" max="15020" width="15.88671875" customWidth="1"/>
    <col min="15021" max="15021" width="18.33203125" customWidth="1"/>
    <col min="15022" max="15022" width="17.109375" customWidth="1"/>
    <col min="15023" max="15024" width="15.5546875" customWidth="1"/>
    <col min="15025" max="15025" width="25.44140625" customWidth="1"/>
    <col min="15026" max="15027" width="21" customWidth="1"/>
    <col min="15028" max="15028" width="13.109375" customWidth="1"/>
    <col min="15029" max="15029" width="15" customWidth="1"/>
    <col min="15031" max="15033" width="17.88671875" customWidth="1"/>
    <col min="15034" max="15034" width="16.88671875" customWidth="1"/>
    <col min="15035" max="15035" width="24.33203125" customWidth="1"/>
    <col min="15036" max="15038" width="15.88671875" customWidth="1"/>
    <col min="15039" max="15039" width="19" customWidth="1"/>
    <col min="15040" max="15040" width="15.33203125" customWidth="1"/>
    <col min="15041" max="15041" width="21.44140625" customWidth="1"/>
    <col min="15042" max="15042" width="16.33203125" customWidth="1"/>
    <col min="15043" max="15043" width="13.33203125" customWidth="1"/>
    <col min="15044" max="15044" width="15" customWidth="1"/>
    <col min="15045" max="15045" width="18.44140625" customWidth="1"/>
    <col min="15046" max="15046" width="17.5546875" customWidth="1"/>
    <col min="15048" max="15048" width="12.88671875" customWidth="1"/>
    <col min="15051" max="15051" width="12.109375" customWidth="1"/>
    <col min="15052" max="15052" width="13.5546875" customWidth="1"/>
    <col min="15055" max="15055" width="14.109375" customWidth="1"/>
    <col min="15056" max="15056" width="12.33203125" customWidth="1"/>
    <col min="15062" max="15062" width="20.6640625" customWidth="1"/>
    <col min="15063" max="15063" width="14.88671875" customWidth="1"/>
    <col min="15064" max="15064" width="14.33203125" customWidth="1"/>
    <col min="15065" max="15065" width="14.109375" customWidth="1"/>
    <col min="15066" max="15066" width="18.33203125" customWidth="1"/>
    <col min="15067" max="15067" width="17.33203125" customWidth="1"/>
    <col min="15068" max="15068" width="18.5546875" customWidth="1"/>
    <col min="15070" max="15070" width="18.5546875" customWidth="1"/>
    <col min="15071" max="15071" width="26.33203125" customWidth="1"/>
    <col min="15072" max="15072" width="22.44140625" customWidth="1"/>
    <col min="15073" max="15073" width="17" customWidth="1"/>
    <col min="15074" max="15074" width="20.44140625" customWidth="1"/>
    <col min="15075" max="15075" width="16.44140625" customWidth="1"/>
    <col min="15076" max="15076" width="13.33203125" customWidth="1"/>
    <col min="15077" max="15077" width="15" customWidth="1"/>
    <col min="15078" max="15078" width="16.44140625" customWidth="1"/>
    <col min="15079" max="15080" width="18.33203125" customWidth="1"/>
    <col min="15081" max="15085" width="24.88671875" customWidth="1"/>
    <col min="15086" max="15086" width="15.88671875" customWidth="1"/>
    <col min="15087" max="15087" width="19.44140625" customWidth="1"/>
    <col min="15088" max="15088" width="19.6640625" customWidth="1"/>
    <col min="15089" max="15089" width="21.44140625" customWidth="1"/>
    <col min="15090" max="15090" width="15.6640625" customWidth="1"/>
    <col min="15091" max="15091" width="26.44140625" customWidth="1"/>
    <col min="15092" max="15092" width="15.6640625" customWidth="1"/>
    <col min="15096" max="15096" width="17" customWidth="1"/>
    <col min="15097" max="15097" width="16.44140625" customWidth="1"/>
    <col min="15098" max="15098" width="19" customWidth="1"/>
    <col min="15099" max="15100" width="23.6640625" customWidth="1"/>
    <col min="15101" max="15102" width="16.44140625" customWidth="1"/>
    <col min="15103" max="15103" width="12.6640625" customWidth="1"/>
    <col min="15104" max="15104" width="13.5546875" customWidth="1"/>
    <col min="15105" max="15105" width="14.6640625" customWidth="1"/>
    <col min="15106" max="15106" width="16.88671875" customWidth="1"/>
    <col min="15246" max="15246" width="30.6640625" customWidth="1"/>
    <col min="15247" max="15247" width="0" hidden="1" customWidth="1"/>
    <col min="15248" max="15248" width="78.5546875" customWidth="1"/>
    <col min="15249" max="15249" width="12.6640625" bestFit="1" customWidth="1"/>
    <col min="15250" max="15250" width="17.109375" customWidth="1"/>
    <col min="15251" max="15251" width="15" customWidth="1"/>
    <col min="15252" max="15252" width="9.88671875" customWidth="1"/>
    <col min="15253" max="15253" width="24.5546875" bestFit="1" customWidth="1"/>
    <col min="15254" max="15254" width="20.44140625" customWidth="1"/>
    <col min="15255" max="15255" width="24.5546875" customWidth="1"/>
    <col min="15256" max="15256" width="21" customWidth="1"/>
    <col min="15257" max="15257" width="22.6640625" customWidth="1"/>
    <col min="15258" max="15258" width="19.6640625" customWidth="1"/>
    <col min="15259" max="15259" width="18.44140625" customWidth="1"/>
    <col min="15260" max="15260" width="14.5546875" customWidth="1"/>
    <col min="15261" max="15261" width="16.33203125" customWidth="1"/>
    <col min="15262" max="15262" width="21.44140625" customWidth="1"/>
    <col min="15264" max="15264" width="15.6640625" customWidth="1"/>
    <col min="15265" max="15265" width="22.6640625" customWidth="1"/>
    <col min="15266" max="15266" width="26.44140625" customWidth="1"/>
    <col min="15267" max="15267" width="20.109375" customWidth="1"/>
    <col min="15268" max="15268" width="18.44140625" customWidth="1"/>
    <col min="15269" max="15269" width="23.5546875" customWidth="1"/>
    <col min="15270" max="15270" width="16.33203125" customWidth="1"/>
    <col min="15271" max="15271" width="15.109375" customWidth="1"/>
    <col min="15272" max="15272" width="16.33203125" customWidth="1"/>
    <col min="15273" max="15273" width="15.88671875" customWidth="1"/>
    <col min="15274" max="15274" width="17.88671875" customWidth="1"/>
    <col min="15275" max="15275" width="16.33203125" customWidth="1"/>
    <col min="15276" max="15276" width="15.88671875" customWidth="1"/>
    <col min="15277" max="15277" width="18.33203125" customWidth="1"/>
    <col min="15278" max="15278" width="17.109375" customWidth="1"/>
    <col min="15279" max="15280" width="15.5546875" customWidth="1"/>
    <col min="15281" max="15281" width="25.44140625" customWidth="1"/>
    <col min="15282" max="15283" width="21" customWidth="1"/>
    <col min="15284" max="15284" width="13.109375" customWidth="1"/>
    <col min="15285" max="15285" width="15" customWidth="1"/>
    <col min="15287" max="15289" width="17.88671875" customWidth="1"/>
    <col min="15290" max="15290" width="16.88671875" customWidth="1"/>
    <col min="15291" max="15291" width="24.33203125" customWidth="1"/>
    <col min="15292" max="15294" width="15.88671875" customWidth="1"/>
    <col min="15295" max="15295" width="19" customWidth="1"/>
    <col min="15296" max="15296" width="15.33203125" customWidth="1"/>
    <col min="15297" max="15297" width="21.44140625" customWidth="1"/>
    <col min="15298" max="15298" width="16.33203125" customWidth="1"/>
    <col min="15299" max="15299" width="13.33203125" customWidth="1"/>
    <col min="15300" max="15300" width="15" customWidth="1"/>
    <col min="15301" max="15301" width="18.44140625" customWidth="1"/>
    <col min="15302" max="15302" width="17.5546875" customWidth="1"/>
    <col min="15304" max="15304" width="12.88671875" customWidth="1"/>
    <col min="15307" max="15307" width="12.109375" customWidth="1"/>
    <col min="15308" max="15308" width="13.5546875" customWidth="1"/>
    <col min="15311" max="15311" width="14.109375" customWidth="1"/>
    <col min="15312" max="15312" width="12.33203125" customWidth="1"/>
    <col min="15318" max="15318" width="20.6640625" customWidth="1"/>
    <col min="15319" max="15319" width="14.88671875" customWidth="1"/>
    <col min="15320" max="15320" width="14.33203125" customWidth="1"/>
    <col min="15321" max="15321" width="14.109375" customWidth="1"/>
    <col min="15322" max="15322" width="18.33203125" customWidth="1"/>
    <col min="15323" max="15323" width="17.33203125" customWidth="1"/>
    <col min="15324" max="15324" width="18.5546875" customWidth="1"/>
    <col min="15326" max="15326" width="18.5546875" customWidth="1"/>
    <col min="15327" max="15327" width="26.33203125" customWidth="1"/>
    <col min="15328" max="15328" width="22.44140625" customWidth="1"/>
    <col min="15329" max="15329" width="17" customWidth="1"/>
    <col min="15330" max="15330" width="20.44140625" customWidth="1"/>
    <col min="15331" max="15331" width="16.44140625" customWidth="1"/>
    <col min="15332" max="15332" width="13.33203125" customWidth="1"/>
    <col min="15333" max="15333" width="15" customWidth="1"/>
    <col min="15334" max="15334" width="16.44140625" customWidth="1"/>
    <col min="15335" max="15336" width="18.33203125" customWidth="1"/>
    <col min="15337" max="15341" width="24.88671875" customWidth="1"/>
    <col min="15342" max="15342" width="15.88671875" customWidth="1"/>
    <col min="15343" max="15343" width="19.44140625" customWidth="1"/>
    <col min="15344" max="15344" width="19.6640625" customWidth="1"/>
    <col min="15345" max="15345" width="21.44140625" customWidth="1"/>
    <col min="15346" max="15346" width="15.6640625" customWidth="1"/>
    <col min="15347" max="15347" width="26.44140625" customWidth="1"/>
    <col min="15348" max="15348" width="15.6640625" customWidth="1"/>
    <col min="15352" max="15352" width="17" customWidth="1"/>
    <col min="15353" max="15353" width="16.44140625" customWidth="1"/>
    <col min="15354" max="15354" width="19" customWidth="1"/>
    <col min="15355" max="15356" width="23.6640625" customWidth="1"/>
    <col min="15357" max="15358" width="16.44140625" customWidth="1"/>
    <col min="15359" max="15359" width="12.6640625" customWidth="1"/>
    <col min="15360" max="15360" width="13.5546875" customWidth="1"/>
    <col min="15361" max="15361" width="14.6640625" customWidth="1"/>
    <col min="15362" max="15362" width="16.88671875" customWidth="1"/>
    <col min="15502" max="15502" width="30.6640625" customWidth="1"/>
    <col min="15503" max="15503" width="0" hidden="1" customWidth="1"/>
    <col min="15504" max="15504" width="78.5546875" customWidth="1"/>
    <col min="15505" max="15505" width="12.6640625" bestFit="1" customWidth="1"/>
    <col min="15506" max="15506" width="17.109375" customWidth="1"/>
    <col min="15507" max="15507" width="15" customWidth="1"/>
    <col min="15508" max="15508" width="9.88671875" customWidth="1"/>
    <col min="15509" max="15509" width="24.5546875" bestFit="1" customWidth="1"/>
    <col min="15510" max="15510" width="20.44140625" customWidth="1"/>
    <col min="15511" max="15511" width="24.5546875" customWidth="1"/>
    <col min="15512" max="15512" width="21" customWidth="1"/>
    <col min="15513" max="15513" width="22.6640625" customWidth="1"/>
    <col min="15514" max="15514" width="19.6640625" customWidth="1"/>
    <col min="15515" max="15515" width="18.44140625" customWidth="1"/>
    <col min="15516" max="15516" width="14.5546875" customWidth="1"/>
    <col min="15517" max="15517" width="16.33203125" customWidth="1"/>
    <col min="15518" max="15518" width="21.44140625" customWidth="1"/>
    <col min="15520" max="15520" width="15.6640625" customWidth="1"/>
    <col min="15521" max="15521" width="22.6640625" customWidth="1"/>
    <col min="15522" max="15522" width="26.44140625" customWidth="1"/>
    <col min="15523" max="15523" width="20.109375" customWidth="1"/>
    <col min="15524" max="15524" width="18.44140625" customWidth="1"/>
    <col min="15525" max="15525" width="23.5546875" customWidth="1"/>
    <col min="15526" max="15526" width="16.33203125" customWidth="1"/>
    <col min="15527" max="15527" width="15.109375" customWidth="1"/>
    <col min="15528" max="15528" width="16.33203125" customWidth="1"/>
    <col min="15529" max="15529" width="15.88671875" customWidth="1"/>
    <col min="15530" max="15530" width="17.88671875" customWidth="1"/>
    <col min="15531" max="15531" width="16.33203125" customWidth="1"/>
    <col min="15532" max="15532" width="15.88671875" customWidth="1"/>
    <col min="15533" max="15533" width="18.33203125" customWidth="1"/>
    <col min="15534" max="15534" width="17.109375" customWidth="1"/>
    <col min="15535" max="15536" width="15.5546875" customWidth="1"/>
    <col min="15537" max="15537" width="25.44140625" customWidth="1"/>
    <col min="15538" max="15539" width="21" customWidth="1"/>
    <col min="15540" max="15540" width="13.109375" customWidth="1"/>
    <col min="15541" max="15541" width="15" customWidth="1"/>
    <col min="15543" max="15545" width="17.88671875" customWidth="1"/>
    <col min="15546" max="15546" width="16.88671875" customWidth="1"/>
    <col min="15547" max="15547" width="24.33203125" customWidth="1"/>
    <col min="15548" max="15550" width="15.88671875" customWidth="1"/>
    <col min="15551" max="15551" width="19" customWidth="1"/>
    <col min="15552" max="15552" width="15.33203125" customWidth="1"/>
    <col min="15553" max="15553" width="21.44140625" customWidth="1"/>
    <col min="15554" max="15554" width="16.33203125" customWidth="1"/>
    <col min="15555" max="15555" width="13.33203125" customWidth="1"/>
    <col min="15556" max="15556" width="15" customWidth="1"/>
    <col min="15557" max="15557" width="18.44140625" customWidth="1"/>
    <col min="15558" max="15558" width="17.5546875" customWidth="1"/>
    <col min="15560" max="15560" width="12.88671875" customWidth="1"/>
    <col min="15563" max="15563" width="12.109375" customWidth="1"/>
    <col min="15564" max="15564" width="13.5546875" customWidth="1"/>
    <col min="15567" max="15567" width="14.109375" customWidth="1"/>
    <col min="15568" max="15568" width="12.33203125" customWidth="1"/>
    <col min="15574" max="15574" width="20.6640625" customWidth="1"/>
    <col min="15575" max="15575" width="14.88671875" customWidth="1"/>
    <col min="15576" max="15576" width="14.33203125" customWidth="1"/>
    <col min="15577" max="15577" width="14.109375" customWidth="1"/>
    <col min="15578" max="15578" width="18.33203125" customWidth="1"/>
    <col min="15579" max="15579" width="17.33203125" customWidth="1"/>
    <col min="15580" max="15580" width="18.5546875" customWidth="1"/>
    <col min="15582" max="15582" width="18.5546875" customWidth="1"/>
    <col min="15583" max="15583" width="26.33203125" customWidth="1"/>
    <col min="15584" max="15584" width="22.44140625" customWidth="1"/>
    <col min="15585" max="15585" width="17" customWidth="1"/>
    <col min="15586" max="15586" width="20.44140625" customWidth="1"/>
    <col min="15587" max="15587" width="16.44140625" customWidth="1"/>
    <col min="15588" max="15588" width="13.33203125" customWidth="1"/>
    <col min="15589" max="15589" width="15" customWidth="1"/>
    <col min="15590" max="15590" width="16.44140625" customWidth="1"/>
    <col min="15591" max="15592" width="18.33203125" customWidth="1"/>
    <col min="15593" max="15597" width="24.88671875" customWidth="1"/>
    <col min="15598" max="15598" width="15.88671875" customWidth="1"/>
    <col min="15599" max="15599" width="19.44140625" customWidth="1"/>
    <col min="15600" max="15600" width="19.6640625" customWidth="1"/>
    <col min="15601" max="15601" width="21.44140625" customWidth="1"/>
    <col min="15602" max="15602" width="15.6640625" customWidth="1"/>
    <col min="15603" max="15603" width="26.44140625" customWidth="1"/>
    <col min="15604" max="15604" width="15.6640625" customWidth="1"/>
    <col min="15608" max="15608" width="17" customWidth="1"/>
    <col min="15609" max="15609" width="16.44140625" customWidth="1"/>
    <col min="15610" max="15610" width="19" customWidth="1"/>
    <col min="15611" max="15612" width="23.6640625" customWidth="1"/>
    <col min="15613" max="15614" width="16.44140625" customWidth="1"/>
    <col min="15615" max="15615" width="12.6640625" customWidth="1"/>
    <col min="15616" max="15616" width="13.5546875" customWidth="1"/>
    <col min="15617" max="15617" width="14.6640625" customWidth="1"/>
    <col min="15618" max="15618" width="16.88671875" customWidth="1"/>
    <col min="15758" max="15758" width="30.6640625" customWidth="1"/>
    <col min="15759" max="15759" width="0" hidden="1" customWidth="1"/>
    <col min="15760" max="15760" width="78.5546875" customWidth="1"/>
    <col min="15761" max="15761" width="12.6640625" bestFit="1" customWidth="1"/>
    <col min="15762" max="15762" width="17.109375" customWidth="1"/>
    <col min="15763" max="15763" width="15" customWidth="1"/>
    <col min="15764" max="15764" width="9.88671875" customWidth="1"/>
    <col min="15765" max="15765" width="24.5546875" bestFit="1" customWidth="1"/>
    <col min="15766" max="15766" width="20.44140625" customWidth="1"/>
    <col min="15767" max="15767" width="24.5546875" customWidth="1"/>
    <col min="15768" max="15768" width="21" customWidth="1"/>
    <col min="15769" max="15769" width="22.6640625" customWidth="1"/>
    <col min="15770" max="15770" width="19.6640625" customWidth="1"/>
    <col min="15771" max="15771" width="18.44140625" customWidth="1"/>
    <col min="15772" max="15772" width="14.5546875" customWidth="1"/>
    <col min="15773" max="15773" width="16.33203125" customWidth="1"/>
    <col min="15774" max="15774" width="21.44140625" customWidth="1"/>
    <col min="15776" max="15776" width="15.6640625" customWidth="1"/>
    <col min="15777" max="15777" width="22.6640625" customWidth="1"/>
    <col min="15778" max="15778" width="26.44140625" customWidth="1"/>
    <col min="15779" max="15779" width="20.109375" customWidth="1"/>
    <col min="15780" max="15780" width="18.44140625" customWidth="1"/>
    <col min="15781" max="15781" width="23.5546875" customWidth="1"/>
    <col min="15782" max="15782" width="16.33203125" customWidth="1"/>
    <col min="15783" max="15783" width="15.109375" customWidth="1"/>
    <col min="15784" max="15784" width="16.33203125" customWidth="1"/>
    <col min="15785" max="15785" width="15.88671875" customWidth="1"/>
    <col min="15786" max="15786" width="17.88671875" customWidth="1"/>
    <col min="15787" max="15787" width="16.33203125" customWidth="1"/>
    <col min="15788" max="15788" width="15.88671875" customWidth="1"/>
    <col min="15789" max="15789" width="18.33203125" customWidth="1"/>
    <col min="15790" max="15790" width="17.109375" customWidth="1"/>
    <col min="15791" max="15792" width="15.5546875" customWidth="1"/>
    <col min="15793" max="15793" width="25.44140625" customWidth="1"/>
    <col min="15794" max="15795" width="21" customWidth="1"/>
    <col min="15796" max="15796" width="13.109375" customWidth="1"/>
    <col min="15797" max="15797" width="15" customWidth="1"/>
    <col min="15799" max="15801" width="17.88671875" customWidth="1"/>
    <col min="15802" max="15802" width="16.88671875" customWidth="1"/>
    <col min="15803" max="15803" width="24.33203125" customWidth="1"/>
    <col min="15804" max="15806" width="15.88671875" customWidth="1"/>
    <col min="15807" max="15807" width="19" customWidth="1"/>
    <col min="15808" max="15808" width="15.33203125" customWidth="1"/>
    <col min="15809" max="15809" width="21.44140625" customWidth="1"/>
    <col min="15810" max="15810" width="16.33203125" customWidth="1"/>
    <col min="15811" max="15811" width="13.33203125" customWidth="1"/>
    <col min="15812" max="15812" width="15" customWidth="1"/>
    <col min="15813" max="15813" width="18.44140625" customWidth="1"/>
    <col min="15814" max="15814" width="17.5546875" customWidth="1"/>
    <col min="15816" max="15816" width="12.88671875" customWidth="1"/>
    <col min="15819" max="15819" width="12.109375" customWidth="1"/>
    <col min="15820" max="15820" width="13.5546875" customWidth="1"/>
    <col min="15823" max="15823" width="14.109375" customWidth="1"/>
    <col min="15824" max="15824" width="12.33203125" customWidth="1"/>
    <col min="15830" max="15830" width="20.6640625" customWidth="1"/>
    <col min="15831" max="15831" width="14.88671875" customWidth="1"/>
    <col min="15832" max="15832" width="14.33203125" customWidth="1"/>
    <col min="15833" max="15833" width="14.109375" customWidth="1"/>
    <col min="15834" max="15834" width="18.33203125" customWidth="1"/>
    <col min="15835" max="15835" width="17.33203125" customWidth="1"/>
    <col min="15836" max="15836" width="18.5546875" customWidth="1"/>
    <col min="15838" max="15838" width="18.5546875" customWidth="1"/>
    <col min="15839" max="15839" width="26.33203125" customWidth="1"/>
    <col min="15840" max="15840" width="22.44140625" customWidth="1"/>
    <col min="15841" max="15841" width="17" customWidth="1"/>
    <col min="15842" max="15842" width="20.44140625" customWidth="1"/>
    <col min="15843" max="15843" width="16.44140625" customWidth="1"/>
    <col min="15844" max="15844" width="13.33203125" customWidth="1"/>
    <col min="15845" max="15845" width="15" customWidth="1"/>
    <col min="15846" max="15846" width="16.44140625" customWidth="1"/>
    <col min="15847" max="15848" width="18.33203125" customWidth="1"/>
    <col min="15849" max="15853" width="24.88671875" customWidth="1"/>
    <col min="15854" max="15854" width="15.88671875" customWidth="1"/>
    <col min="15855" max="15855" width="19.44140625" customWidth="1"/>
    <col min="15856" max="15856" width="19.6640625" customWidth="1"/>
    <col min="15857" max="15857" width="21.44140625" customWidth="1"/>
    <col min="15858" max="15858" width="15.6640625" customWidth="1"/>
    <col min="15859" max="15859" width="26.44140625" customWidth="1"/>
    <col min="15860" max="15860" width="15.6640625" customWidth="1"/>
    <col min="15864" max="15864" width="17" customWidth="1"/>
    <col min="15865" max="15865" width="16.44140625" customWidth="1"/>
    <col min="15866" max="15866" width="19" customWidth="1"/>
    <col min="15867" max="15868" width="23.6640625" customWidth="1"/>
    <col min="15869" max="15870" width="16.44140625" customWidth="1"/>
    <col min="15871" max="15871" width="12.6640625" customWidth="1"/>
    <col min="15872" max="15872" width="13.5546875" customWidth="1"/>
    <col min="15873" max="15873" width="14.6640625" customWidth="1"/>
    <col min="15874" max="15874" width="16.88671875" customWidth="1"/>
    <col min="16014" max="16014" width="30.6640625" customWidth="1"/>
    <col min="16015" max="16015" width="0" hidden="1" customWidth="1"/>
    <col min="16016" max="16016" width="78.5546875" customWidth="1"/>
    <col min="16017" max="16017" width="12.6640625" bestFit="1" customWidth="1"/>
    <col min="16018" max="16018" width="17.109375" customWidth="1"/>
    <col min="16019" max="16019" width="15" customWidth="1"/>
    <col min="16020" max="16020" width="9.88671875" customWidth="1"/>
    <col min="16021" max="16021" width="24.5546875" bestFit="1" customWidth="1"/>
    <col min="16022" max="16022" width="20.44140625" customWidth="1"/>
    <col min="16023" max="16023" width="24.5546875" customWidth="1"/>
    <col min="16024" max="16024" width="21" customWidth="1"/>
    <col min="16025" max="16025" width="22.6640625" customWidth="1"/>
    <col min="16026" max="16026" width="19.6640625" customWidth="1"/>
    <col min="16027" max="16027" width="18.44140625" customWidth="1"/>
    <col min="16028" max="16028" width="14.5546875" customWidth="1"/>
    <col min="16029" max="16029" width="16.33203125" customWidth="1"/>
    <col min="16030" max="16030" width="21.44140625" customWidth="1"/>
    <col min="16032" max="16032" width="15.6640625" customWidth="1"/>
    <col min="16033" max="16033" width="22.6640625" customWidth="1"/>
    <col min="16034" max="16034" width="26.44140625" customWidth="1"/>
    <col min="16035" max="16035" width="20.109375" customWidth="1"/>
    <col min="16036" max="16036" width="18.44140625" customWidth="1"/>
    <col min="16037" max="16037" width="23.5546875" customWidth="1"/>
    <col min="16038" max="16038" width="16.33203125" customWidth="1"/>
    <col min="16039" max="16039" width="15.109375" customWidth="1"/>
    <col min="16040" max="16040" width="16.33203125" customWidth="1"/>
    <col min="16041" max="16041" width="15.88671875" customWidth="1"/>
    <col min="16042" max="16042" width="17.88671875" customWidth="1"/>
    <col min="16043" max="16043" width="16.33203125" customWidth="1"/>
    <col min="16044" max="16044" width="15.88671875" customWidth="1"/>
    <col min="16045" max="16045" width="18.33203125" customWidth="1"/>
    <col min="16046" max="16046" width="17.109375" customWidth="1"/>
    <col min="16047" max="16048" width="15.5546875" customWidth="1"/>
    <col min="16049" max="16049" width="25.44140625" customWidth="1"/>
    <col min="16050" max="16051" width="21" customWidth="1"/>
    <col min="16052" max="16052" width="13.109375" customWidth="1"/>
    <col min="16053" max="16053" width="15" customWidth="1"/>
    <col min="16055" max="16057" width="17.88671875" customWidth="1"/>
    <col min="16058" max="16058" width="16.88671875" customWidth="1"/>
    <col min="16059" max="16059" width="24.33203125" customWidth="1"/>
    <col min="16060" max="16062" width="15.88671875" customWidth="1"/>
    <col min="16063" max="16063" width="19" customWidth="1"/>
    <col min="16064" max="16064" width="15.33203125" customWidth="1"/>
    <col min="16065" max="16065" width="21.44140625" customWidth="1"/>
    <col min="16066" max="16066" width="16.33203125" customWidth="1"/>
    <col min="16067" max="16067" width="13.33203125" customWidth="1"/>
    <col min="16068" max="16068" width="15" customWidth="1"/>
    <col min="16069" max="16069" width="18.44140625" customWidth="1"/>
    <col min="16070" max="16070" width="17.5546875" customWidth="1"/>
    <col min="16072" max="16072" width="12.88671875" customWidth="1"/>
    <col min="16075" max="16075" width="12.109375" customWidth="1"/>
    <col min="16076" max="16076" width="13.5546875" customWidth="1"/>
    <col min="16079" max="16079" width="14.109375" customWidth="1"/>
    <col min="16080" max="16080" width="12.33203125" customWidth="1"/>
    <col min="16086" max="16086" width="20.6640625" customWidth="1"/>
    <col min="16087" max="16087" width="14.88671875" customWidth="1"/>
    <col min="16088" max="16088" width="14.33203125" customWidth="1"/>
    <col min="16089" max="16089" width="14.109375" customWidth="1"/>
    <col min="16090" max="16090" width="18.33203125" customWidth="1"/>
    <col min="16091" max="16091" width="17.33203125" customWidth="1"/>
    <col min="16092" max="16092" width="18.5546875" customWidth="1"/>
    <col min="16094" max="16094" width="18.5546875" customWidth="1"/>
    <col min="16095" max="16095" width="26.33203125" customWidth="1"/>
    <col min="16096" max="16096" width="22.44140625" customWidth="1"/>
    <col min="16097" max="16097" width="17" customWidth="1"/>
    <col min="16098" max="16098" width="20.44140625" customWidth="1"/>
    <col min="16099" max="16099" width="16.44140625" customWidth="1"/>
    <col min="16100" max="16100" width="13.33203125" customWidth="1"/>
    <col min="16101" max="16101" width="15" customWidth="1"/>
    <col min="16102" max="16102" width="16.44140625" customWidth="1"/>
    <col min="16103" max="16104" width="18.33203125" customWidth="1"/>
    <col min="16105" max="16109" width="24.88671875" customWidth="1"/>
    <col min="16110" max="16110" width="15.88671875" customWidth="1"/>
    <col min="16111" max="16111" width="19.44140625" customWidth="1"/>
    <col min="16112" max="16112" width="19.6640625" customWidth="1"/>
    <col min="16113" max="16113" width="21.44140625" customWidth="1"/>
    <col min="16114" max="16114" width="15.6640625" customWidth="1"/>
    <col min="16115" max="16115" width="26.44140625" customWidth="1"/>
    <col min="16116" max="16116" width="15.6640625" customWidth="1"/>
    <col min="16120" max="16120" width="17" customWidth="1"/>
    <col min="16121" max="16121" width="16.44140625" customWidth="1"/>
    <col min="16122" max="16122" width="19" customWidth="1"/>
    <col min="16123" max="16124" width="23.6640625" customWidth="1"/>
    <col min="16125" max="16126" width="16.44140625" customWidth="1"/>
    <col min="16127" max="16127" width="12.6640625" customWidth="1"/>
    <col min="16128" max="16128" width="13.5546875" customWidth="1"/>
    <col min="16129" max="16129" width="14.6640625" customWidth="1"/>
    <col min="16130" max="16130" width="16.88671875" customWidth="1"/>
  </cols>
  <sheetData>
    <row r="1" spans="1:10" ht="22.2" customHeight="1" x14ac:dyDescent="0.3">
      <c r="A1" s="11"/>
      <c r="B1" s="12"/>
      <c r="C1" s="13"/>
      <c r="D1" s="160"/>
      <c r="E1" s="160"/>
      <c r="F1" s="13"/>
      <c r="G1" s="13"/>
      <c r="H1" s="14"/>
      <c r="I1" s="13"/>
      <c r="J1" s="14" t="s">
        <v>9</v>
      </c>
    </row>
    <row r="2" spans="1:10" s="17" customFormat="1" ht="49.2" customHeight="1" x14ac:dyDescent="0.3">
      <c r="A2" s="15" t="s">
        <v>10</v>
      </c>
      <c r="B2" s="15" t="s">
        <v>11</v>
      </c>
      <c r="C2" s="140" t="s">
        <v>12</v>
      </c>
      <c r="D2" s="16" t="s">
        <v>13</v>
      </c>
      <c r="E2" s="16" t="s">
        <v>14</v>
      </c>
      <c r="F2" s="16" t="s">
        <v>15</v>
      </c>
      <c r="G2" s="16" t="s">
        <v>16</v>
      </c>
      <c r="H2" s="16" t="s">
        <v>17</v>
      </c>
      <c r="I2" s="16" t="s">
        <v>18</v>
      </c>
      <c r="J2" s="103" t="s">
        <v>484</v>
      </c>
    </row>
    <row r="3" spans="1:10" ht="15.6" hidden="1" customHeight="1" x14ac:dyDescent="0.3">
      <c r="A3" s="109" t="s">
        <v>19</v>
      </c>
      <c r="B3" s="106"/>
      <c r="C3" s="106"/>
      <c r="D3" s="106"/>
      <c r="E3" s="107"/>
      <c r="F3" s="106"/>
      <c r="G3" s="106"/>
      <c r="H3" s="153" t="s">
        <v>20</v>
      </c>
      <c r="I3" s="153" t="s">
        <v>21</v>
      </c>
      <c r="J3" s="106"/>
    </row>
    <row r="4" spans="1:10" ht="15.6" hidden="1" customHeight="1" x14ac:dyDescent="0.3">
      <c r="A4" s="109" t="s">
        <v>19</v>
      </c>
      <c r="B4" s="106"/>
      <c r="C4" s="106"/>
      <c r="D4" s="106"/>
      <c r="E4" s="107"/>
      <c r="F4" s="106"/>
      <c r="G4" s="106"/>
      <c r="H4" s="153"/>
      <c r="I4" s="153"/>
      <c r="J4" s="106"/>
    </row>
    <row r="5" spans="1:10" ht="15.6" hidden="1" customHeight="1" x14ac:dyDescent="0.3">
      <c r="A5" s="109" t="s">
        <v>19</v>
      </c>
      <c r="B5" s="106"/>
      <c r="C5" s="106"/>
      <c r="D5" s="106"/>
      <c r="E5" s="107"/>
      <c r="F5" s="106"/>
      <c r="G5" s="106"/>
      <c r="H5" s="153"/>
      <c r="I5" s="153"/>
      <c r="J5" s="106"/>
    </row>
    <row r="6" spans="1:10" ht="15.6" customHeight="1" x14ac:dyDescent="0.3">
      <c r="A6" s="109" t="s">
        <v>22</v>
      </c>
      <c r="B6" s="106"/>
      <c r="C6" s="141" t="s">
        <v>492</v>
      </c>
      <c r="D6" s="106"/>
      <c r="E6" s="107">
        <v>46115</v>
      </c>
      <c r="F6" s="106" t="s">
        <v>496</v>
      </c>
      <c r="G6" s="106"/>
      <c r="H6" s="153" t="s">
        <v>20</v>
      </c>
      <c r="I6" s="153" t="s">
        <v>21</v>
      </c>
      <c r="J6" s="106">
        <v>16</v>
      </c>
    </row>
    <row r="7" spans="1:10" ht="15.6" hidden="1" customHeight="1" x14ac:dyDescent="0.3">
      <c r="A7" s="109" t="s">
        <v>22</v>
      </c>
      <c r="B7" s="106"/>
      <c r="C7" s="106" t="s">
        <v>493</v>
      </c>
      <c r="D7" s="106"/>
      <c r="E7" s="107">
        <v>46115</v>
      </c>
      <c r="F7" s="106" t="s">
        <v>496</v>
      </c>
      <c r="G7" s="106"/>
      <c r="H7" s="153"/>
      <c r="I7" s="153"/>
      <c r="J7" s="106"/>
    </row>
    <row r="8" spans="1:10" ht="15.6" hidden="1" customHeight="1" x14ac:dyDescent="0.3">
      <c r="A8" s="109" t="s">
        <v>22</v>
      </c>
      <c r="B8" s="106"/>
      <c r="C8" s="106" t="s">
        <v>554</v>
      </c>
      <c r="D8" s="106"/>
      <c r="E8" s="107">
        <v>46142</v>
      </c>
      <c r="F8" s="106" t="s">
        <v>496</v>
      </c>
      <c r="G8" s="106"/>
      <c r="H8" s="153"/>
      <c r="I8" s="153"/>
      <c r="J8" s="106"/>
    </row>
    <row r="9" spans="1:10" ht="15.6" hidden="1" customHeight="1" x14ac:dyDescent="0.3">
      <c r="A9" s="109" t="s">
        <v>23</v>
      </c>
      <c r="B9" s="106"/>
      <c r="C9" s="106"/>
      <c r="D9" s="106"/>
      <c r="E9" s="107"/>
      <c r="F9" s="106"/>
      <c r="G9" s="106"/>
      <c r="H9" s="153" t="s">
        <v>24</v>
      </c>
      <c r="I9" s="153" t="s">
        <v>25</v>
      </c>
      <c r="J9" s="106"/>
    </row>
    <row r="10" spans="1:10" ht="15.6" hidden="1" customHeight="1" x14ac:dyDescent="0.3">
      <c r="A10" s="109" t="s">
        <v>23</v>
      </c>
      <c r="B10" s="106"/>
      <c r="C10" s="106"/>
      <c r="D10" s="106"/>
      <c r="E10" s="107"/>
      <c r="F10" s="106"/>
      <c r="G10" s="106"/>
      <c r="H10" s="153"/>
      <c r="I10" s="153"/>
      <c r="J10" s="106"/>
    </row>
    <row r="11" spans="1:10" ht="15.6" hidden="1" customHeight="1" x14ac:dyDescent="0.3">
      <c r="A11" s="109" t="s">
        <v>23</v>
      </c>
      <c r="B11" s="106"/>
      <c r="C11" s="106"/>
      <c r="D11" s="106"/>
      <c r="E11" s="107"/>
      <c r="F11" s="106"/>
      <c r="G11" s="106"/>
      <c r="H11" s="153"/>
      <c r="I11" s="153"/>
      <c r="J11" s="106"/>
    </row>
    <row r="12" spans="1:10" ht="15.6" hidden="1" customHeight="1" x14ac:dyDescent="0.3">
      <c r="A12" s="109" t="s">
        <v>23</v>
      </c>
      <c r="B12" s="106"/>
      <c r="C12" s="106"/>
      <c r="D12" s="106"/>
      <c r="E12" s="107"/>
      <c r="F12" s="106"/>
      <c r="G12" s="106"/>
      <c r="H12" s="106"/>
      <c r="I12" s="106"/>
      <c r="J12" s="106"/>
    </row>
    <row r="13" spans="1:10" ht="15.6" hidden="1" customHeight="1" x14ac:dyDescent="0.3">
      <c r="A13" s="151" t="s">
        <v>26</v>
      </c>
      <c r="B13" s="106"/>
      <c r="C13" s="106"/>
      <c r="D13" s="106"/>
      <c r="E13" s="107"/>
      <c r="F13" s="106"/>
      <c r="G13" s="106"/>
      <c r="H13" s="153" t="s">
        <v>27</v>
      </c>
      <c r="I13" s="153" t="s">
        <v>21</v>
      </c>
      <c r="J13" s="106"/>
    </row>
    <row r="14" spans="1:10" ht="15.6" hidden="1" customHeight="1" x14ac:dyDescent="0.3">
      <c r="A14" s="151"/>
      <c r="B14" s="106"/>
      <c r="C14" s="106"/>
      <c r="D14" s="106"/>
      <c r="E14" s="107"/>
      <c r="F14" s="106"/>
      <c r="G14" s="106"/>
      <c r="H14" s="153"/>
      <c r="I14" s="153"/>
      <c r="J14" s="106"/>
    </row>
    <row r="15" spans="1:10" ht="15.6" hidden="1" customHeight="1" x14ac:dyDescent="0.3">
      <c r="A15" s="151"/>
      <c r="B15" s="106"/>
      <c r="C15" s="106"/>
      <c r="D15" s="106"/>
      <c r="E15" s="107"/>
      <c r="F15" s="106"/>
      <c r="G15" s="106"/>
      <c r="H15" s="153"/>
      <c r="I15" s="153"/>
      <c r="J15" s="106"/>
    </row>
    <row r="16" spans="1:10" ht="15.6" hidden="1" customHeight="1" x14ac:dyDescent="0.3">
      <c r="A16" s="151" t="s">
        <v>28</v>
      </c>
      <c r="B16" s="106"/>
      <c r="C16" s="106"/>
      <c r="D16" s="106"/>
      <c r="E16" s="107"/>
      <c r="F16" s="106"/>
      <c r="G16" s="106"/>
      <c r="H16" s="153"/>
      <c r="I16" s="153"/>
      <c r="J16" s="106"/>
    </row>
    <row r="17" spans="1:10" ht="15.6" hidden="1" customHeight="1" x14ac:dyDescent="0.3">
      <c r="A17" s="151"/>
      <c r="B17" s="106"/>
      <c r="C17" s="106"/>
      <c r="D17" s="106"/>
      <c r="E17" s="107"/>
      <c r="F17" s="106"/>
      <c r="G17" s="106"/>
      <c r="H17" s="153"/>
      <c r="I17" s="153"/>
      <c r="J17" s="106"/>
    </row>
    <row r="18" spans="1:10" ht="15.6" hidden="1" customHeight="1" x14ac:dyDescent="0.3">
      <c r="A18" s="151"/>
      <c r="B18" s="106"/>
      <c r="C18" s="106"/>
      <c r="D18" s="106"/>
      <c r="E18" s="107"/>
      <c r="F18" s="106"/>
      <c r="G18" s="106"/>
      <c r="H18" s="153"/>
      <c r="I18" s="153"/>
      <c r="J18" s="106"/>
    </row>
    <row r="19" spans="1:10" ht="15.6" hidden="1" customHeight="1" x14ac:dyDescent="0.3">
      <c r="A19" s="151" t="s">
        <v>29</v>
      </c>
      <c r="B19" s="106"/>
      <c r="C19" s="106"/>
      <c r="D19" s="106"/>
      <c r="E19" s="107"/>
      <c r="F19" s="106"/>
      <c r="G19" s="106"/>
      <c r="H19" s="153"/>
      <c r="I19" s="153"/>
      <c r="J19" s="106"/>
    </row>
    <row r="20" spans="1:10" ht="15.6" hidden="1" customHeight="1" x14ac:dyDescent="0.3">
      <c r="A20" s="151"/>
      <c r="B20" s="106"/>
      <c r="C20" s="106"/>
      <c r="D20" s="106"/>
      <c r="E20" s="107"/>
      <c r="F20" s="106"/>
      <c r="G20" s="106"/>
      <c r="H20" s="153"/>
      <c r="I20" s="153"/>
      <c r="J20" s="106"/>
    </row>
    <row r="21" spans="1:10" ht="15.6" hidden="1" customHeight="1" x14ac:dyDescent="0.3">
      <c r="A21" s="151"/>
      <c r="B21" s="106"/>
      <c r="C21" s="106"/>
      <c r="D21" s="106"/>
      <c r="E21" s="107"/>
      <c r="F21" s="106"/>
      <c r="G21" s="106"/>
      <c r="H21" s="153"/>
      <c r="I21" s="153"/>
      <c r="J21" s="106"/>
    </row>
    <row r="22" spans="1:10" ht="15.6" hidden="1" customHeight="1" x14ac:dyDescent="0.3">
      <c r="A22" s="151" t="s">
        <v>30</v>
      </c>
      <c r="B22" s="106"/>
      <c r="C22" s="106"/>
      <c r="D22" s="106"/>
      <c r="E22" s="107"/>
      <c r="F22" s="106"/>
      <c r="G22" s="106"/>
      <c r="H22" s="153" t="s">
        <v>31</v>
      </c>
      <c r="I22" s="153"/>
      <c r="J22" s="106"/>
    </row>
    <row r="23" spans="1:10" ht="15.6" hidden="1" customHeight="1" x14ac:dyDescent="0.3">
      <c r="A23" s="151"/>
      <c r="B23" s="106"/>
      <c r="C23" s="106"/>
      <c r="D23" s="106"/>
      <c r="E23" s="107"/>
      <c r="F23" s="106"/>
      <c r="G23" s="106"/>
      <c r="H23" s="153"/>
      <c r="I23" s="153"/>
      <c r="J23" s="106"/>
    </row>
    <row r="24" spans="1:10" ht="15.6" hidden="1" customHeight="1" x14ac:dyDescent="0.3">
      <c r="A24" s="151"/>
      <c r="B24" s="106"/>
      <c r="C24" s="106"/>
      <c r="D24" s="106"/>
      <c r="E24" s="107"/>
      <c r="F24" s="106"/>
      <c r="G24" s="106"/>
      <c r="H24" s="153"/>
      <c r="I24" s="153"/>
      <c r="J24" s="106"/>
    </row>
    <row r="25" spans="1:10" s="18" customFormat="1" ht="15.6" hidden="1" customHeight="1" x14ac:dyDescent="0.3">
      <c r="A25" s="151" t="s">
        <v>32</v>
      </c>
      <c r="B25" s="106"/>
      <c r="C25" s="106"/>
      <c r="D25" s="106"/>
      <c r="E25" s="107"/>
      <c r="F25" s="106"/>
      <c r="G25" s="106"/>
      <c r="H25" s="153"/>
      <c r="I25" s="153" t="s">
        <v>33</v>
      </c>
      <c r="J25" s="106"/>
    </row>
    <row r="26" spans="1:10" s="18" customFormat="1" ht="15.6" hidden="1" customHeight="1" x14ac:dyDescent="0.3">
      <c r="A26" s="151"/>
      <c r="B26" s="106"/>
      <c r="C26" s="106"/>
      <c r="D26" s="106"/>
      <c r="E26" s="107"/>
      <c r="F26" s="106"/>
      <c r="G26" s="106"/>
      <c r="H26" s="153"/>
      <c r="I26" s="153"/>
      <c r="J26" s="106"/>
    </row>
    <row r="27" spans="1:10" s="18" customFormat="1" ht="15.6" hidden="1" customHeight="1" x14ac:dyDescent="0.3">
      <c r="A27" s="151"/>
      <c r="B27" s="106"/>
      <c r="C27" s="106"/>
      <c r="D27" s="106"/>
      <c r="E27" s="107"/>
      <c r="F27" s="106"/>
      <c r="G27" s="106"/>
      <c r="H27" s="153"/>
      <c r="I27" s="153"/>
      <c r="J27" s="106"/>
    </row>
    <row r="28" spans="1:10" s="18" customFormat="1" ht="15.6" hidden="1" customHeight="1" x14ac:dyDescent="0.3">
      <c r="A28" s="133" t="s">
        <v>34</v>
      </c>
      <c r="B28" s="106"/>
      <c r="C28" s="105"/>
      <c r="D28" s="106"/>
      <c r="E28" s="107"/>
      <c r="F28" s="106"/>
      <c r="G28" s="106"/>
      <c r="H28" s="153" t="s">
        <v>35</v>
      </c>
      <c r="I28" s="153" t="s">
        <v>21</v>
      </c>
      <c r="J28" s="106"/>
    </row>
    <row r="29" spans="1:10" ht="15.6" hidden="1" customHeight="1" x14ac:dyDescent="0.3">
      <c r="A29" s="150" t="s">
        <v>34</v>
      </c>
      <c r="B29" s="106"/>
      <c r="C29" s="105"/>
      <c r="D29" s="106"/>
      <c r="E29" s="107"/>
      <c r="F29" s="106"/>
      <c r="G29" s="106"/>
      <c r="H29" s="153"/>
      <c r="I29" s="153"/>
      <c r="J29" s="106"/>
    </row>
    <row r="30" spans="1:10" ht="15.6" hidden="1" customHeight="1" x14ac:dyDescent="0.3">
      <c r="A30" s="150"/>
      <c r="B30" s="106"/>
      <c r="C30" s="105"/>
      <c r="D30" s="106"/>
      <c r="E30" s="107"/>
      <c r="F30" s="106"/>
      <c r="G30" s="106"/>
      <c r="H30" s="159"/>
      <c r="I30" s="159"/>
      <c r="J30" s="106"/>
    </row>
    <row r="31" spans="1:10" ht="15.6" hidden="1" customHeight="1" x14ac:dyDescent="0.3">
      <c r="A31" s="150"/>
      <c r="B31" s="106"/>
      <c r="C31" s="105"/>
      <c r="D31" s="106"/>
      <c r="E31" s="107"/>
      <c r="F31" s="106"/>
      <c r="G31" s="106"/>
      <c r="H31" s="158"/>
      <c r="I31" s="158"/>
      <c r="J31" s="106"/>
    </row>
    <row r="32" spans="1:10" ht="15.6" hidden="1" customHeight="1" x14ac:dyDescent="0.3">
      <c r="A32" s="150" t="s">
        <v>36</v>
      </c>
      <c r="B32" s="106"/>
      <c r="C32" s="106"/>
      <c r="D32" s="106"/>
      <c r="E32" s="107"/>
      <c r="F32" s="106"/>
      <c r="G32" s="106"/>
      <c r="H32" s="153" t="s">
        <v>37</v>
      </c>
      <c r="I32" s="153" t="s">
        <v>38</v>
      </c>
      <c r="J32" s="106"/>
    </row>
    <row r="33" spans="1:10" ht="15.6" hidden="1" customHeight="1" x14ac:dyDescent="0.3">
      <c r="A33" s="150"/>
      <c r="B33" s="106"/>
      <c r="C33" s="106"/>
      <c r="D33" s="106"/>
      <c r="E33" s="107"/>
      <c r="F33" s="106"/>
      <c r="G33" s="106"/>
      <c r="H33" s="153"/>
      <c r="I33" s="153"/>
      <c r="J33" s="106"/>
    </row>
    <row r="34" spans="1:10" ht="15.6" hidden="1" customHeight="1" x14ac:dyDescent="0.3">
      <c r="A34" s="150"/>
      <c r="B34" s="106"/>
      <c r="C34" s="106"/>
      <c r="D34" s="106"/>
      <c r="E34" s="107"/>
      <c r="F34" s="106"/>
      <c r="G34" s="106"/>
      <c r="H34" s="153"/>
      <c r="I34" s="153"/>
      <c r="J34" s="106"/>
    </row>
    <row r="35" spans="1:10" ht="15.6" hidden="1" customHeight="1" x14ac:dyDescent="0.3">
      <c r="A35" s="111" t="s">
        <v>39</v>
      </c>
      <c r="B35" s="106"/>
      <c r="C35" s="106"/>
      <c r="D35" s="106"/>
      <c r="E35" s="107"/>
      <c r="F35" s="106"/>
      <c r="G35" s="106"/>
      <c r="H35" s="157" t="s">
        <v>40</v>
      </c>
      <c r="I35" s="157" t="s">
        <v>41</v>
      </c>
      <c r="J35" s="106"/>
    </row>
    <row r="36" spans="1:10" ht="15.6" hidden="1" customHeight="1" x14ac:dyDescent="0.3">
      <c r="A36" s="111" t="s">
        <v>39</v>
      </c>
      <c r="B36" s="106"/>
      <c r="C36" s="106"/>
      <c r="D36" s="106"/>
      <c r="E36" s="107"/>
      <c r="F36" s="106"/>
      <c r="G36" s="106"/>
      <c r="H36" s="157"/>
      <c r="I36" s="157"/>
      <c r="J36" s="106"/>
    </row>
    <row r="37" spans="1:10" ht="15.6" hidden="1" customHeight="1" x14ac:dyDescent="0.3">
      <c r="A37" s="111" t="s">
        <v>39</v>
      </c>
      <c r="B37" s="106"/>
      <c r="C37" s="106"/>
      <c r="D37" s="106"/>
      <c r="E37" s="107"/>
      <c r="F37" s="106"/>
      <c r="G37" s="106"/>
      <c r="H37" s="157"/>
      <c r="I37" s="157"/>
      <c r="J37" s="106"/>
    </row>
    <row r="38" spans="1:10" ht="19.95" hidden="1" customHeight="1" x14ac:dyDescent="0.3">
      <c r="A38" s="111" t="s">
        <v>39</v>
      </c>
      <c r="B38" s="106"/>
      <c r="C38" s="106"/>
      <c r="D38" s="106"/>
      <c r="E38" s="107"/>
      <c r="F38" s="106"/>
      <c r="G38" s="106"/>
      <c r="H38" s="158"/>
      <c r="I38" s="158"/>
      <c r="J38" s="106"/>
    </row>
    <row r="39" spans="1:10" ht="14.4" hidden="1" customHeight="1" x14ac:dyDescent="0.3">
      <c r="A39" s="111" t="s">
        <v>39</v>
      </c>
      <c r="B39" s="106"/>
      <c r="C39" s="106"/>
      <c r="D39" s="106"/>
      <c r="E39" s="107"/>
      <c r="F39" s="106"/>
      <c r="G39" s="106"/>
      <c r="H39" s="158"/>
      <c r="I39" s="158"/>
      <c r="J39" s="106"/>
    </row>
    <row r="40" spans="1:10" ht="15.6" hidden="1" customHeight="1" x14ac:dyDescent="0.3">
      <c r="A40" s="111" t="s">
        <v>39</v>
      </c>
      <c r="B40" s="106"/>
      <c r="C40" s="106"/>
      <c r="D40" s="106"/>
      <c r="E40" s="107"/>
      <c r="F40" s="106"/>
      <c r="G40" s="106"/>
      <c r="H40" s="158"/>
      <c r="I40" s="158"/>
      <c r="J40" s="106"/>
    </row>
    <row r="41" spans="1:10" ht="14.4" hidden="1" customHeight="1" x14ac:dyDescent="0.3">
      <c r="A41" s="111" t="s">
        <v>39</v>
      </c>
      <c r="B41" s="106"/>
      <c r="C41" s="106"/>
      <c r="D41" s="106"/>
      <c r="E41" s="107"/>
      <c r="F41" s="106"/>
      <c r="G41" s="106"/>
      <c r="H41" s="158"/>
      <c r="I41" s="158"/>
      <c r="J41" s="106"/>
    </row>
    <row r="42" spans="1:10" ht="15.6" hidden="1" customHeight="1" x14ac:dyDescent="0.3">
      <c r="A42" s="111" t="s">
        <v>39</v>
      </c>
      <c r="B42" s="106"/>
      <c r="C42" s="106"/>
      <c r="D42" s="106"/>
      <c r="E42" s="107"/>
      <c r="F42" s="106"/>
      <c r="G42" s="106"/>
      <c r="H42" s="153"/>
      <c r="I42" s="153"/>
      <c r="J42" s="106"/>
    </row>
    <row r="43" spans="1:10" ht="15.6" hidden="1" customHeight="1" x14ac:dyDescent="0.3">
      <c r="A43" s="111" t="s">
        <v>39</v>
      </c>
      <c r="B43" s="106"/>
      <c r="C43" s="106"/>
      <c r="D43" s="106"/>
      <c r="E43" s="107"/>
      <c r="F43" s="106"/>
      <c r="G43" s="106"/>
      <c r="H43" s="153"/>
      <c r="I43" s="153"/>
      <c r="J43" s="106"/>
    </row>
    <row r="44" spans="1:10" ht="15.6" hidden="1" customHeight="1" x14ac:dyDescent="0.3">
      <c r="A44" s="111" t="s">
        <v>39</v>
      </c>
      <c r="B44" s="106"/>
      <c r="C44" s="106"/>
      <c r="D44" s="106"/>
      <c r="E44" s="107"/>
      <c r="F44" s="106"/>
      <c r="G44" s="106"/>
      <c r="H44" s="153"/>
      <c r="I44" s="153"/>
      <c r="J44" s="106"/>
    </row>
    <row r="45" spans="1:10" ht="15.6" hidden="1" customHeight="1" x14ac:dyDescent="0.3">
      <c r="A45" s="111" t="s">
        <v>39</v>
      </c>
      <c r="B45" s="106"/>
      <c r="C45" s="106"/>
      <c r="D45" s="106"/>
      <c r="E45" s="107"/>
      <c r="F45" s="106"/>
      <c r="G45" s="106"/>
      <c r="H45" s="153"/>
      <c r="I45" s="153"/>
      <c r="J45" s="106"/>
    </row>
    <row r="46" spans="1:10" ht="15.6" hidden="1" customHeight="1" x14ac:dyDescent="0.3">
      <c r="A46" s="111" t="s">
        <v>39</v>
      </c>
      <c r="B46" s="106"/>
      <c r="C46" s="106"/>
      <c r="D46" s="106"/>
      <c r="E46" s="107"/>
      <c r="F46" s="106"/>
      <c r="G46" s="106"/>
      <c r="H46" s="153"/>
      <c r="I46" s="153"/>
      <c r="J46" s="106"/>
    </row>
    <row r="47" spans="1:10" ht="15.6" hidden="1" customHeight="1" x14ac:dyDescent="0.3">
      <c r="A47" s="111" t="s">
        <v>39</v>
      </c>
      <c r="B47" s="106"/>
      <c r="C47" s="106"/>
      <c r="D47" s="106"/>
      <c r="E47" s="107"/>
      <c r="F47" s="106"/>
      <c r="G47" s="106"/>
      <c r="H47" s="153"/>
      <c r="I47" s="153"/>
      <c r="J47" s="106"/>
    </row>
    <row r="48" spans="1:10" ht="15.6" hidden="1" customHeight="1" x14ac:dyDescent="0.3">
      <c r="A48" s="111" t="s">
        <v>39</v>
      </c>
      <c r="B48" s="106"/>
      <c r="C48" s="106"/>
      <c r="D48" s="106"/>
      <c r="E48" s="107"/>
      <c r="F48" s="106"/>
      <c r="G48" s="106"/>
      <c r="H48" s="153"/>
      <c r="I48" s="153"/>
      <c r="J48" s="106"/>
    </row>
    <row r="49" spans="1:10" ht="15.6" hidden="1" customHeight="1" x14ac:dyDescent="0.3">
      <c r="A49" s="109" t="s">
        <v>42</v>
      </c>
      <c r="B49" s="106"/>
      <c r="C49" s="106"/>
      <c r="D49" s="106"/>
      <c r="E49" s="107"/>
      <c r="F49" s="106"/>
      <c r="G49" s="106"/>
      <c r="H49" s="153" t="s">
        <v>20</v>
      </c>
      <c r="I49" s="153" t="s">
        <v>21</v>
      </c>
      <c r="J49" s="106"/>
    </row>
    <row r="50" spans="1:10" ht="15.6" hidden="1" customHeight="1" x14ac:dyDescent="0.3">
      <c r="A50" s="109" t="s">
        <v>42</v>
      </c>
      <c r="B50" s="106"/>
      <c r="C50" s="106"/>
      <c r="D50" s="106"/>
      <c r="E50" s="107"/>
      <c r="F50" s="106"/>
      <c r="G50" s="106"/>
      <c r="H50" s="153"/>
      <c r="I50" s="153"/>
      <c r="J50" s="106"/>
    </row>
    <row r="51" spans="1:10" ht="15.6" hidden="1" customHeight="1" x14ac:dyDescent="0.3">
      <c r="A51" s="109" t="s">
        <v>42</v>
      </c>
      <c r="B51" s="106"/>
      <c r="C51" s="106"/>
      <c r="D51" s="106"/>
      <c r="E51" s="107"/>
      <c r="F51" s="106"/>
      <c r="G51" s="106"/>
      <c r="H51" s="153"/>
      <c r="I51" s="153"/>
      <c r="J51" s="106"/>
    </row>
    <row r="52" spans="1:10" ht="15.6" hidden="1" customHeight="1" x14ac:dyDescent="0.3">
      <c r="A52" s="150" t="s">
        <v>43</v>
      </c>
      <c r="B52" s="108"/>
      <c r="C52" s="106"/>
      <c r="D52" s="106"/>
      <c r="E52" s="107"/>
      <c r="F52" s="106"/>
      <c r="G52" s="106"/>
      <c r="H52" s="153" t="s">
        <v>20</v>
      </c>
      <c r="I52" s="153" t="s">
        <v>21</v>
      </c>
      <c r="J52" s="106"/>
    </row>
    <row r="53" spans="1:10" ht="15.6" hidden="1" customHeight="1" x14ac:dyDescent="0.3">
      <c r="A53" s="150"/>
      <c r="B53" s="108"/>
      <c r="C53" s="106"/>
      <c r="D53" s="106"/>
      <c r="E53" s="107"/>
      <c r="F53" s="106"/>
      <c r="G53" s="106"/>
      <c r="H53" s="153"/>
      <c r="I53" s="153"/>
      <c r="J53" s="106"/>
    </row>
    <row r="54" spans="1:10" ht="15.6" hidden="1" customHeight="1" x14ac:dyDescent="0.3">
      <c r="A54" s="150"/>
      <c r="B54" s="108"/>
      <c r="C54" s="106"/>
      <c r="D54" s="106"/>
      <c r="E54" s="107"/>
      <c r="F54" s="106"/>
      <c r="G54" s="106"/>
      <c r="H54" s="153"/>
      <c r="I54" s="153"/>
      <c r="J54" s="106"/>
    </row>
    <row r="55" spans="1:10" ht="15.6" hidden="1" customHeight="1" x14ac:dyDescent="0.3">
      <c r="A55" s="109" t="s">
        <v>44</v>
      </c>
      <c r="B55" s="106"/>
      <c r="C55" s="106"/>
      <c r="D55" s="107"/>
      <c r="E55" s="107"/>
      <c r="F55" s="106"/>
      <c r="G55" s="106"/>
      <c r="H55" s="153" t="s">
        <v>20</v>
      </c>
      <c r="I55" s="153" t="s">
        <v>21</v>
      </c>
      <c r="J55" s="106"/>
    </row>
    <row r="56" spans="1:10" ht="15.6" hidden="1" customHeight="1" x14ac:dyDescent="0.3">
      <c r="A56" s="109" t="s">
        <v>44</v>
      </c>
      <c r="B56" s="106"/>
      <c r="C56" s="106"/>
      <c r="D56" s="107"/>
      <c r="E56" s="107"/>
      <c r="F56" s="106"/>
      <c r="G56" s="106"/>
      <c r="H56" s="153"/>
      <c r="I56" s="153"/>
      <c r="J56" s="106"/>
    </row>
    <row r="57" spans="1:10" ht="15.6" hidden="1" customHeight="1" x14ac:dyDescent="0.3">
      <c r="A57" s="109" t="s">
        <v>44</v>
      </c>
      <c r="B57" s="106"/>
      <c r="C57" s="106"/>
      <c r="D57" s="107"/>
      <c r="E57" s="107"/>
      <c r="F57" s="106"/>
      <c r="G57" s="106"/>
      <c r="H57" s="153"/>
      <c r="I57" s="153"/>
      <c r="J57" s="106"/>
    </row>
    <row r="58" spans="1:10" ht="15.6" hidden="1" customHeight="1" x14ac:dyDescent="0.3">
      <c r="A58" s="150" t="s">
        <v>45</v>
      </c>
      <c r="B58" s="106"/>
      <c r="C58" s="106"/>
      <c r="D58" s="106"/>
      <c r="E58" s="107"/>
      <c r="F58" s="106"/>
      <c r="G58" s="106"/>
      <c r="H58" s="153" t="s">
        <v>46</v>
      </c>
      <c r="I58" s="153" t="s">
        <v>25</v>
      </c>
      <c r="J58" s="108"/>
    </row>
    <row r="59" spans="1:10" ht="15.6" hidden="1" customHeight="1" x14ac:dyDescent="0.3">
      <c r="A59" s="150"/>
      <c r="B59" s="106"/>
      <c r="C59" s="106"/>
      <c r="D59" s="106"/>
      <c r="E59" s="107"/>
      <c r="F59" s="106"/>
      <c r="G59" s="106"/>
      <c r="H59" s="153"/>
      <c r="I59" s="153"/>
      <c r="J59" s="108"/>
    </row>
    <row r="60" spans="1:10" ht="15.6" hidden="1" customHeight="1" x14ac:dyDescent="0.3">
      <c r="A60" s="150"/>
      <c r="B60" s="106"/>
      <c r="C60" s="106"/>
      <c r="D60" s="106"/>
      <c r="E60" s="107"/>
      <c r="F60" s="106"/>
      <c r="G60" s="106"/>
      <c r="H60" s="153"/>
      <c r="I60" s="153"/>
      <c r="J60" s="108"/>
    </row>
    <row r="61" spans="1:10" ht="15.6" hidden="1" customHeight="1" x14ac:dyDescent="0.3">
      <c r="A61" s="150" t="s">
        <v>47</v>
      </c>
      <c r="B61" s="108"/>
      <c r="C61" s="108"/>
      <c r="D61" s="108"/>
      <c r="E61" s="108"/>
      <c r="F61" s="108"/>
      <c r="G61" s="108"/>
      <c r="H61" s="161"/>
      <c r="I61" s="153"/>
      <c r="J61" s="108"/>
    </row>
    <row r="62" spans="1:10" ht="15.6" hidden="1" customHeight="1" x14ac:dyDescent="0.3">
      <c r="A62" s="150"/>
      <c r="B62" s="108"/>
      <c r="C62" s="108"/>
      <c r="D62" s="108"/>
      <c r="E62" s="108"/>
      <c r="F62" s="108"/>
      <c r="G62" s="108"/>
      <c r="H62" s="161"/>
      <c r="I62" s="153"/>
      <c r="J62" s="108"/>
    </row>
    <row r="63" spans="1:10" ht="15.6" hidden="1" customHeight="1" x14ac:dyDescent="0.3">
      <c r="A63" s="150"/>
      <c r="B63" s="108"/>
      <c r="C63" s="108"/>
      <c r="D63" s="108"/>
      <c r="E63" s="108"/>
      <c r="F63" s="108"/>
      <c r="G63" s="108"/>
      <c r="H63" s="161"/>
      <c r="I63" s="153"/>
      <c r="J63" s="108"/>
    </row>
    <row r="64" spans="1:10" ht="15.6" hidden="1" customHeight="1" x14ac:dyDescent="0.3">
      <c r="A64" s="150" t="s">
        <v>48</v>
      </c>
      <c r="B64" s="106"/>
      <c r="C64" s="106"/>
      <c r="D64" s="106"/>
      <c r="E64" s="107"/>
      <c r="F64" s="106"/>
      <c r="G64" s="106"/>
      <c r="H64" s="153" t="s">
        <v>20</v>
      </c>
      <c r="I64" s="153" t="s">
        <v>21</v>
      </c>
      <c r="J64" s="106"/>
    </row>
    <row r="65" spans="1:10" ht="15.6" hidden="1" customHeight="1" x14ac:dyDescent="0.3">
      <c r="A65" s="150"/>
      <c r="B65" s="106"/>
      <c r="C65" s="106"/>
      <c r="D65" s="106"/>
      <c r="E65" s="107"/>
      <c r="F65" s="106"/>
      <c r="G65" s="106"/>
      <c r="H65" s="153"/>
      <c r="I65" s="153"/>
      <c r="J65" s="106"/>
    </row>
    <row r="66" spans="1:10" ht="15.6" hidden="1" customHeight="1" x14ac:dyDescent="0.3">
      <c r="A66" s="150"/>
      <c r="B66" s="106"/>
      <c r="C66" s="106"/>
      <c r="D66" s="106"/>
      <c r="E66" s="107"/>
      <c r="F66" s="106"/>
      <c r="G66" s="106"/>
      <c r="H66" s="153"/>
      <c r="I66" s="153"/>
      <c r="J66" s="106"/>
    </row>
    <row r="67" spans="1:10" ht="15.6" hidden="1" customHeight="1" x14ac:dyDescent="0.3">
      <c r="A67" s="150" t="s">
        <v>49</v>
      </c>
      <c r="B67" s="106"/>
      <c r="C67" s="106"/>
      <c r="D67" s="106"/>
      <c r="E67" s="107"/>
      <c r="F67" s="106"/>
      <c r="G67" s="106"/>
      <c r="H67" s="153" t="s">
        <v>20</v>
      </c>
      <c r="I67" s="153" t="s">
        <v>21</v>
      </c>
      <c r="J67" s="106"/>
    </row>
    <row r="68" spans="1:10" ht="15.6" hidden="1" customHeight="1" x14ac:dyDescent="0.3">
      <c r="A68" s="150"/>
      <c r="B68" s="106"/>
      <c r="C68" s="106"/>
      <c r="D68" s="106"/>
      <c r="E68" s="107"/>
      <c r="F68" s="106"/>
      <c r="G68" s="106"/>
      <c r="H68" s="153"/>
      <c r="I68" s="153"/>
      <c r="J68" s="106"/>
    </row>
    <row r="69" spans="1:10" ht="15.6" hidden="1" customHeight="1" x14ac:dyDescent="0.3">
      <c r="A69" s="150"/>
      <c r="B69" s="106"/>
      <c r="C69" s="106"/>
      <c r="D69" s="106"/>
      <c r="E69" s="107"/>
      <c r="F69" s="106"/>
      <c r="G69" s="106"/>
      <c r="H69" s="153"/>
      <c r="I69" s="153"/>
      <c r="J69" s="106"/>
    </row>
    <row r="70" spans="1:10" ht="15.6" hidden="1" customHeight="1" x14ac:dyDescent="0.3">
      <c r="A70" s="111" t="s">
        <v>50</v>
      </c>
      <c r="B70" s="106"/>
      <c r="C70" s="106"/>
      <c r="D70" s="129"/>
      <c r="E70" s="107"/>
      <c r="F70" s="106"/>
      <c r="G70" s="106"/>
      <c r="H70" s="154" t="s">
        <v>546</v>
      </c>
      <c r="I70" s="154" t="s">
        <v>21</v>
      </c>
      <c r="J70" s="106"/>
    </row>
    <row r="71" spans="1:10" ht="15.6" hidden="1" customHeight="1" x14ac:dyDescent="0.3">
      <c r="A71" s="111" t="s">
        <v>50</v>
      </c>
      <c r="B71" s="106"/>
      <c r="C71" s="106"/>
      <c r="D71" s="129"/>
      <c r="E71" s="130"/>
      <c r="F71" s="106"/>
      <c r="G71" s="106"/>
      <c r="H71" s="155"/>
      <c r="I71" s="155"/>
      <c r="J71" s="106"/>
    </row>
    <row r="72" spans="1:10" ht="15.6" hidden="1" customHeight="1" x14ac:dyDescent="0.3">
      <c r="A72" s="150" t="s">
        <v>50</v>
      </c>
      <c r="B72" s="106"/>
      <c r="C72" s="106"/>
      <c r="D72" s="106"/>
      <c r="E72" s="130"/>
      <c r="F72" s="106"/>
      <c r="G72" s="106"/>
      <c r="H72" s="155"/>
      <c r="I72" s="155"/>
      <c r="J72" s="106"/>
    </row>
    <row r="73" spans="1:10" ht="15.6" hidden="1" customHeight="1" x14ac:dyDescent="0.3">
      <c r="A73" s="150"/>
      <c r="B73" s="106"/>
      <c r="C73" s="106"/>
      <c r="D73" s="131"/>
      <c r="E73" s="107"/>
      <c r="F73" s="106"/>
      <c r="G73" s="106"/>
      <c r="H73" s="155"/>
      <c r="I73" s="155"/>
      <c r="J73" s="106"/>
    </row>
    <row r="74" spans="1:10" ht="15.6" hidden="1" customHeight="1" x14ac:dyDescent="0.3">
      <c r="A74" s="150"/>
      <c r="B74" s="106"/>
      <c r="C74" s="106"/>
      <c r="D74" s="106"/>
      <c r="E74" s="107"/>
      <c r="F74" s="106"/>
      <c r="G74" s="106"/>
      <c r="H74" s="155"/>
      <c r="I74" s="155"/>
      <c r="J74" s="106"/>
    </row>
    <row r="75" spans="1:10" ht="15.6" hidden="1" customHeight="1" x14ac:dyDescent="0.3">
      <c r="A75" s="109" t="s">
        <v>51</v>
      </c>
      <c r="B75" s="106"/>
      <c r="C75" s="106"/>
      <c r="D75" s="106"/>
      <c r="E75" s="107"/>
      <c r="F75" s="106"/>
      <c r="G75" s="106"/>
      <c r="H75" s="155"/>
      <c r="I75" s="155"/>
      <c r="J75" s="106"/>
    </row>
    <row r="76" spans="1:10" ht="15.6" hidden="1" customHeight="1" x14ac:dyDescent="0.3">
      <c r="A76" s="109" t="s">
        <v>51</v>
      </c>
      <c r="B76" s="106"/>
      <c r="C76" s="106"/>
      <c r="D76" s="106"/>
      <c r="E76" s="107"/>
      <c r="F76" s="106"/>
      <c r="G76" s="106"/>
      <c r="H76" s="155"/>
      <c r="I76" s="155"/>
      <c r="J76" s="106"/>
    </row>
    <row r="77" spans="1:10" ht="15.6" hidden="1" customHeight="1" x14ac:dyDescent="0.3">
      <c r="A77" s="109" t="s">
        <v>51</v>
      </c>
      <c r="B77" s="106"/>
      <c r="C77" s="106"/>
      <c r="D77" s="106"/>
      <c r="E77" s="107"/>
      <c r="F77" s="106"/>
      <c r="G77" s="106"/>
      <c r="H77" s="155"/>
      <c r="I77" s="155"/>
      <c r="J77" s="106"/>
    </row>
    <row r="78" spans="1:10" ht="15.6" hidden="1" customHeight="1" x14ac:dyDescent="0.3">
      <c r="A78" s="109" t="s">
        <v>52</v>
      </c>
      <c r="B78" s="106"/>
      <c r="C78" s="106"/>
      <c r="D78" s="106"/>
      <c r="E78" s="107"/>
      <c r="F78" s="106"/>
      <c r="G78" s="106"/>
      <c r="H78" s="155"/>
      <c r="I78" s="155"/>
      <c r="J78" s="106"/>
    </row>
    <row r="79" spans="1:10" ht="15.6" hidden="1" customHeight="1" x14ac:dyDescent="0.3">
      <c r="A79" s="109" t="s">
        <v>52</v>
      </c>
      <c r="B79" s="106"/>
      <c r="C79" s="106"/>
      <c r="D79" s="106"/>
      <c r="E79" s="107"/>
      <c r="F79" s="106"/>
      <c r="G79" s="106"/>
      <c r="H79" s="155"/>
      <c r="I79" s="155"/>
      <c r="J79" s="106"/>
    </row>
    <row r="80" spans="1:10" ht="15.6" hidden="1" customHeight="1" x14ac:dyDescent="0.3">
      <c r="A80" s="109" t="s">
        <v>52</v>
      </c>
      <c r="B80" s="106"/>
      <c r="C80" s="106"/>
      <c r="D80" s="106"/>
      <c r="E80" s="107"/>
      <c r="F80" s="106"/>
      <c r="G80" s="106"/>
      <c r="H80" s="155"/>
      <c r="I80" s="155"/>
      <c r="J80" s="106"/>
    </row>
    <row r="81" spans="1:10" ht="15.6" hidden="1" customHeight="1" x14ac:dyDescent="0.3">
      <c r="A81" s="150" t="s">
        <v>53</v>
      </c>
      <c r="B81" s="106"/>
      <c r="C81" s="106"/>
      <c r="D81" s="106"/>
      <c r="E81" s="107"/>
      <c r="F81" s="107"/>
      <c r="G81" s="106"/>
      <c r="H81" s="155"/>
      <c r="I81" s="155"/>
      <c r="J81" s="106"/>
    </row>
    <row r="82" spans="1:10" ht="15.6" hidden="1" customHeight="1" x14ac:dyDescent="0.3">
      <c r="A82" s="150"/>
      <c r="B82" s="106"/>
      <c r="C82" s="106"/>
      <c r="D82" s="106"/>
      <c r="E82" s="107"/>
      <c r="F82" s="107"/>
      <c r="G82" s="106"/>
      <c r="H82" s="155"/>
      <c r="I82" s="155"/>
      <c r="J82" s="106"/>
    </row>
    <row r="83" spans="1:10" ht="15.6" hidden="1" customHeight="1" x14ac:dyDescent="0.3">
      <c r="A83" s="150"/>
      <c r="B83" s="106"/>
      <c r="C83" s="106"/>
      <c r="D83" s="106"/>
      <c r="E83" s="107"/>
      <c r="F83" s="107"/>
      <c r="G83" s="106"/>
      <c r="H83" s="155"/>
      <c r="I83" s="155"/>
      <c r="J83" s="106"/>
    </row>
    <row r="84" spans="1:10" ht="15.6" hidden="1" customHeight="1" x14ac:dyDescent="0.3">
      <c r="A84" s="150" t="s">
        <v>54</v>
      </c>
      <c r="B84" s="106"/>
      <c r="C84" s="106"/>
      <c r="D84" s="106"/>
      <c r="E84" s="107"/>
      <c r="F84" s="106"/>
      <c r="G84" s="106"/>
      <c r="H84" s="155"/>
      <c r="I84" s="155"/>
      <c r="J84" s="108"/>
    </row>
    <row r="85" spans="1:10" ht="15.6" hidden="1" customHeight="1" x14ac:dyDescent="0.3">
      <c r="A85" s="150"/>
      <c r="B85" s="106"/>
      <c r="C85" s="106"/>
      <c r="D85" s="106"/>
      <c r="E85" s="107"/>
      <c r="F85" s="106"/>
      <c r="G85" s="106"/>
      <c r="H85" s="155"/>
      <c r="I85" s="155"/>
      <c r="J85" s="108"/>
    </row>
    <row r="86" spans="1:10" ht="15.6" hidden="1" customHeight="1" x14ac:dyDescent="0.3">
      <c r="A86" s="150"/>
      <c r="B86" s="106"/>
      <c r="C86" s="106"/>
      <c r="D86" s="106"/>
      <c r="E86" s="107"/>
      <c r="F86" s="106"/>
      <c r="G86" s="106"/>
      <c r="H86" s="155"/>
      <c r="I86" s="155"/>
      <c r="J86" s="108"/>
    </row>
    <row r="87" spans="1:10" ht="15.6" hidden="1" customHeight="1" x14ac:dyDescent="0.3">
      <c r="A87" s="150" t="s">
        <v>55</v>
      </c>
      <c r="B87" s="106"/>
      <c r="C87" s="106"/>
      <c r="D87" s="106"/>
      <c r="E87" s="107"/>
      <c r="F87" s="106"/>
      <c r="G87" s="106"/>
      <c r="H87" s="155"/>
      <c r="I87" s="155"/>
      <c r="J87" s="106"/>
    </row>
    <row r="88" spans="1:10" ht="15.6" hidden="1" customHeight="1" x14ac:dyDescent="0.3">
      <c r="A88" s="150"/>
      <c r="B88" s="106"/>
      <c r="C88" s="106"/>
      <c r="D88" s="106"/>
      <c r="E88" s="107"/>
      <c r="F88" s="106"/>
      <c r="G88" s="106"/>
      <c r="H88" s="155"/>
      <c r="I88" s="155"/>
      <c r="J88" s="106"/>
    </row>
    <row r="89" spans="1:10" ht="15.6" hidden="1" customHeight="1" x14ac:dyDescent="0.3">
      <c r="A89" s="150"/>
      <c r="B89" s="106"/>
      <c r="C89" s="106"/>
      <c r="D89" s="106"/>
      <c r="E89" s="107"/>
      <c r="F89" s="106"/>
      <c r="G89" s="106"/>
      <c r="H89" s="155"/>
      <c r="I89" s="155"/>
      <c r="J89" s="106"/>
    </row>
    <row r="90" spans="1:10" ht="15.6" hidden="1" customHeight="1" x14ac:dyDescent="0.3">
      <c r="A90" s="109" t="s">
        <v>56</v>
      </c>
      <c r="B90" s="106"/>
      <c r="C90" s="106"/>
      <c r="D90" s="106"/>
      <c r="E90" s="107"/>
      <c r="F90" s="106"/>
      <c r="G90" s="106"/>
      <c r="H90" s="155"/>
      <c r="I90" s="155"/>
      <c r="J90" s="106"/>
    </row>
    <row r="91" spans="1:10" ht="15.6" hidden="1" customHeight="1" x14ac:dyDescent="0.3">
      <c r="A91" s="109" t="s">
        <v>56</v>
      </c>
      <c r="B91" s="106"/>
      <c r="C91" s="106"/>
      <c r="D91" s="106"/>
      <c r="E91" s="107"/>
      <c r="F91" s="106"/>
      <c r="G91" s="106"/>
      <c r="H91" s="155"/>
      <c r="I91" s="155"/>
      <c r="J91" s="106"/>
    </row>
    <row r="92" spans="1:10" ht="15.6" hidden="1" customHeight="1" x14ac:dyDescent="0.3">
      <c r="A92" s="109" t="s">
        <v>56</v>
      </c>
      <c r="B92" s="106"/>
      <c r="C92" s="106"/>
      <c r="D92" s="106"/>
      <c r="E92" s="107"/>
      <c r="F92" s="106"/>
      <c r="G92" s="106"/>
      <c r="H92" s="155"/>
      <c r="I92" s="155"/>
      <c r="J92" s="106"/>
    </row>
    <row r="93" spans="1:10" ht="15.6" hidden="1" customHeight="1" x14ac:dyDescent="0.3">
      <c r="A93" s="109" t="s">
        <v>57</v>
      </c>
      <c r="B93" s="106"/>
      <c r="C93" s="106" t="s">
        <v>507</v>
      </c>
      <c r="D93" s="106"/>
      <c r="E93" s="107">
        <v>46118</v>
      </c>
      <c r="F93" s="106" t="s">
        <v>490</v>
      </c>
      <c r="G93" s="106"/>
      <c r="H93" s="155"/>
      <c r="I93" s="155"/>
      <c r="J93" s="106"/>
    </row>
    <row r="94" spans="1:10" ht="15.6" hidden="1" customHeight="1" x14ac:dyDescent="0.3">
      <c r="A94" s="109" t="s">
        <v>57</v>
      </c>
      <c r="B94" s="106"/>
      <c r="C94" s="106"/>
      <c r="D94" s="106"/>
      <c r="E94" s="107"/>
      <c r="F94" s="106"/>
      <c r="G94" s="106"/>
      <c r="H94" s="155"/>
      <c r="I94" s="155"/>
      <c r="J94" s="106"/>
    </row>
    <row r="95" spans="1:10" ht="15.6" hidden="1" customHeight="1" x14ac:dyDescent="0.3">
      <c r="A95" s="109" t="s">
        <v>57</v>
      </c>
      <c r="B95" s="106"/>
      <c r="C95" s="106"/>
      <c r="D95" s="106"/>
      <c r="E95" s="107"/>
      <c r="F95" s="106"/>
      <c r="G95" s="106"/>
      <c r="H95" s="155"/>
      <c r="I95" s="155"/>
      <c r="J95" s="106"/>
    </row>
    <row r="96" spans="1:10" ht="15.6" hidden="1" customHeight="1" x14ac:dyDescent="0.3">
      <c r="A96" s="111" t="s">
        <v>58</v>
      </c>
      <c r="B96" s="106"/>
      <c r="C96" s="106"/>
      <c r="D96" s="106"/>
      <c r="E96" s="107"/>
      <c r="F96" s="106"/>
      <c r="G96" s="106"/>
      <c r="H96" s="155"/>
      <c r="I96" s="155"/>
      <c r="J96" s="106"/>
    </row>
    <row r="97" spans="1:16257" ht="15.6" hidden="1" customHeight="1" x14ac:dyDescent="0.3">
      <c r="A97" s="150" t="s">
        <v>59</v>
      </c>
      <c r="B97" s="108"/>
      <c r="C97" s="108"/>
      <c r="D97" s="108"/>
      <c r="E97" s="108"/>
      <c r="F97" s="108"/>
      <c r="G97" s="108"/>
      <c r="H97" s="155"/>
      <c r="I97" s="155"/>
      <c r="J97" s="108"/>
    </row>
    <row r="98" spans="1:16257" ht="15.6" hidden="1" customHeight="1" x14ac:dyDescent="0.3">
      <c r="A98" s="150"/>
      <c r="B98" s="108"/>
      <c r="C98" s="108"/>
      <c r="D98" s="108"/>
      <c r="E98" s="108"/>
      <c r="F98" s="108"/>
      <c r="G98" s="108"/>
      <c r="H98" s="155"/>
      <c r="I98" s="155"/>
      <c r="J98" s="108"/>
    </row>
    <row r="99" spans="1:16257" ht="15.6" hidden="1" customHeight="1" x14ac:dyDescent="0.3">
      <c r="A99" s="150"/>
      <c r="B99" s="108"/>
      <c r="C99" s="108"/>
      <c r="D99" s="108"/>
      <c r="E99" s="108"/>
      <c r="F99" s="108"/>
      <c r="G99" s="108"/>
      <c r="H99" s="155"/>
      <c r="I99" s="155"/>
      <c r="J99" s="108"/>
    </row>
    <row r="100" spans="1:16257" ht="15.6" hidden="1" customHeight="1" x14ac:dyDescent="0.3">
      <c r="A100" s="111" t="s">
        <v>60</v>
      </c>
      <c r="B100" s="108"/>
      <c r="C100" s="106" t="s">
        <v>503</v>
      </c>
      <c r="D100" s="108"/>
      <c r="E100" s="107">
        <v>46113</v>
      </c>
      <c r="F100" s="106" t="s">
        <v>490</v>
      </c>
      <c r="G100" s="108"/>
      <c r="H100" s="156"/>
      <c r="I100" s="156"/>
      <c r="J100" s="134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  <c r="IW100" s="43"/>
      <c r="IX100" s="43"/>
      <c r="IY100" s="43"/>
      <c r="IZ100" s="43"/>
      <c r="JA100" s="43"/>
      <c r="JB100" s="43"/>
      <c r="JC100" s="43"/>
      <c r="JD100" s="43"/>
      <c r="JE100" s="43"/>
      <c r="JF100" s="43"/>
      <c r="JG100" s="43"/>
      <c r="JH100" s="43"/>
      <c r="JI100" s="43"/>
      <c r="JJ100" s="43"/>
      <c r="JK100" s="43"/>
      <c r="JL100" s="43"/>
      <c r="JM100" s="43"/>
      <c r="JN100" s="43"/>
      <c r="JO100" s="43"/>
      <c r="JP100" s="43"/>
      <c r="JQ100" s="43"/>
      <c r="JR100" s="43"/>
      <c r="JS100" s="43"/>
      <c r="JT100" s="43"/>
      <c r="JU100" s="43"/>
      <c r="JV100" s="43"/>
      <c r="JW100" s="43"/>
      <c r="JX100" s="43"/>
      <c r="JY100" s="43"/>
      <c r="JZ100" s="43"/>
      <c r="KA100" s="43"/>
      <c r="KB100" s="43"/>
      <c r="KC100" s="43"/>
      <c r="KD100" s="43"/>
      <c r="KE100" s="43"/>
      <c r="KF100" s="43"/>
      <c r="KG100" s="43"/>
      <c r="KH100" s="43"/>
      <c r="KI100" s="43"/>
      <c r="KJ100" s="43"/>
      <c r="KK100" s="43"/>
      <c r="KL100" s="43"/>
      <c r="KM100" s="43"/>
      <c r="KN100" s="43"/>
      <c r="KO100" s="43"/>
      <c r="KP100" s="43"/>
      <c r="KQ100" s="43"/>
      <c r="KR100" s="43"/>
      <c r="KS100" s="43"/>
      <c r="KT100" s="43"/>
      <c r="KU100" s="43"/>
      <c r="KV100" s="43"/>
      <c r="KW100" s="43"/>
      <c r="KX100" s="43"/>
      <c r="KY100" s="43"/>
      <c r="KZ100" s="43"/>
      <c r="LA100" s="43"/>
      <c r="LB100" s="43"/>
      <c r="LC100" s="43"/>
      <c r="LD100" s="43"/>
      <c r="LE100" s="43"/>
      <c r="LF100" s="43"/>
      <c r="LG100" s="43"/>
      <c r="LH100" s="43"/>
      <c r="LI100" s="43"/>
      <c r="LJ100" s="43"/>
      <c r="LK100" s="43"/>
      <c r="LL100" s="43"/>
      <c r="LM100" s="43"/>
      <c r="LN100" s="43"/>
      <c r="LO100" s="43"/>
      <c r="LP100" s="43"/>
      <c r="LQ100" s="43"/>
      <c r="LR100" s="43"/>
      <c r="LS100" s="43"/>
      <c r="LT100" s="43"/>
      <c r="LU100" s="43"/>
      <c r="LV100" s="43"/>
      <c r="LW100" s="43"/>
      <c r="LX100" s="43"/>
      <c r="LY100" s="43"/>
      <c r="LZ100" s="43"/>
      <c r="MA100" s="43"/>
      <c r="MB100" s="43"/>
      <c r="MC100" s="43"/>
      <c r="MD100" s="43"/>
      <c r="ME100" s="43"/>
      <c r="MF100" s="43"/>
      <c r="MG100" s="43"/>
      <c r="MH100" s="43"/>
      <c r="MI100" s="43"/>
      <c r="MJ100" s="43"/>
      <c r="MK100" s="43"/>
      <c r="ML100" s="43"/>
      <c r="MM100" s="43"/>
      <c r="MN100" s="43"/>
      <c r="MO100" s="43"/>
      <c r="MP100" s="43"/>
      <c r="MQ100" s="43"/>
      <c r="MR100" s="43"/>
      <c r="MS100" s="43"/>
      <c r="MT100" s="43"/>
      <c r="MU100" s="43"/>
      <c r="MV100" s="43"/>
      <c r="MW100" s="43"/>
      <c r="MX100" s="43"/>
      <c r="MY100" s="43"/>
      <c r="MZ100" s="43"/>
      <c r="NA100" s="43"/>
      <c r="NB100" s="43"/>
      <c r="NC100" s="43"/>
      <c r="ND100" s="43"/>
      <c r="NE100" s="43"/>
      <c r="NF100" s="43"/>
      <c r="NG100" s="43"/>
      <c r="NH100" s="43"/>
      <c r="NI100" s="43"/>
      <c r="NJ100" s="43"/>
      <c r="NK100" s="43"/>
      <c r="NL100" s="43"/>
      <c r="NM100" s="43"/>
      <c r="NN100" s="43"/>
      <c r="NO100" s="43"/>
      <c r="NP100" s="43"/>
      <c r="NQ100" s="43"/>
      <c r="NR100" s="43"/>
      <c r="NS100" s="43"/>
      <c r="NT100" s="43"/>
      <c r="NU100" s="43"/>
      <c r="NV100" s="43"/>
      <c r="NW100" s="43"/>
      <c r="NX100" s="43"/>
      <c r="NY100" s="43"/>
      <c r="NZ100" s="43"/>
      <c r="OA100" s="43"/>
      <c r="OB100" s="43"/>
      <c r="OC100" s="43"/>
      <c r="OD100" s="43"/>
      <c r="OE100" s="43"/>
      <c r="OF100" s="43"/>
      <c r="OG100" s="43"/>
      <c r="OH100" s="43"/>
      <c r="OJ100" s="43"/>
      <c r="OK100" s="43"/>
      <c r="OL100" s="43"/>
      <c r="OM100" s="43"/>
      <c r="ON100" s="43"/>
      <c r="OO100" s="43"/>
      <c r="OP100" s="43"/>
      <c r="OQ100" s="43"/>
      <c r="OR100" s="43"/>
      <c r="OS100" s="43"/>
      <c r="OT100" s="43"/>
      <c r="OU100" s="43"/>
      <c r="OV100" s="43"/>
      <c r="OW100" s="43"/>
      <c r="OX100" s="43"/>
      <c r="OY100" s="43"/>
      <c r="OZ100" s="43"/>
      <c r="PA100" s="43"/>
      <c r="PB100" s="43"/>
      <c r="PC100" s="43"/>
      <c r="PD100" s="43"/>
      <c r="PE100" s="43"/>
      <c r="PF100" s="43"/>
      <c r="PG100" s="43"/>
      <c r="PH100" s="43"/>
      <c r="PI100" s="43"/>
      <c r="PJ100" s="43"/>
      <c r="PK100" s="43"/>
      <c r="PL100" s="43"/>
      <c r="PM100" s="43"/>
      <c r="PN100" s="43"/>
      <c r="PO100" s="43"/>
      <c r="PP100" s="43"/>
      <c r="PQ100" s="43"/>
      <c r="PR100" s="43"/>
      <c r="PS100" s="43"/>
      <c r="PT100" s="43"/>
      <c r="PU100" s="43"/>
      <c r="PV100" s="43"/>
      <c r="PW100" s="43"/>
      <c r="PX100" s="43"/>
      <c r="PY100" s="43"/>
      <c r="PZ100" s="43"/>
      <c r="QA100" s="43"/>
      <c r="QB100" s="43"/>
      <c r="QC100" s="43"/>
      <c r="QD100" s="43"/>
      <c r="QE100" s="43"/>
      <c r="QF100" s="43"/>
      <c r="QG100" s="43"/>
      <c r="QH100" s="43"/>
      <c r="QI100" s="43"/>
      <c r="QJ100" s="43"/>
      <c r="QK100" s="43"/>
      <c r="QL100" s="43"/>
      <c r="QM100" s="43"/>
      <c r="QN100" s="43"/>
      <c r="QO100" s="43"/>
      <c r="QP100" s="43"/>
      <c r="QQ100" s="43"/>
      <c r="QR100" s="43"/>
      <c r="QS100" s="43"/>
      <c r="QT100" s="43"/>
      <c r="QU100" s="43"/>
      <c r="QV100" s="43"/>
      <c r="QW100" s="43"/>
      <c r="QX100" s="43"/>
      <c r="QY100" s="43"/>
      <c r="QZ100" s="43"/>
      <c r="RA100" s="43"/>
      <c r="RB100" s="43"/>
      <c r="RC100" s="43"/>
      <c r="RD100" s="43"/>
      <c r="RE100" s="43"/>
      <c r="RF100" s="43"/>
      <c r="RG100" s="43"/>
      <c r="RH100" s="43"/>
      <c r="RI100" s="43"/>
      <c r="RJ100" s="43"/>
      <c r="RK100" s="43"/>
      <c r="RL100" s="43"/>
      <c r="RM100" s="43"/>
      <c r="RN100" s="43"/>
      <c r="RO100" s="43"/>
      <c r="RP100" s="43"/>
      <c r="RQ100" s="43"/>
      <c r="RR100" s="43"/>
      <c r="RS100" s="43"/>
      <c r="RT100" s="43"/>
      <c r="RU100" s="43"/>
      <c r="RV100" s="43"/>
      <c r="RW100" s="43"/>
      <c r="RX100" s="43"/>
      <c r="RY100" s="43"/>
      <c r="RZ100" s="43"/>
      <c r="SA100" s="43"/>
      <c r="SB100" s="43"/>
      <c r="SC100" s="43"/>
      <c r="SD100" s="43"/>
      <c r="SE100" s="43"/>
      <c r="SF100" s="43"/>
      <c r="SG100" s="43"/>
      <c r="SH100" s="43"/>
      <c r="SI100" s="43"/>
      <c r="SJ100" s="43"/>
      <c r="SK100" s="43"/>
      <c r="SL100" s="43"/>
      <c r="SM100" s="43"/>
      <c r="SN100" s="43"/>
      <c r="SO100" s="43"/>
      <c r="SP100" s="43"/>
      <c r="SQ100" s="43"/>
      <c r="SR100" s="43"/>
      <c r="SS100" s="43"/>
      <c r="ST100" s="43"/>
      <c r="SU100" s="43"/>
      <c r="SV100" s="43"/>
      <c r="SW100" s="43"/>
      <c r="SX100" s="43"/>
      <c r="SY100" s="43"/>
      <c r="SZ100" s="43"/>
      <c r="TA100" s="43"/>
      <c r="TB100" s="43"/>
      <c r="TC100" s="43"/>
      <c r="TD100" s="43"/>
      <c r="TE100" s="43"/>
      <c r="TF100" s="43"/>
      <c r="TG100" s="43"/>
      <c r="TH100" s="43"/>
      <c r="TI100" s="43"/>
      <c r="TJ100" s="43"/>
      <c r="TK100" s="43"/>
      <c r="TL100" s="43"/>
      <c r="TM100" s="43"/>
      <c r="TN100" s="43"/>
      <c r="TO100" s="43"/>
      <c r="TP100" s="43"/>
      <c r="TQ100" s="43"/>
      <c r="TR100" s="43"/>
      <c r="TS100" s="43"/>
      <c r="TT100" s="43"/>
      <c r="TU100" s="43"/>
      <c r="TV100" s="43"/>
      <c r="TW100" s="43"/>
      <c r="TX100" s="43"/>
      <c r="TY100" s="43"/>
      <c r="TZ100" s="43"/>
      <c r="UA100" s="43"/>
      <c r="UB100" s="43"/>
      <c r="UC100" s="43"/>
      <c r="UD100" s="43"/>
      <c r="UE100" s="43"/>
      <c r="UF100" s="43"/>
      <c r="UG100" s="43"/>
      <c r="UH100" s="43"/>
      <c r="UI100" s="43"/>
      <c r="UJ100" s="43"/>
      <c r="UK100" s="43"/>
      <c r="UL100" s="43"/>
      <c r="UM100" s="43"/>
      <c r="UN100" s="43"/>
      <c r="UO100" s="43"/>
      <c r="UP100" s="43"/>
      <c r="UQ100" s="43"/>
      <c r="UR100" s="43"/>
      <c r="US100" s="43"/>
      <c r="UT100" s="43"/>
      <c r="UU100" s="43"/>
      <c r="UV100" s="43"/>
      <c r="UW100" s="43"/>
      <c r="UX100" s="43"/>
      <c r="UY100" s="43"/>
      <c r="UZ100" s="43"/>
      <c r="VA100" s="43"/>
      <c r="VB100" s="43"/>
      <c r="VC100" s="43"/>
      <c r="VD100" s="43"/>
      <c r="VE100" s="43"/>
      <c r="VF100" s="43"/>
      <c r="VG100" s="43"/>
      <c r="VH100" s="43"/>
      <c r="VI100" s="43"/>
      <c r="VJ100" s="43"/>
      <c r="VK100" s="43"/>
      <c r="VL100" s="43"/>
      <c r="VM100" s="43"/>
      <c r="VN100" s="43"/>
      <c r="VO100" s="43"/>
      <c r="VP100" s="43"/>
      <c r="VQ100" s="43"/>
      <c r="VR100" s="43"/>
      <c r="VS100" s="43"/>
      <c r="VT100" s="43"/>
      <c r="VU100" s="43"/>
      <c r="VV100" s="43"/>
      <c r="VW100" s="43"/>
      <c r="VX100" s="43"/>
      <c r="VY100" s="43"/>
      <c r="VZ100" s="43"/>
      <c r="WA100" s="43"/>
      <c r="WB100" s="43"/>
      <c r="WC100" s="43"/>
      <c r="WD100" s="43"/>
      <c r="WE100" s="43"/>
      <c r="WF100" s="43"/>
      <c r="WG100" s="43"/>
      <c r="WH100" s="43"/>
      <c r="WI100" s="43"/>
      <c r="WJ100" s="43"/>
      <c r="WK100" s="43"/>
      <c r="WL100" s="43"/>
      <c r="WM100" s="43"/>
      <c r="WN100" s="43"/>
      <c r="WO100" s="43"/>
      <c r="WP100" s="43"/>
      <c r="WQ100" s="43"/>
      <c r="WR100" s="43"/>
      <c r="WS100" s="43"/>
      <c r="WT100" s="43"/>
      <c r="WU100" s="43"/>
      <c r="WV100" s="43"/>
      <c r="WW100" s="43"/>
      <c r="WX100" s="43"/>
      <c r="WY100" s="43"/>
      <c r="WZ100" s="43"/>
      <c r="XA100" s="43"/>
      <c r="XB100" s="43"/>
      <c r="XC100" s="43"/>
      <c r="XD100" s="43"/>
      <c r="XE100" s="43"/>
      <c r="XF100" s="43"/>
      <c r="XG100" s="43"/>
      <c r="XH100" s="43"/>
      <c r="XI100" s="43"/>
      <c r="XJ100" s="43"/>
      <c r="XK100" s="43"/>
      <c r="XL100" s="43"/>
      <c r="XM100" s="43"/>
      <c r="XN100" s="43"/>
      <c r="XO100" s="43"/>
      <c r="XP100" s="43"/>
      <c r="XQ100" s="43"/>
      <c r="XR100" s="43"/>
      <c r="XS100" s="43"/>
      <c r="XT100" s="43"/>
      <c r="XU100" s="43"/>
      <c r="XV100" s="43"/>
      <c r="XW100" s="43"/>
      <c r="XX100" s="43"/>
      <c r="XY100" s="43"/>
      <c r="XZ100" s="43"/>
      <c r="YA100" s="43"/>
      <c r="YB100" s="43"/>
      <c r="YC100" s="43"/>
      <c r="YD100" s="43"/>
      <c r="YF100" s="43"/>
      <c r="YG100" s="43"/>
      <c r="YH100" s="43"/>
      <c r="YI100" s="43"/>
      <c r="YJ100" s="43"/>
      <c r="YK100" s="43"/>
      <c r="YL100" s="43"/>
      <c r="YM100" s="43"/>
      <c r="YN100" s="43"/>
      <c r="YO100" s="43"/>
      <c r="YP100" s="43"/>
      <c r="YQ100" s="43"/>
      <c r="YR100" s="43"/>
      <c r="YS100" s="43"/>
      <c r="YT100" s="43"/>
      <c r="YU100" s="43"/>
      <c r="YV100" s="43"/>
      <c r="YW100" s="43"/>
      <c r="YX100" s="43"/>
      <c r="YY100" s="43"/>
      <c r="YZ100" s="43"/>
      <c r="ZA100" s="43"/>
      <c r="ZB100" s="43"/>
      <c r="ZC100" s="43"/>
      <c r="ZD100" s="43"/>
      <c r="ZE100" s="43"/>
      <c r="ZF100" s="43"/>
      <c r="ZG100" s="43"/>
      <c r="ZH100" s="43"/>
      <c r="ZI100" s="43"/>
      <c r="ZJ100" s="43"/>
      <c r="ZK100" s="43"/>
      <c r="ZL100" s="43"/>
      <c r="ZM100" s="43"/>
      <c r="ZN100" s="43"/>
      <c r="ZO100" s="43"/>
      <c r="ZP100" s="43"/>
      <c r="ZQ100" s="43"/>
      <c r="ZR100" s="43"/>
      <c r="ZS100" s="43"/>
      <c r="ZT100" s="43"/>
      <c r="ZU100" s="43"/>
      <c r="ZV100" s="43"/>
      <c r="ZW100" s="43"/>
      <c r="ZX100" s="43"/>
      <c r="ZY100" s="43"/>
      <c r="ZZ100" s="43"/>
      <c r="AAA100" s="43"/>
      <c r="AAB100" s="43"/>
      <c r="AAC100" s="43"/>
      <c r="AAD100" s="43"/>
      <c r="AAE100" s="43"/>
      <c r="AAF100" s="43"/>
      <c r="AAG100" s="43"/>
      <c r="AAH100" s="43"/>
      <c r="AAI100" s="43"/>
      <c r="AAJ100" s="43"/>
      <c r="AAK100" s="43"/>
      <c r="AAL100" s="43"/>
      <c r="AAM100" s="43"/>
      <c r="AAN100" s="43"/>
      <c r="AAO100" s="43"/>
      <c r="AAP100" s="43"/>
      <c r="AAQ100" s="43"/>
      <c r="AAR100" s="43"/>
      <c r="AAS100" s="43"/>
      <c r="AAT100" s="43"/>
      <c r="AAU100" s="43"/>
      <c r="AAV100" s="43"/>
      <c r="AAW100" s="43"/>
      <c r="AAX100" s="43"/>
      <c r="AAY100" s="43"/>
      <c r="AAZ100" s="43"/>
      <c r="ABA100" s="43"/>
      <c r="ABB100" s="43"/>
      <c r="ABC100" s="43"/>
      <c r="ABD100" s="43"/>
      <c r="ABE100" s="43"/>
      <c r="ABF100" s="43"/>
      <c r="ABG100" s="43"/>
      <c r="ABH100" s="43"/>
      <c r="ABI100" s="43"/>
      <c r="ABJ100" s="43"/>
      <c r="ABK100" s="43"/>
      <c r="ABL100" s="43"/>
      <c r="ABM100" s="43"/>
      <c r="ABN100" s="43"/>
      <c r="ABO100" s="43"/>
      <c r="ABP100" s="43"/>
      <c r="ABQ100" s="43"/>
      <c r="ABR100" s="43"/>
      <c r="ABS100" s="43"/>
      <c r="ABT100" s="43"/>
      <c r="ABU100" s="43"/>
      <c r="ABV100" s="43"/>
      <c r="ABW100" s="43"/>
      <c r="ABX100" s="43"/>
      <c r="ABY100" s="43"/>
      <c r="ABZ100" s="43"/>
      <c r="ACA100" s="43"/>
      <c r="ACB100" s="43"/>
      <c r="ACC100" s="43"/>
      <c r="ACD100" s="43"/>
      <c r="ACE100" s="43"/>
      <c r="ACF100" s="43"/>
      <c r="ACG100" s="43"/>
      <c r="ACH100" s="43"/>
      <c r="ACI100" s="43"/>
      <c r="ACJ100" s="43"/>
      <c r="ACK100" s="43"/>
      <c r="ACL100" s="43"/>
      <c r="ACM100" s="43"/>
      <c r="ACN100" s="43"/>
      <c r="ACO100" s="43"/>
      <c r="ACP100" s="43"/>
      <c r="ACQ100" s="43"/>
      <c r="ACR100" s="43"/>
      <c r="ACS100" s="43"/>
      <c r="ACT100" s="43"/>
      <c r="ACU100" s="43"/>
      <c r="ACV100" s="43"/>
      <c r="ACW100" s="43"/>
      <c r="ACX100" s="43"/>
      <c r="ACY100" s="43"/>
      <c r="ACZ100" s="43"/>
      <c r="ADA100" s="43"/>
      <c r="ADB100" s="43"/>
      <c r="ADC100" s="43"/>
      <c r="ADD100" s="43"/>
      <c r="ADE100" s="43"/>
      <c r="ADF100" s="43"/>
      <c r="ADG100" s="43"/>
      <c r="ADH100" s="43"/>
      <c r="ADI100" s="43"/>
      <c r="ADJ100" s="43"/>
      <c r="ADK100" s="43"/>
      <c r="ADL100" s="43"/>
      <c r="ADM100" s="43"/>
      <c r="ADN100" s="43"/>
      <c r="ADO100" s="43"/>
      <c r="ADP100" s="43"/>
      <c r="ADQ100" s="43"/>
      <c r="ADR100" s="43"/>
      <c r="ADS100" s="43"/>
      <c r="ADT100" s="43"/>
      <c r="ADU100" s="43"/>
      <c r="ADV100" s="43"/>
      <c r="ADW100" s="43"/>
      <c r="ADX100" s="43"/>
      <c r="ADY100" s="43"/>
      <c r="ADZ100" s="43"/>
      <c r="AEA100" s="43"/>
      <c r="AEB100" s="43"/>
      <c r="AEC100" s="43"/>
      <c r="AED100" s="43"/>
      <c r="AEE100" s="43"/>
      <c r="AEF100" s="43"/>
      <c r="AEG100" s="43"/>
      <c r="AEH100" s="43"/>
      <c r="AEI100" s="43"/>
      <c r="AEJ100" s="43"/>
      <c r="AEK100" s="43"/>
      <c r="AEL100" s="43"/>
      <c r="AEM100" s="43"/>
      <c r="AEN100" s="43"/>
      <c r="AEO100" s="43"/>
      <c r="AEP100" s="43"/>
      <c r="AEQ100" s="43"/>
      <c r="AER100" s="43"/>
      <c r="AES100" s="43"/>
      <c r="AET100" s="43"/>
      <c r="AEU100" s="43"/>
      <c r="AEV100" s="43"/>
      <c r="AEW100" s="43"/>
      <c r="AEX100" s="43"/>
      <c r="AEY100" s="43"/>
      <c r="AEZ100" s="43"/>
      <c r="AFA100" s="43"/>
      <c r="AFB100" s="43"/>
      <c r="AFC100" s="43"/>
      <c r="AFD100" s="43"/>
      <c r="AFE100" s="43"/>
      <c r="AFF100" s="43"/>
      <c r="AFG100" s="43"/>
      <c r="AFH100" s="43"/>
      <c r="AFI100" s="43"/>
      <c r="AFJ100" s="43"/>
      <c r="AFK100" s="43"/>
      <c r="AFL100" s="43"/>
      <c r="AFM100" s="43"/>
      <c r="AFN100" s="43"/>
      <c r="AFO100" s="43"/>
      <c r="AFP100" s="43"/>
      <c r="AFQ100" s="43"/>
      <c r="AFR100" s="43"/>
      <c r="AFS100" s="43"/>
      <c r="AFT100" s="43"/>
      <c r="AFU100" s="43"/>
      <c r="AFV100" s="43"/>
      <c r="AFW100" s="43"/>
      <c r="AFX100" s="43"/>
      <c r="AFY100" s="43"/>
      <c r="AFZ100" s="43"/>
      <c r="AGA100" s="43"/>
      <c r="AGB100" s="43"/>
      <c r="AGC100" s="43"/>
      <c r="AGD100" s="43"/>
      <c r="AGE100" s="43"/>
      <c r="AGF100" s="43"/>
      <c r="AGG100" s="43"/>
      <c r="AGH100" s="43"/>
      <c r="AGI100" s="43"/>
      <c r="AGJ100" s="43"/>
      <c r="AGK100" s="43"/>
      <c r="AGL100" s="43"/>
      <c r="AGM100" s="43"/>
      <c r="AGN100" s="43"/>
      <c r="AGO100" s="43"/>
      <c r="AGP100" s="43"/>
      <c r="AGQ100" s="43"/>
      <c r="AGR100" s="43"/>
      <c r="AGS100" s="43"/>
      <c r="AGT100" s="43"/>
      <c r="AGU100" s="43"/>
      <c r="AGV100" s="43"/>
      <c r="AGW100" s="43"/>
      <c r="AGX100" s="43"/>
      <c r="AGY100" s="43"/>
      <c r="AGZ100" s="43"/>
      <c r="AHA100" s="43"/>
      <c r="AHB100" s="43"/>
      <c r="AHC100" s="43"/>
      <c r="AHD100" s="43"/>
      <c r="AHE100" s="43"/>
      <c r="AHF100" s="43"/>
      <c r="AHG100" s="43"/>
      <c r="AHH100" s="43"/>
      <c r="AHI100" s="43"/>
      <c r="AHJ100" s="43"/>
      <c r="AHK100" s="43"/>
      <c r="AHL100" s="43"/>
      <c r="AHM100" s="43"/>
      <c r="AHN100" s="43"/>
      <c r="AHO100" s="43"/>
      <c r="AHP100" s="43"/>
      <c r="AHQ100" s="43"/>
      <c r="AHR100" s="43"/>
      <c r="AHS100" s="43"/>
      <c r="AHT100" s="43"/>
      <c r="AHU100" s="43"/>
      <c r="AHV100" s="43"/>
      <c r="AHW100" s="43"/>
      <c r="AHX100" s="43"/>
      <c r="AHY100" s="43"/>
      <c r="AHZ100" s="43"/>
      <c r="AIB100" s="43"/>
      <c r="AIC100" s="43"/>
      <c r="AID100" s="43"/>
      <c r="AIE100" s="43"/>
      <c r="AIF100" s="43"/>
      <c r="AIG100" s="43"/>
      <c r="AIH100" s="43"/>
      <c r="AII100" s="43"/>
      <c r="AIJ100" s="43"/>
      <c r="AIK100" s="43"/>
      <c r="AIL100" s="43"/>
      <c r="AIM100" s="43"/>
      <c r="AIN100" s="43"/>
      <c r="AIO100" s="43"/>
      <c r="AIP100" s="43"/>
      <c r="AIQ100" s="43"/>
      <c r="AIR100" s="43"/>
      <c r="AIS100" s="43"/>
      <c r="AIT100" s="43"/>
      <c r="AIU100" s="43"/>
      <c r="AIV100" s="43"/>
      <c r="AIW100" s="43"/>
      <c r="AIX100" s="43"/>
      <c r="AIY100" s="43"/>
      <c r="AIZ100" s="43"/>
      <c r="AJA100" s="43"/>
      <c r="AJB100" s="43"/>
      <c r="AJC100" s="43"/>
      <c r="AJD100" s="43"/>
      <c r="AJE100" s="43"/>
      <c r="AJF100" s="43"/>
      <c r="AJG100" s="43"/>
      <c r="AJH100" s="43"/>
      <c r="AJI100" s="43"/>
      <c r="AJJ100" s="43"/>
      <c r="AJK100" s="43"/>
      <c r="AJL100" s="43"/>
      <c r="AJM100" s="43"/>
      <c r="AJN100" s="43"/>
      <c r="AJO100" s="43"/>
      <c r="AJP100" s="43"/>
      <c r="AJQ100" s="43"/>
      <c r="AJR100" s="43"/>
      <c r="AJS100" s="43"/>
      <c r="AJT100" s="43"/>
      <c r="AJU100" s="43"/>
      <c r="AJV100" s="43"/>
      <c r="AJW100" s="43"/>
      <c r="AJX100" s="43"/>
      <c r="AJY100" s="43"/>
      <c r="AJZ100" s="43"/>
      <c r="AKA100" s="43"/>
      <c r="AKB100" s="43"/>
      <c r="AKC100" s="43"/>
      <c r="AKD100" s="43"/>
      <c r="AKE100" s="43"/>
      <c r="AKF100" s="43"/>
      <c r="AKG100" s="43"/>
      <c r="AKH100" s="43"/>
      <c r="AKI100" s="43"/>
      <c r="AKJ100" s="43"/>
      <c r="AKK100" s="43"/>
      <c r="AKL100" s="43"/>
      <c r="AKM100" s="43"/>
      <c r="AKN100" s="43"/>
      <c r="AKO100" s="43"/>
      <c r="AKP100" s="43"/>
      <c r="AKQ100" s="43"/>
      <c r="AKR100" s="43"/>
      <c r="AKS100" s="43"/>
      <c r="AKT100" s="43"/>
      <c r="AKU100" s="43"/>
      <c r="AKV100" s="43"/>
      <c r="AKW100" s="43"/>
      <c r="AKX100" s="43"/>
      <c r="AKY100" s="43"/>
      <c r="AKZ100" s="43"/>
      <c r="ALA100" s="43"/>
      <c r="ALB100" s="43"/>
      <c r="ALC100" s="43"/>
      <c r="ALD100" s="43"/>
      <c r="ALE100" s="43"/>
      <c r="ALF100" s="43"/>
      <c r="ALG100" s="43"/>
      <c r="ALH100" s="43"/>
      <c r="ALI100" s="43"/>
      <c r="ALJ100" s="43"/>
      <c r="ALK100" s="43"/>
      <c r="ALL100" s="43"/>
      <c r="ALM100" s="43"/>
      <c r="ALN100" s="43"/>
      <c r="ALO100" s="43"/>
      <c r="ALP100" s="43"/>
      <c r="ALQ100" s="43"/>
      <c r="ALR100" s="43"/>
      <c r="ALS100" s="43"/>
      <c r="ALT100" s="43"/>
      <c r="ALU100" s="43"/>
      <c r="ALV100" s="43"/>
      <c r="ALW100" s="43"/>
      <c r="ALX100" s="43"/>
      <c r="ALY100" s="43"/>
      <c r="ALZ100" s="43"/>
      <c r="AMA100" s="43"/>
      <c r="AMB100" s="43"/>
      <c r="AMC100" s="43"/>
      <c r="AMD100" s="43"/>
      <c r="AME100" s="43"/>
      <c r="AMF100" s="43"/>
      <c r="AMG100" s="43"/>
      <c r="AMH100" s="43"/>
      <c r="AMI100" s="43"/>
      <c r="AMJ100" s="43"/>
      <c r="AMK100" s="43"/>
      <c r="AML100" s="43"/>
      <c r="AMM100" s="43"/>
      <c r="AMN100" s="43"/>
      <c r="AMO100" s="43"/>
      <c r="AMP100" s="43"/>
      <c r="AMQ100" s="43"/>
      <c r="AMR100" s="43"/>
      <c r="AMS100" s="43"/>
      <c r="AMT100" s="43"/>
      <c r="AMU100" s="43"/>
      <c r="AMV100" s="43"/>
      <c r="AMW100" s="43"/>
      <c r="AMX100" s="43"/>
      <c r="AMY100" s="43"/>
      <c r="AMZ100" s="43"/>
      <c r="ANA100" s="43"/>
      <c r="ANB100" s="43"/>
      <c r="ANC100" s="43"/>
      <c r="AND100" s="43"/>
      <c r="ANE100" s="43"/>
      <c r="ANF100" s="43"/>
      <c r="ANG100" s="43"/>
      <c r="ANH100" s="43"/>
      <c r="ANI100" s="43"/>
      <c r="ANJ100" s="43"/>
      <c r="ANK100" s="43"/>
      <c r="ANL100" s="43"/>
      <c r="ANM100" s="43"/>
      <c r="ANN100" s="43"/>
      <c r="ANO100" s="43"/>
      <c r="ANP100" s="43"/>
      <c r="ANQ100" s="43"/>
      <c r="ANR100" s="43"/>
      <c r="ANS100" s="43"/>
      <c r="ANT100" s="43"/>
      <c r="ANU100" s="43"/>
      <c r="ANV100" s="43"/>
      <c r="ANW100" s="43"/>
      <c r="ANX100" s="43"/>
      <c r="ANY100" s="43"/>
      <c r="ANZ100" s="43"/>
      <c r="AOA100" s="43"/>
      <c r="AOB100" s="43"/>
      <c r="AOC100" s="43"/>
      <c r="AOD100" s="43"/>
      <c r="AOE100" s="43"/>
      <c r="AOF100" s="43"/>
      <c r="AOG100" s="43"/>
      <c r="AOH100" s="43"/>
      <c r="AOI100" s="43"/>
      <c r="AOJ100" s="43"/>
      <c r="AOK100" s="43"/>
      <c r="AOL100" s="43"/>
      <c r="AOM100" s="43"/>
      <c r="AON100" s="43"/>
      <c r="AOO100" s="43"/>
      <c r="AOP100" s="43"/>
      <c r="AOQ100" s="43"/>
      <c r="AOR100" s="43"/>
      <c r="AOS100" s="43"/>
      <c r="AOT100" s="43"/>
      <c r="AOU100" s="43"/>
      <c r="AOV100" s="43"/>
      <c r="AOW100" s="43"/>
      <c r="AOX100" s="43"/>
      <c r="AOY100" s="43"/>
      <c r="AOZ100" s="43"/>
      <c r="APA100" s="43"/>
      <c r="APB100" s="43"/>
      <c r="APC100" s="43"/>
      <c r="APD100" s="43"/>
      <c r="APE100" s="43"/>
      <c r="APF100" s="43"/>
      <c r="APG100" s="43"/>
      <c r="APH100" s="43"/>
      <c r="API100" s="43"/>
      <c r="APJ100" s="43"/>
      <c r="APK100" s="43"/>
      <c r="APL100" s="43"/>
      <c r="APM100" s="43"/>
      <c r="APN100" s="43"/>
      <c r="APO100" s="43"/>
      <c r="APP100" s="43"/>
      <c r="APQ100" s="43"/>
      <c r="APR100" s="43"/>
      <c r="APS100" s="43"/>
      <c r="APT100" s="43"/>
      <c r="APU100" s="43"/>
      <c r="APV100" s="43"/>
      <c r="APW100" s="43"/>
      <c r="APX100" s="43"/>
      <c r="APY100" s="43"/>
      <c r="APZ100" s="43"/>
      <c r="AQA100" s="43"/>
      <c r="AQB100" s="43"/>
      <c r="AQC100" s="43"/>
      <c r="AQD100" s="43"/>
      <c r="AQE100" s="43"/>
      <c r="AQF100" s="43"/>
      <c r="AQG100" s="43"/>
      <c r="AQH100" s="43"/>
      <c r="AQI100" s="43"/>
      <c r="AQJ100" s="43"/>
      <c r="AQK100" s="43"/>
      <c r="AQL100" s="43"/>
      <c r="AQM100" s="43"/>
      <c r="AQN100" s="43"/>
      <c r="AQO100" s="43"/>
      <c r="AQP100" s="43"/>
      <c r="AQQ100" s="43"/>
      <c r="AQR100" s="43"/>
      <c r="AQS100" s="43"/>
      <c r="AQT100" s="43"/>
      <c r="AQU100" s="43"/>
      <c r="AQV100" s="43"/>
      <c r="AQW100" s="43"/>
      <c r="AQX100" s="43"/>
      <c r="AQY100" s="43"/>
      <c r="AQZ100" s="43"/>
      <c r="ARA100" s="43"/>
      <c r="ARB100" s="43"/>
      <c r="ARC100" s="43"/>
      <c r="ARD100" s="43"/>
      <c r="ARE100" s="43"/>
      <c r="ARF100" s="43"/>
      <c r="ARG100" s="43"/>
      <c r="ARH100" s="43"/>
      <c r="ARI100" s="43"/>
      <c r="ARJ100" s="43"/>
      <c r="ARK100" s="43"/>
      <c r="ARL100" s="43"/>
      <c r="ARM100" s="43"/>
      <c r="ARN100" s="43"/>
      <c r="ARO100" s="43"/>
      <c r="ARP100" s="43"/>
      <c r="ARQ100" s="43"/>
      <c r="ARR100" s="43"/>
      <c r="ARS100" s="43"/>
      <c r="ART100" s="43"/>
      <c r="ARU100" s="43"/>
      <c r="ARV100" s="43"/>
      <c r="ARX100" s="43"/>
      <c r="ARY100" s="43"/>
      <c r="ARZ100" s="43"/>
      <c r="ASA100" s="43"/>
      <c r="ASB100" s="43"/>
      <c r="ASC100" s="43"/>
      <c r="ASD100" s="43"/>
      <c r="ASE100" s="43"/>
      <c r="ASF100" s="43"/>
      <c r="ASG100" s="43"/>
      <c r="ASH100" s="43"/>
      <c r="ASI100" s="43"/>
      <c r="ASJ100" s="43"/>
      <c r="ASK100" s="43"/>
      <c r="ASL100" s="43"/>
      <c r="ASM100" s="43"/>
      <c r="ASN100" s="43"/>
      <c r="ASO100" s="43"/>
      <c r="ASP100" s="43"/>
      <c r="ASQ100" s="43"/>
      <c r="ASR100" s="43"/>
      <c r="ASS100" s="43"/>
      <c r="AST100" s="43"/>
      <c r="ASU100" s="43"/>
      <c r="ASV100" s="43"/>
      <c r="ASW100" s="43"/>
      <c r="ASX100" s="43"/>
      <c r="ASY100" s="43"/>
      <c r="ASZ100" s="43"/>
      <c r="ATA100" s="43"/>
      <c r="ATB100" s="43"/>
      <c r="ATC100" s="43"/>
      <c r="ATD100" s="43"/>
      <c r="ATE100" s="43"/>
      <c r="ATF100" s="43"/>
      <c r="ATG100" s="43"/>
      <c r="ATH100" s="43"/>
      <c r="ATI100" s="43"/>
      <c r="ATJ100" s="43"/>
      <c r="ATK100" s="43"/>
      <c r="ATL100" s="43"/>
      <c r="ATM100" s="43"/>
      <c r="ATN100" s="43"/>
      <c r="ATO100" s="43"/>
      <c r="ATP100" s="43"/>
      <c r="ATQ100" s="43"/>
      <c r="ATR100" s="43"/>
      <c r="ATS100" s="43"/>
      <c r="ATT100" s="43"/>
      <c r="ATU100" s="43"/>
      <c r="ATV100" s="43"/>
      <c r="ATW100" s="43"/>
      <c r="ATX100" s="43"/>
      <c r="ATY100" s="43"/>
      <c r="ATZ100" s="43"/>
      <c r="AUA100" s="43"/>
      <c r="AUB100" s="43"/>
      <c r="AUC100" s="43"/>
      <c r="AUD100" s="43"/>
      <c r="AUE100" s="43"/>
      <c r="AUF100" s="43"/>
      <c r="AUG100" s="43"/>
      <c r="AUH100" s="43"/>
      <c r="AUI100" s="43"/>
      <c r="AUJ100" s="43"/>
      <c r="AUK100" s="43"/>
      <c r="AUL100" s="43"/>
      <c r="AUM100" s="43"/>
      <c r="AUN100" s="43"/>
      <c r="AUO100" s="43"/>
      <c r="AUP100" s="43"/>
      <c r="AUQ100" s="43"/>
      <c r="AUR100" s="43"/>
      <c r="AUS100" s="43"/>
      <c r="AUT100" s="43"/>
      <c r="AUU100" s="43"/>
      <c r="AUV100" s="43"/>
      <c r="AUW100" s="43"/>
      <c r="AUX100" s="43"/>
      <c r="AUY100" s="43"/>
      <c r="AUZ100" s="43"/>
      <c r="AVA100" s="43"/>
      <c r="AVB100" s="43"/>
      <c r="AVC100" s="43"/>
      <c r="AVD100" s="43"/>
      <c r="AVE100" s="43"/>
      <c r="AVF100" s="43"/>
      <c r="AVG100" s="43"/>
      <c r="AVH100" s="43"/>
      <c r="AVI100" s="43"/>
      <c r="AVJ100" s="43"/>
      <c r="AVK100" s="43"/>
      <c r="AVL100" s="43"/>
      <c r="AVM100" s="43"/>
      <c r="AVN100" s="43"/>
      <c r="AVO100" s="43"/>
      <c r="AVP100" s="43"/>
      <c r="AVQ100" s="43"/>
      <c r="AVR100" s="43"/>
      <c r="AVS100" s="43"/>
      <c r="AVT100" s="43"/>
      <c r="AVU100" s="43"/>
      <c r="AVV100" s="43"/>
      <c r="AVW100" s="43"/>
      <c r="AVX100" s="43"/>
      <c r="AVY100" s="43"/>
      <c r="AVZ100" s="43"/>
      <c r="AWA100" s="43"/>
      <c r="AWB100" s="43"/>
      <c r="AWC100" s="43"/>
      <c r="AWD100" s="43"/>
      <c r="AWE100" s="43"/>
      <c r="AWF100" s="43"/>
      <c r="AWG100" s="43"/>
      <c r="AWH100" s="43"/>
      <c r="AWI100" s="43"/>
      <c r="AWJ100" s="43"/>
      <c r="AWK100" s="43"/>
      <c r="AWL100" s="43"/>
      <c r="AWM100" s="43"/>
      <c r="AWN100" s="43"/>
      <c r="AWO100" s="43"/>
      <c r="AWP100" s="43"/>
      <c r="AWQ100" s="43"/>
      <c r="AWR100" s="43"/>
      <c r="AWS100" s="43"/>
      <c r="AWT100" s="43"/>
      <c r="AWU100" s="43"/>
      <c r="AWV100" s="43"/>
      <c r="AWW100" s="43"/>
      <c r="AWX100" s="43"/>
      <c r="AWY100" s="43"/>
      <c r="AWZ100" s="43"/>
      <c r="AXA100" s="43"/>
      <c r="AXB100" s="43"/>
      <c r="AXC100" s="43"/>
      <c r="AXD100" s="43"/>
      <c r="AXE100" s="43"/>
      <c r="AXF100" s="43"/>
      <c r="AXG100" s="43"/>
      <c r="AXH100" s="43"/>
      <c r="AXI100" s="43"/>
      <c r="AXJ100" s="43"/>
      <c r="AXK100" s="43"/>
      <c r="AXL100" s="43"/>
      <c r="AXM100" s="43"/>
      <c r="AXN100" s="43"/>
      <c r="AXO100" s="43"/>
      <c r="AXP100" s="43"/>
      <c r="AXQ100" s="43"/>
      <c r="AXR100" s="43"/>
      <c r="AXS100" s="43"/>
      <c r="AXT100" s="43"/>
      <c r="AXU100" s="43"/>
      <c r="AXV100" s="43"/>
      <c r="AXW100" s="43"/>
      <c r="AXX100" s="43"/>
      <c r="AXY100" s="43"/>
      <c r="AXZ100" s="43"/>
      <c r="AYA100" s="43"/>
      <c r="AYB100" s="43"/>
      <c r="AYC100" s="43"/>
      <c r="AYD100" s="43"/>
      <c r="AYE100" s="43"/>
      <c r="AYF100" s="43"/>
      <c r="AYG100" s="43"/>
      <c r="AYH100" s="43"/>
      <c r="AYI100" s="43"/>
      <c r="AYJ100" s="43"/>
      <c r="AYK100" s="43"/>
      <c r="AYL100" s="43"/>
      <c r="AYM100" s="43"/>
      <c r="AYN100" s="43"/>
      <c r="AYO100" s="43"/>
      <c r="AYP100" s="43"/>
      <c r="AYQ100" s="43"/>
      <c r="AYR100" s="43"/>
      <c r="AYS100" s="43"/>
      <c r="AYT100" s="43"/>
      <c r="AYU100" s="43"/>
      <c r="AYV100" s="43"/>
      <c r="AYW100" s="43"/>
      <c r="AYX100" s="43"/>
      <c r="AYY100" s="43"/>
      <c r="AYZ100" s="43"/>
      <c r="AZA100" s="43"/>
      <c r="AZB100" s="43"/>
      <c r="AZC100" s="43"/>
      <c r="AZD100" s="43"/>
      <c r="AZE100" s="43"/>
      <c r="AZF100" s="43"/>
      <c r="AZG100" s="43"/>
      <c r="AZH100" s="43"/>
      <c r="AZI100" s="43"/>
      <c r="AZJ100" s="43"/>
      <c r="AZK100" s="43"/>
      <c r="AZL100" s="43"/>
      <c r="AZM100" s="43"/>
      <c r="AZN100" s="43"/>
      <c r="AZO100" s="43"/>
      <c r="AZP100" s="43"/>
      <c r="AZQ100" s="43"/>
      <c r="AZR100" s="43"/>
      <c r="AZS100" s="43"/>
      <c r="AZT100" s="43"/>
      <c r="AZU100" s="43"/>
      <c r="AZV100" s="43"/>
      <c r="AZW100" s="43"/>
      <c r="AZX100" s="43"/>
      <c r="AZY100" s="43"/>
      <c r="AZZ100" s="43"/>
      <c r="BAA100" s="43"/>
      <c r="BAB100" s="43"/>
      <c r="BAC100" s="43"/>
      <c r="BAD100" s="43"/>
      <c r="BAE100" s="43"/>
      <c r="BAF100" s="43"/>
      <c r="BAG100" s="43"/>
      <c r="BAH100" s="43"/>
      <c r="BAI100" s="43"/>
      <c r="BAJ100" s="43"/>
      <c r="BAK100" s="43"/>
      <c r="BAL100" s="43"/>
      <c r="BAM100" s="43"/>
      <c r="BAN100" s="43"/>
      <c r="BAO100" s="43"/>
      <c r="BAP100" s="43"/>
      <c r="BAQ100" s="43"/>
      <c r="BAR100" s="43"/>
      <c r="BAS100" s="43"/>
      <c r="BAT100" s="43"/>
      <c r="BAU100" s="43"/>
      <c r="BAV100" s="43"/>
      <c r="BAW100" s="43"/>
      <c r="BAX100" s="43"/>
      <c r="BAY100" s="43"/>
      <c r="BAZ100" s="43"/>
      <c r="BBA100" s="43"/>
      <c r="BBB100" s="43"/>
      <c r="BBC100" s="43"/>
      <c r="BBD100" s="43"/>
      <c r="BBE100" s="43"/>
      <c r="BBF100" s="43"/>
      <c r="BBG100" s="43"/>
      <c r="BBH100" s="43"/>
      <c r="BBI100" s="43"/>
      <c r="BBJ100" s="43"/>
      <c r="BBK100" s="43"/>
      <c r="BBL100" s="43"/>
      <c r="BBM100" s="43"/>
      <c r="BBN100" s="43"/>
      <c r="BBO100" s="43"/>
      <c r="BBP100" s="43"/>
      <c r="BBQ100" s="43"/>
      <c r="BBR100" s="43"/>
      <c r="BBT100" s="43"/>
      <c r="BBU100" s="43"/>
      <c r="BBV100" s="43"/>
      <c r="BBW100" s="43"/>
      <c r="BBX100" s="43"/>
      <c r="BBY100" s="43"/>
      <c r="BBZ100" s="43"/>
      <c r="BCA100" s="43"/>
      <c r="BCB100" s="43"/>
      <c r="BCC100" s="43"/>
      <c r="BCD100" s="43"/>
      <c r="BCE100" s="43"/>
      <c r="BCF100" s="43"/>
      <c r="BCG100" s="43"/>
      <c r="BCH100" s="43"/>
      <c r="BCI100" s="43"/>
      <c r="BCJ100" s="43"/>
      <c r="BCK100" s="43"/>
      <c r="BCL100" s="43"/>
      <c r="BCM100" s="43"/>
      <c r="BCN100" s="43"/>
      <c r="BCO100" s="43"/>
      <c r="BCP100" s="43"/>
      <c r="BCQ100" s="43"/>
      <c r="BCR100" s="43"/>
      <c r="BCS100" s="43"/>
      <c r="BCT100" s="43"/>
      <c r="BCU100" s="43"/>
      <c r="BCV100" s="43"/>
      <c r="BCW100" s="43"/>
      <c r="BCX100" s="43"/>
      <c r="BCY100" s="43"/>
      <c r="BCZ100" s="43"/>
      <c r="BDA100" s="43"/>
      <c r="BDB100" s="43"/>
      <c r="BDC100" s="43"/>
      <c r="BDD100" s="43"/>
      <c r="BDE100" s="43"/>
      <c r="BDF100" s="43"/>
      <c r="BDG100" s="43"/>
      <c r="BDH100" s="43"/>
      <c r="BDI100" s="43"/>
      <c r="BDJ100" s="43"/>
      <c r="BDK100" s="43"/>
      <c r="BDL100" s="43"/>
      <c r="BDM100" s="43"/>
      <c r="BDN100" s="43"/>
      <c r="BDO100" s="43"/>
      <c r="BDP100" s="43"/>
      <c r="BDQ100" s="43"/>
      <c r="BDR100" s="43"/>
      <c r="BDS100" s="43"/>
      <c r="BDT100" s="43"/>
      <c r="BDU100" s="43"/>
      <c r="BDV100" s="43"/>
      <c r="BDW100" s="43"/>
      <c r="BDX100" s="43"/>
      <c r="BDY100" s="43"/>
      <c r="BDZ100" s="43"/>
      <c r="BEA100" s="43"/>
      <c r="BEB100" s="43"/>
      <c r="BEC100" s="43"/>
      <c r="BED100" s="43"/>
      <c r="BEE100" s="43"/>
      <c r="BEF100" s="43"/>
      <c r="BEG100" s="43"/>
      <c r="BEH100" s="43"/>
      <c r="BEI100" s="43"/>
      <c r="BEJ100" s="43"/>
      <c r="BEK100" s="43"/>
      <c r="BEL100" s="43"/>
      <c r="BEM100" s="43"/>
      <c r="BEN100" s="43"/>
      <c r="BEO100" s="43"/>
      <c r="BEP100" s="43"/>
      <c r="BEQ100" s="43"/>
      <c r="BER100" s="43"/>
      <c r="BES100" s="43"/>
      <c r="BET100" s="43"/>
      <c r="BEU100" s="43"/>
      <c r="BEV100" s="43"/>
      <c r="BEW100" s="43"/>
      <c r="BEX100" s="43"/>
      <c r="BEY100" s="43"/>
      <c r="BEZ100" s="43"/>
      <c r="BFA100" s="43"/>
      <c r="BFB100" s="43"/>
      <c r="BFC100" s="43"/>
      <c r="BFD100" s="43"/>
      <c r="BFE100" s="43"/>
      <c r="BFF100" s="43"/>
      <c r="BFG100" s="43"/>
      <c r="BFH100" s="43"/>
      <c r="BFI100" s="43"/>
      <c r="BFJ100" s="43"/>
      <c r="BFK100" s="43"/>
      <c r="BFL100" s="43"/>
      <c r="BFM100" s="43"/>
      <c r="BFN100" s="43"/>
      <c r="BFO100" s="43"/>
      <c r="BFP100" s="43"/>
      <c r="BFQ100" s="43"/>
      <c r="BFR100" s="43"/>
      <c r="BFS100" s="43"/>
      <c r="BFT100" s="43"/>
      <c r="BFU100" s="43"/>
      <c r="BFV100" s="43"/>
      <c r="BFW100" s="43"/>
      <c r="BFX100" s="43"/>
      <c r="BFY100" s="43"/>
      <c r="BFZ100" s="43"/>
      <c r="BGA100" s="43"/>
      <c r="BGB100" s="43"/>
      <c r="BGC100" s="43"/>
      <c r="BGD100" s="43"/>
      <c r="BGE100" s="43"/>
      <c r="BGF100" s="43"/>
      <c r="BGG100" s="43"/>
      <c r="BGH100" s="43"/>
      <c r="BGI100" s="43"/>
      <c r="BGJ100" s="43"/>
      <c r="BGK100" s="43"/>
      <c r="BGL100" s="43"/>
      <c r="BGM100" s="43"/>
      <c r="BGN100" s="43"/>
      <c r="BGO100" s="43"/>
      <c r="BGP100" s="43"/>
      <c r="BGQ100" s="43"/>
      <c r="BGR100" s="43"/>
      <c r="BGS100" s="43"/>
      <c r="BGT100" s="43"/>
      <c r="BGU100" s="43"/>
      <c r="BGV100" s="43"/>
      <c r="BGW100" s="43"/>
      <c r="BGX100" s="43"/>
      <c r="BGY100" s="43"/>
      <c r="BGZ100" s="43"/>
      <c r="BHA100" s="43"/>
      <c r="BHB100" s="43"/>
      <c r="BHC100" s="43"/>
      <c r="BHD100" s="43"/>
      <c r="BHE100" s="43"/>
      <c r="BHF100" s="43"/>
      <c r="BHG100" s="43"/>
      <c r="BHH100" s="43"/>
      <c r="BHI100" s="43"/>
      <c r="BHJ100" s="43"/>
      <c r="BHK100" s="43"/>
      <c r="BHL100" s="43"/>
      <c r="BHM100" s="43"/>
      <c r="BHN100" s="43"/>
      <c r="BHO100" s="43"/>
      <c r="BHP100" s="43"/>
      <c r="BHQ100" s="43"/>
      <c r="BHR100" s="43"/>
      <c r="BHS100" s="43"/>
      <c r="BHT100" s="43"/>
      <c r="BHU100" s="43"/>
      <c r="BHV100" s="43"/>
      <c r="BHW100" s="43"/>
      <c r="BHX100" s="43"/>
      <c r="BHY100" s="43"/>
      <c r="BHZ100" s="43"/>
      <c r="BIA100" s="43"/>
      <c r="BIB100" s="43"/>
      <c r="BIC100" s="43"/>
      <c r="BID100" s="43"/>
      <c r="BIE100" s="43"/>
      <c r="BIF100" s="43"/>
      <c r="BIG100" s="43"/>
      <c r="BIH100" s="43"/>
      <c r="BII100" s="43"/>
      <c r="BIJ100" s="43"/>
      <c r="BIK100" s="43"/>
      <c r="BIL100" s="43"/>
      <c r="BIM100" s="43"/>
      <c r="BIN100" s="43"/>
      <c r="BIO100" s="43"/>
      <c r="BIP100" s="43"/>
      <c r="BIQ100" s="43"/>
      <c r="BIR100" s="43"/>
      <c r="BIS100" s="43"/>
      <c r="BIT100" s="43"/>
      <c r="BIU100" s="43"/>
      <c r="BIV100" s="43"/>
      <c r="BIW100" s="43"/>
      <c r="BIX100" s="43"/>
      <c r="BIY100" s="43"/>
      <c r="BIZ100" s="43"/>
      <c r="BJA100" s="43"/>
      <c r="BJB100" s="43"/>
      <c r="BJC100" s="43"/>
      <c r="BJD100" s="43"/>
      <c r="BJE100" s="43"/>
      <c r="BJF100" s="43"/>
      <c r="BJG100" s="43"/>
      <c r="BJH100" s="43"/>
      <c r="BJI100" s="43"/>
      <c r="BJJ100" s="43"/>
      <c r="BJK100" s="43"/>
      <c r="BJL100" s="43"/>
      <c r="BJM100" s="43"/>
      <c r="BJN100" s="43"/>
      <c r="BJO100" s="43"/>
      <c r="BJP100" s="43"/>
      <c r="BJQ100" s="43"/>
      <c r="BJR100" s="43"/>
      <c r="BJS100" s="43"/>
      <c r="BJT100" s="43"/>
      <c r="BJU100" s="43"/>
      <c r="BJV100" s="43"/>
      <c r="BJW100" s="43"/>
      <c r="BJX100" s="43"/>
      <c r="BJY100" s="43"/>
      <c r="BJZ100" s="43"/>
      <c r="BKA100" s="43"/>
      <c r="BKB100" s="43"/>
      <c r="BKC100" s="43"/>
      <c r="BKD100" s="43"/>
      <c r="BKE100" s="43"/>
      <c r="BKF100" s="43"/>
      <c r="BKG100" s="43"/>
      <c r="BKH100" s="43"/>
      <c r="BKI100" s="43"/>
      <c r="BKJ100" s="43"/>
      <c r="BKK100" s="43"/>
      <c r="BKL100" s="43"/>
      <c r="BKM100" s="43"/>
      <c r="BKN100" s="43"/>
      <c r="BKO100" s="43"/>
      <c r="BKP100" s="43"/>
      <c r="BKQ100" s="43"/>
      <c r="BKR100" s="43"/>
      <c r="BKS100" s="43"/>
      <c r="BKT100" s="43"/>
      <c r="BKU100" s="43"/>
      <c r="BKV100" s="43"/>
      <c r="BKW100" s="43"/>
      <c r="BKX100" s="43"/>
      <c r="BKY100" s="43"/>
      <c r="BKZ100" s="43"/>
      <c r="BLA100" s="43"/>
      <c r="BLB100" s="43"/>
      <c r="BLC100" s="43"/>
      <c r="BLD100" s="43"/>
      <c r="BLE100" s="43"/>
      <c r="BLF100" s="43"/>
      <c r="BLG100" s="43"/>
      <c r="BLH100" s="43"/>
      <c r="BLI100" s="43"/>
      <c r="BLJ100" s="43"/>
      <c r="BLK100" s="43"/>
      <c r="BLL100" s="43"/>
      <c r="BLM100" s="43"/>
      <c r="BLN100" s="43"/>
      <c r="BLP100" s="43"/>
      <c r="BLQ100" s="43"/>
      <c r="BLR100" s="43"/>
      <c r="BLS100" s="43"/>
      <c r="BLT100" s="43"/>
      <c r="BLU100" s="43"/>
      <c r="BLV100" s="43"/>
      <c r="BLW100" s="43"/>
      <c r="BLX100" s="43"/>
      <c r="BLY100" s="43"/>
      <c r="BLZ100" s="43"/>
      <c r="BMA100" s="43"/>
      <c r="BMB100" s="43"/>
      <c r="BMC100" s="43"/>
      <c r="BMD100" s="43"/>
      <c r="BME100" s="43"/>
      <c r="BMF100" s="43"/>
      <c r="BMG100" s="43"/>
      <c r="BMH100" s="43"/>
      <c r="BMI100" s="43"/>
      <c r="BMJ100" s="43"/>
      <c r="BMK100" s="43"/>
      <c r="BML100" s="43"/>
      <c r="BMM100" s="43"/>
      <c r="BMN100" s="43"/>
      <c r="BMO100" s="43"/>
      <c r="BMP100" s="43"/>
      <c r="BMQ100" s="43"/>
      <c r="BMR100" s="43"/>
      <c r="BMS100" s="43"/>
      <c r="BMT100" s="43"/>
      <c r="BMU100" s="43"/>
      <c r="BMV100" s="43"/>
      <c r="BMW100" s="43"/>
      <c r="BMX100" s="43"/>
      <c r="BMY100" s="43"/>
      <c r="BMZ100" s="43"/>
      <c r="BNA100" s="43"/>
      <c r="BNB100" s="43"/>
      <c r="BNC100" s="43"/>
      <c r="BND100" s="43"/>
      <c r="BNE100" s="43"/>
      <c r="BNF100" s="43"/>
      <c r="BNG100" s="43"/>
      <c r="BNH100" s="43"/>
      <c r="BNI100" s="43"/>
      <c r="BNJ100" s="43"/>
      <c r="BNK100" s="43"/>
      <c r="BNL100" s="43"/>
      <c r="BNM100" s="43"/>
      <c r="BNN100" s="43"/>
      <c r="BNO100" s="43"/>
      <c r="BNP100" s="43"/>
      <c r="BNQ100" s="43"/>
      <c r="BNR100" s="43"/>
      <c r="BNS100" s="43"/>
      <c r="BNT100" s="43"/>
      <c r="BNU100" s="43"/>
      <c r="BNV100" s="43"/>
      <c r="BNW100" s="43"/>
      <c r="BNX100" s="43"/>
      <c r="BNY100" s="43"/>
      <c r="BNZ100" s="43"/>
      <c r="BOA100" s="43"/>
      <c r="BOB100" s="43"/>
      <c r="BOC100" s="43"/>
      <c r="BOD100" s="43"/>
      <c r="BOE100" s="43"/>
      <c r="BOF100" s="43"/>
      <c r="BOG100" s="43"/>
      <c r="BOH100" s="43"/>
      <c r="BOI100" s="43"/>
      <c r="BOJ100" s="43"/>
      <c r="BOK100" s="43"/>
      <c r="BOL100" s="43"/>
      <c r="BOM100" s="43"/>
      <c r="BON100" s="43"/>
      <c r="BOO100" s="43"/>
      <c r="BOP100" s="43"/>
      <c r="BOQ100" s="43"/>
      <c r="BOR100" s="43"/>
      <c r="BOS100" s="43"/>
      <c r="BOT100" s="43"/>
      <c r="BOU100" s="43"/>
      <c r="BOV100" s="43"/>
      <c r="BOW100" s="43"/>
      <c r="BOX100" s="43"/>
      <c r="BOY100" s="43"/>
      <c r="BOZ100" s="43"/>
      <c r="BPA100" s="43"/>
      <c r="BPB100" s="43"/>
      <c r="BPC100" s="43"/>
      <c r="BPD100" s="43"/>
      <c r="BPE100" s="43"/>
      <c r="BPF100" s="43"/>
      <c r="BPG100" s="43"/>
      <c r="BPH100" s="43"/>
      <c r="BPI100" s="43"/>
      <c r="BPJ100" s="43"/>
      <c r="BPK100" s="43"/>
      <c r="BPL100" s="43"/>
      <c r="BPM100" s="43"/>
      <c r="BPN100" s="43"/>
      <c r="BPO100" s="43"/>
      <c r="BPP100" s="43"/>
      <c r="BPQ100" s="43"/>
      <c r="BPR100" s="43"/>
      <c r="BPS100" s="43"/>
      <c r="BPT100" s="43"/>
      <c r="BPU100" s="43"/>
      <c r="BPV100" s="43"/>
      <c r="BPW100" s="43"/>
      <c r="BPX100" s="43"/>
      <c r="BPY100" s="43"/>
      <c r="BPZ100" s="43"/>
      <c r="BQA100" s="43"/>
      <c r="BQB100" s="43"/>
      <c r="BQC100" s="43"/>
      <c r="BQD100" s="43"/>
      <c r="BQE100" s="43"/>
      <c r="BQF100" s="43"/>
      <c r="BQG100" s="43"/>
      <c r="BQH100" s="43"/>
      <c r="BQI100" s="43"/>
      <c r="BQJ100" s="43"/>
      <c r="BQK100" s="43"/>
      <c r="BQL100" s="43"/>
      <c r="BQM100" s="43"/>
      <c r="BQN100" s="43"/>
      <c r="BQO100" s="43"/>
      <c r="BQP100" s="43"/>
      <c r="BQQ100" s="43"/>
      <c r="BQR100" s="43"/>
      <c r="BQS100" s="43"/>
      <c r="BQT100" s="43"/>
      <c r="BQU100" s="43"/>
      <c r="BQV100" s="43"/>
      <c r="BQW100" s="43"/>
      <c r="BQX100" s="43"/>
      <c r="BQY100" s="43"/>
      <c r="BQZ100" s="43"/>
      <c r="BRA100" s="43"/>
      <c r="BRB100" s="43"/>
      <c r="BRC100" s="43"/>
      <c r="BRD100" s="43"/>
      <c r="BRE100" s="43"/>
      <c r="BRF100" s="43"/>
      <c r="BRG100" s="43"/>
      <c r="BRH100" s="43"/>
      <c r="BRI100" s="43"/>
      <c r="BRJ100" s="43"/>
      <c r="BRK100" s="43"/>
      <c r="BRL100" s="43"/>
      <c r="BRM100" s="43"/>
      <c r="BRN100" s="43"/>
      <c r="BRO100" s="43"/>
      <c r="BRP100" s="43"/>
      <c r="BRQ100" s="43"/>
      <c r="BRR100" s="43"/>
      <c r="BRS100" s="43"/>
      <c r="BRT100" s="43"/>
      <c r="BRU100" s="43"/>
      <c r="BRV100" s="43"/>
      <c r="BRW100" s="43"/>
      <c r="BRX100" s="43"/>
      <c r="BRY100" s="43"/>
      <c r="BRZ100" s="43"/>
      <c r="BSA100" s="43"/>
      <c r="BSB100" s="43"/>
      <c r="BSC100" s="43"/>
      <c r="BSD100" s="43"/>
      <c r="BSE100" s="43"/>
      <c r="BSF100" s="43"/>
      <c r="BSG100" s="43"/>
      <c r="BSH100" s="43"/>
      <c r="BSI100" s="43"/>
      <c r="BSJ100" s="43"/>
      <c r="BSK100" s="43"/>
      <c r="BSL100" s="43"/>
      <c r="BSM100" s="43"/>
      <c r="BSN100" s="43"/>
      <c r="BSO100" s="43"/>
      <c r="BSP100" s="43"/>
      <c r="BSQ100" s="43"/>
      <c r="BSR100" s="43"/>
      <c r="BSS100" s="43"/>
      <c r="BST100" s="43"/>
      <c r="BSU100" s="43"/>
      <c r="BSV100" s="43"/>
      <c r="BSW100" s="43"/>
      <c r="BSX100" s="43"/>
      <c r="BSY100" s="43"/>
      <c r="BSZ100" s="43"/>
      <c r="BTA100" s="43"/>
      <c r="BTB100" s="43"/>
      <c r="BTC100" s="43"/>
      <c r="BTD100" s="43"/>
      <c r="BTE100" s="43"/>
      <c r="BTF100" s="43"/>
      <c r="BTG100" s="43"/>
      <c r="BTH100" s="43"/>
      <c r="BTI100" s="43"/>
      <c r="BTJ100" s="43"/>
      <c r="BTK100" s="43"/>
      <c r="BTL100" s="43"/>
      <c r="BTM100" s="43"/>
      <c r="BTN100" s="43"/>
      <c r="BTO100" s="43"/>
      <c r="BTP100" s="43"/>
      <c r="BTQ100" s="43"/>
      <c r="BTR100" s="43"/>
      <c r="BTS100" s="43"/>
      <c r="BTT100" s="43"/>
      <c r="BTU100" s="43"/>
      <c r="BTV100" s="43"/>
      <c r="BTW100" s="43"/>
      <c r="BTX100" s="43"/>
      <c r="BTY100" s="43"/>
      <c r="BTZ100" s="43"/>
      <c r="BUA100" s="43"/>
      <c r="BUB100" s="43"/>
      <c r="BUC100" s="43"/>
      <c r="BUD100" s="43"/>
      <c r="BUE100" s="43"/>
      <c r="BUF100" s="43"/>
      <c r="BUG100" s="43"/>
      <c r="BUH100" s="43"/>
      <c r="BUI100" s="43"/>
      <c r="BUJ100" s="43"/>
      <c r="BUK100" s="43"/>
      <c r="BUL100" s="43"/>
      <c r="BUM100" s="43"/>
      <c r="BUN100" s="43"/>
      <c r="BUO100" s="43"/>
      <c r="BUP100" s="43"/>
      <c r="BUQ100" s="43"/>
      <c r="BUR100" s="43"/>
      <c r="BUS100" s="43"/>
      <c r="BUT100" s="43"/>
      <c r="BUU100" s="43"/>
      <c r="BUV100" s="43"/>
      <c r="BUW100" s="43"/>
      <c r="BUX100" s="43"/>
      <c r="BUY100" s="43"/>
      <c r="BUZ100" s="43"/>
      <c r="BVA100" s="43"/>
      <c r="BVB100" s="43"/>
      <c r="BVC100" s="43"/>
      <c r="BVD100" s="43"/>
      <c r="BVE100" s="43"/>
      <c r="BVF100" s="43"/>
      <c r="BVG100" s="43"/>
      <c r="BVH100" s="43"/>
      <c r="BVI100" s="43"/>
      <c r="BVJ100" s="43"/>
      <c r="BVL100" s="43"/>
      <c r="BVM100" s="43"/>
      <c r="BVN100" s="43"/>
      <c r="BVO100" s="43"/>
      <c r="BVP100" s="43"/>
      <c r="BVQ100" s="43"/>
      <c r="BVR100" s="43"/>
      <c r="BVS100" s="43"/>
      <c r="BVT100" s="43"/>
      <c r="BVU100" s="43"/>
      <c r="BVV100" s="43"/>
      <c r="BVW100" s="43"/>
      <c r="BVX100" s="43"/>
      <c r="BVY100" s="43"/>
      <c r="BVZ100" s="43"/>
      <c r="BWA100" s="43"/>
      <c r="BWB100" s="43"/>
      <c r="BWC100" s="43"/>
      <c r="BWD100" s="43"/>
      <c r="BWE100" s="43"/>
      <c r="BWF100" s="43"/>
      <c r="BWG100" s="43"/>
      <c r="BWH100" s="43"/>
      <c r="BWI100" s="43"/>
      <c r="BWJ100" s="43"/>
      <c r="BWK100" s="43"/>
      <c r="BWL100" s="43"/>
      <c r="BWM100" s="43"/>
      <c r="BWN100" s="43"/>
      <c r="BWO100" s="43"/>
      <c r="BWP100" s="43"/>
      <c r="BWQ100" s="43"/>
      <c r="BWR100" s="43"/>
      <c r="BWS100" s="43"/>
      <c r="BWT100" s="43"/>
      <c r="BWU100" s="43"/>
      <c r="BWV100" s="43"/>
      <c r="BWW100" s="43"/>
      <c r="BWX100" s="43"/>
      <c r="BWY100" s="43"/>
      <c r="BWZ100" s="43"/>
      <c r="BXA100" s="43"/>
      <c r="BXB100" s="43"/>
      <c r="BXC100" s="43"/>
      <c r="BXD100" s="43"/>
      <c r="BXE100" s="43"/>
      <c r="BXF100" s="43"/>
      <c r="BXG100" s="43"/>
      <c r="BXH100" s="43"/>
      <c r="BXI100" s="43"/>
      <c r="BXJ100" s="43"/>
      <c r="BXK100" s="43"/>
      <c r="BXL100" s="43"/>
      <c r="BXM100" s="43"/>
      <c r="BXN100" s="43"/>
      <c r="BXO100" s="43"/>
      <c r="BXP100" s="43"/>
      <c r="BXQ100" s="43"/>
      <c r="BXR100" s="43"/>
      <c r="BXS100" s="43"/>
      <c r="BXT100" s="43"/>
      <c r="BXU100" s="43"/>
      <c r="BXV100" s="43"/>
      <c r="BXW100" s="43"/>
      <c r="BXX100" s="43"/>
      <c r="BXY100" s="43"/>
      <c r="BXZ100" s="43"/>
      <c r="BYA100" s="43"/>
      <c r="BYB100" s="43"/>
      <c r="BYC100" s="43"/>
      <c r="BYD100" s="43"/>
      <c r="BYE100" s="43"/>
      <c r="BYF100" s="43"/>
      <c r="BYG100" s="43"/>
      <c r="BYH100" s="43"/>
      <c r="BYI100" s="43"/>
      <c r="BYJ100" s="43"/>
      <c r="BYK100" s="43"/>
      <c r="BYL100" s="43"/>
      <c r="BYM100" s="43"/>
      <c r="BYN100" s="43"/>
      <c r="BYO100" s="43"/>
      <c r="BYP100" s="43"/>
      <c r="BYQ100" s="43"/>
      <c r="BYR100" s="43"/>
      <c r="BYS100" s="43"/>
      <c r="BYT100" s="43"/>
      <c r="BYU100" s="43"/>
      <c r="BYV100" s="43"/>
      <c r="BYW100" s="43"/>
      <c r="BYX100" s="43"/>
      <c r="BYY100" s="43"/>
      <c r="BYZ100" s="43"/>
      <c r="BZA100" s="43"/>
      <c r="BZB100" s="43"/>
      <c r="BZC100" s="43"/>
      <c r="BZD100" s="43"/>
      <c r="BZE100" s="43"/>
      <c r="BZF100" s="43"/>
      <c r="BZG100" s="43"/>
      <c r="BZH100" s="43"/>
      <c r="BZI100" s="43"/>
      <c r="BZJ100" s="43"/>
      <c r="BZK100" s="43"/>
      <c r="BZL100" s="43"/>
      <c r="BZM100" s="43"/>
      <c r="BZN100" s="43"/>
      <c r="BZO100" s="43"/>
      <c r="BZP100" s="43"/>
      <c r="BZQ100" s="43"/>
      <c r="BZR100" s="43"/>
      <c r="BZS100" s="43"/>
      <c r="BZT100" s="43"/>
      <c r="BZU100" s="43"/>
      <c r="BZV100" s="43"/>
      <c r="BZW100" s="43"/>
      <c r="BZX100" s="43"/>
      <c r="BZY100" s="43"/>
      <c r="BZZ100" s="43"/>
      <c r="CAA100" s="43"/>
      <c r="CAB100" s="43"/>
      <c r="CAC100" s="43"/>
      <c r="CAD100" s="43"/>
      <c r="CAE100" s="43"/>
      <c r="CAF100" s="43"/>
      <c r="CAG100" s="43"/>
      <c r="CAH100" s="43"/>
      <c r="CAI100" s="43"/>
      <c r="CAJ100" s="43"/>
      <c r="CAK100" s="43"/>
      <c r="CAL100" s="43"/>
      <c r="CAM100" s="43"/>
      <c r="CAN100" s="43"/>
      <c r="CAO100" s="43"/>
      <c r="CAP100" s="43"/>
      <c r="CAQ100" s="43"/>
      <c r="CAR100" s="43"/>
      <c r="CAS100" s="43"/>
      <c r="CAT100" s="43"/>
      <c r="CAU100" s="43"/>
      <c r="CAV100" s="43"/>
      <c r="CAW100" s="43"/>
      <c r="CAX100" s="43"/>
      <c r="CAY100" s="43"/>
      <c r="CAZ100" s="43"/>
      <c r="CBA100" s="43"/>
      <c r="CBB100" s="43"/>
      <c r="CBC100" s="43"/>
      <c r="CBD100" s="43"/>
      <c r="CBE100" s="43"/>
      <c r="CBF100" s="43"/>
      <c r="CBG100" s="43"/>
      <c r="CBH100" s="43"/>
      <c r="CBI100" s="43"/>
      <c r="CBJ100" s="43"/>
      <c r="CBK100" s="43"/>
      <c r="CBL100" s="43"/>
      <c r="CBM100" s="43"/>
      <c r="CBN100" s="43"/>
      <c r="CBO100" s="43"/>
      <c r="CBP100" s="43"/>
      <c r="CBQ100" s="43"/>
      <c r="CBR100" s="43"/>
      <c r="CBS100" s="43"/>
      <c r="CBT100" s="43"/>
      <c r="CBU100" s="43"/>
      <c r="CBV100" s="43"/>
      <c r="CBW100" s="43"/>
      <c r="CBX100" s="43"/>
      <c r="CBY100" s="43"/>
      <c r="CBZ100" s="43"/>
      <c r="CCA100" s="43"/>
      <c r="CCB100" s="43"/>
      <c r="CCC100" s="43"/>
      <c r="CCD100" s="43"/>
      <c r="CCE100" s="43"/>
      <c r="CCF100" s="43"/>
      <c r="CCG100" s="43"/>
      <c r="CCH100" s="43"/>
      <c r="CCI100" s="43"/>
      <c r="CCJ100" s="43"/>
      <c r="CCK100" s="43"/>
      <c r="CCL100" s="43"/>
      <c r="CCM100" s="43"/>
      <c r="CCN100" s="43"/>
      <c r="CCO100" s="43"/>
      <c r="CCP100" s="43"/>
      <c r="CCQ100" s="43"/>
      <c r="CCR100" s="43"/>
      <c r="CCS100" s="43"/>
      <c r="CCT100" s="43"/>
      <c r="CCU100" s="43"/>
      <c r="CCV100" s="43"/>
      <c r="CCW100" s="43"/>
      <c r="CCX100" s="43"/>
      <c r="CCY100" s="43"/>
      <c r="CCZ100" s="43"/>
      <c r="CDA100" s="43"/>
      <c r="CDB100" s="43"/>
      <c r="CDC100" s="43"/>
      <c r="CDD100" s="43"/>
      <c r="CDE100" s="43"/>
      <c r="CDF100" s="43"/>
      <c r="CDG100" s="43"/>
      <c r="CDH100" s="43"/>
      <c r="CDI100" s="43"/>
      <c r="CDJ100" s="43"/>
      <c r="CDK100" s="43"/>
      <c r="CDL100" s="43"/>
      <c r="CDM100" s="43"/>
      <c r="CDN100" s="43"/>
      <c r="CDO100" s="43"/>
      <c r="CDP100" s="43"/>
      <c r="CDQ100" s="43"/>
      <c r="CDR100" s="43"/>
      <c r="CDS100" s="43"/>
      <c r="CDT100" s="43"/>
      <c r="CDU100" s="43"/>
      <c r="CDV100" s="43"/>
      <c r="CDW100" s="43"/>
      <c r="CDX100" s="43"/>
      <c r="CDY100" s="43"/>
      <c r="CDZ100" s="43"/>
      <c r="CEA100" s="43"/>
      <c r="CEB100" s="43"/>
      <c r="CEC100" s="43"/>
      <c r="CED100" s="43"/>
      <c r="CEE100" s="43"/>
      <c r="CEF100" s="43"/>
      <c r="CEG100" s="43"/>
      <c r="CEH100" s="43"/>
      <c r="CEI100" s="43"/>
      <c r="CEJ100" s="43"/>
      <c r="CEK100" s="43"/>
      <c r="CEL100" s="43"/>
      <c r="CEM100" s="43"/>
      <c r="CEN100" s="43"/>
      <c r="CEO100" s="43"/>
      <c r="CEP100" s="43"/>
      <c r="CEQ100" s="43"/>
      <c r="CER100" s="43"/>
      <c r="CES100" s="43"/>
      <c r="CET100" s="43"/>
      <c r="CEU100" s="43"/>
      <c r="CEV100" s="43"/>
      <c r="CEW100" s="43"/>
      <c r="CEX100" s="43"/>
      <c r="CEY100" s="43"/>
      <c r="CEZ100" s="43"/>
      <c r="CFA100" s="43"/>
      <c r="CFB100" s="43"/>
      <c r="CFC100" s="43"/>
      <c r="CFD100" s="43"/>
      <c r="CFE100" s="43"/>
      <c r="CFF100" s="43"/>
      <c r="CFH100" s="43"/>
      <c r="CFI100" s="43"/>
      <c r="CFJ100" s="43"/>
      <c r="CFK100" s="43"/>
      <c r="CFL100" s="43"/>
      <c r="CFM100" s="43"/>
      <c r="CFN100" s="43"/>
      <c r="CFO100" s="43"/>
      <c r="CFP100" s="43"/>
      <c r="CFQ100" s="43"/>
      <c r="CFR100" s="43"/>
      <c r="CFS100" s="43"/>
      <c r="CFT100" s="43"/>
      <c r="CFU100" s="43"/>
      <c r="CFV100" s="43"/>
      <c r="CFW100" s="43"/>
      <c r="CFX100" s="43"/>
      <c r="CFY100" s="43"/>
      <c r="CFZ100" s="43"/>
      <c r="CGA100" s="43"/>
      <c r="CGB100" s="43"/>
      <c r="CGC100" s="43"/>
      <c r="CGD100" s="43"/>
      <c r="CGE100" s="43"/>
      <c r="CGF100" s="43"/>
      <c r="CGG100" s="43"/>
      <c r="CGH100" s="43"/>
      <c r="CGI100" s="43"/>
      <c r="CGJ100" s="43"/>
      <c r="CGK100" s="43"/>
      <c r="CGL100" s="43"/>
      <c r="CGM100" s="43"/>
      <c r="CGN100" s="43"/>
      <c r="CGO100" s="43"/>
      <c r="CGP100" s="43"/>
      <c r="CGQ100" s="43"/>
      <c r="CGR100" s="43"/>
      <c r="CGS100" s="43"/>
      <c r="CGT100" s="43"/>
      <c r="CGU100" s="43"/>
      <c r="CGV100" s="43"/>
      <c r="CGW100" s="43"/>
      <c r="CGX100" s="43"/>
      <c r="CGY100" s="43"/>
      <c r="CGZ100" s="43"/>
      <c r="CHA100" s="43"/>
      <c r="CHB100" s="43"/>
      <c r="CHC100" s="43"/>
      <c r="CHD100" s="43"/>
      <c r="CHE100" s="43"/>
      <c r="CHF100" s="43"/>
      <c r="CHG100" s="43"/>
      <c r="CHH100" s="43"/>
      <c r="CHI100" s="43"/>
      <c r="CHJ100" s="43"/>
      <c r="CHK100" s="43"/>
      <c r="CHL100" s="43"/>
      <c r="CHM100" s="43"/>
      <c r="CHN100" s="43"/>
      <c r="CHO100" s="43"/>
      <c r="CHP100" s="43"/>
      <c r="CHQ100" s="43"/>
      <c r="CHR100" s="43"/>
      <c r="CHS100" s="43"/>
      <c r="CHT100" s="43"/>
      <c r="CHU100" s="43"/>
      <c r="CHV100" s="43"/>
      <c r="CHW100" s="43"/>
      <c r="CHX100" s="43"/>
      <c r="CHY100" s="43"/>
      <c r="CHZ100" s="43"/>
      <c r="CIA100" s="43"/>
      <c r="CIB100" s="43"/>
      <c r="CIC100" s="43"/>
      <c r="CID100" s="43"/>
      <c r="CIE100" s="43"/>
      <c r="CIF100" s="43"/>
      <c r="CIG100" s="43"/>
      <c r="CIH100" s="43"/>
      <c r="CII100" s="43"/>
      <c r="CIJ100" s="43"/>
      <c r="CIK100" s="43"/>
      <c r="CIL100" s="43"/>
      <c r="CIM100" s="43"/>
      <c r="CIN100" s="43"/>
      <c r="CIO100" s="43"/>
      <c r="CIP100" s="43"/>
      <c r="CIQ100" s="43"/>
      <c r="CIR100" s="43"/>
      <c r="CIS100" s="43"/>
      <c r="CIT100" s="43"/>
      <c r="CIU100" s="43"/>
      <c r="CIV100" s="43"/>
      <c r="CIW100" s="43"/>
      <c r="CIX100" s="43"/>
      <c r="CIY100" s="43"/>
      <c r="CIZ100" s="43"/>
      <c r="CJA100" s="43"/>
      <c r="CJB100" s="43"/>
      <c r="CJC100" s="43"/>
      <c r="CJD100" s="43"/>
      <c r="CJE100" s="43"/>
      <c r="CJF100" s="43"/>
      <c r="CJG100" s="43"/>
      <c r="CJH100" s="43"/>
      <c r="CJI100" s="43"/>
      <c r="CJJ100" s="43"/>
      <c r="CJK100" s="43"/>
      <c r="CJL100" s="43"/>
      <c r="CJM100" s="43"/>
      <c r="CJN100" s="43"/>
      <c r="CJO100" s="43"/>
      <c r="CJP100" s="43"/>
      <c r="CJQ100" s="43"/>
      <c r="CJR100" s="43"/>
      <c r="CJS100" s="43"/>
      <c r="CJT100" s="43"/>
      <c r="CJU100" s="43"/>
      <c r="CJV100" s="43"/>
      <c r="CJW100" s="43"/>
      <c r="CJX100" s="43"/>
      <c r="CJY100" s="43"/>
      <c r="CJZ100" s="43"/>
      <c r="CKA100" s="43"/>
      <c r="CKB100" s="43"/>
      <c r="CKC100" s="43"/>
      <c r="CKD100" s="43"/>
      <c r="CKE100" s="43"/>
      <c r="CKF100" s="43"/>
      <c r="CKG100" s="43"/>
      <c r="CKH100" s="43"/>
      <c r="CKI100" s="43"/>
      <c r="CKJ100" s="43"/>
      <c r="CKK100" s="43"/>
      <c r="CKL100" s="43"/>
      <c r="CKM100" s="43"/>
      <c r="CKN100" s="43"/>
      <c r="CKO100" s="43"/>
      <c r="CKP100" s="43"/>
      <c r="CKQ100" s="43"/>
      <c r="CKR100" s="43"/>
      <c r="CKS100" s="43"/>
      <c r="CKT100" s="43"/>
      <c r="CKU100" s="43"/>
      <c r="CKV100" s="43"/>
      <c r="CKW100" s="43"/>
      <c r="CKX100" s="43"/>
      <c r="CKY100" s="43"/>
      <c r="CKZ100" s="43"/>
      <c r="CLA100" s="43"/>
      <c r="CLB100" s="43"/>
      <c r="CLC100" s="43"/>
      <c r="CLD100" s="43"/>
      <c r="CLE100" s="43"/>
      <c r="CLF100" s="43"/>
      <c r="CLG100" s="43"/>
      <c r="CLH100" s="43"/>
      <c r="CLI100" s="43"/>
      <c r="CLJ100" s="43"/>
      <c r="CLK100" s="43"/>
      <c r="CLL100" s="43"/>
      <c r="CLM100" s="43"/>
      <c r="CLN100" s="43"/>
      <c r="CLO100" s="43"/>
      <c r="CLP100" s="43"/>
      <c r="CLQ100" s="43"/>
      <c r="CLR100" s="43"/>
      <c r="CLS100" s="43"/>
      <c r="CLT100" s="43"/>
      <c r="CLU100" s="43"/>
      <c r="CLV100" s="43"/>
      <c r="CLW100" s="43"/>
      <c r="CLX100" s="43"/>
      <c r="CLY100" s="43"/>
      <c r="CLZ100" s="43"/>
      <c r="CMA100" s="43"/>
      <c r="CMB100" s="43"/>
      <c r="CMC100" s="43"/>
      <c r="CMD100" s="43"/>
      <c r="CME100" s="43"/>
      <c r="CMF100" s="43"/>
      <c r="CMG100" s="43"/>
      <c r="CMH100" s="43"/>
      <c r="CMI100" s="43"/>
      <c r="CMJ100" s="43"/>
      <c r="CMK100" s="43"/>
      <c r="CML100" s="43"/>
      <c r="CMM100" s="43"/>
      <c r="CMN100" s="43"/>
      <c r="CMO100" s="43"/>
      <c r="CMP100" s="43"/>
      <c r="CMQ100" s="43"/>
      <c r="CMR100" s="43"/>
      <c r="CMS100" s="43"/>
      <c r="CMT100" s="43"/>
      <c r="CMU100" s="43"/>
      <c r="CMV100" s="43"/>
      <c r="CMW100" s="43"/>
      <c r="CMX100" s="43"/>
      <c r="CMY100" s="43"/>
      <c r="CMZ100" s="43"/>
      <c r="CNA100" s="43"/>
      <c r="CNB100" s="43"/>
      <c r="CNC100" s="43"/>
      <c r="CND100" s="43"/>
      <c r="CNE100" s="43"/>
      <c r="CNF100" s="43"/>
      <c r="CNG100" s="43"/>
      <c r="CNH100" s="43"/>
      <c r="CNI100" s="43"/>
      <c r="CNJ100" s="43"/>
      <c r="CNK100" s="43"/>
      <c r="CNL100" s="43"/>
      <c r="CNM100" s="43"/>
      <c r="CNN100" s="43"/>
      <c r="CNO100" s="43"/>
      <c r="CNP100" s="43"/>
      <c r="CNQ100" s="43"/>
      <c r="CNR100" s="43"/>
      <c r="CNS100" s="43"/>
      <c r="CNT100" s="43"/>
      <c r="CNU100" s="43"/>
      <c r="CNV100" s="43"/>
      <c r="CNW100" s="43"/>
      <c r="CNX100" s="43"/>
      <c r="CNY100" s="43"/>
      <c r="CNZ100" s="43"/>
      <c r="COA100" s="43"/>
      <c r="COB100" s="43"/>
      <c r="COC100" s="43"/>
      <c r="COD100" s="43"/>
      <c r="COE100" s="43"/>
      <c r="COF100" s="43"/>
      <c r="COG100" s="43"/>
      <c r="COH100" s="43"/>
      <c r="COI100" s="43"/>
      <c r="COJ100" s="43"/>
      <c r="COK100" s="43"/>
      <c r="COL100" s="43"/>
      <c r="COM100" s="43"/>
      <c r="CON100" s="43"/>
      <c r="COO100" s="43"/>
      <c r="COP100" s="43"/>
      <c r="COQ100" s="43"/>
      <c r="COR100" s="43"/>
      <c r="COS100" s="43"/>
      <c r="COT100" s="43"/>
      <c r="COU100" s="43"/>
      <c r="COV100" s="43"/>
      <c r="COW100" s="43"/>
      <c r="COX100" s="43"/>
      <c r="COY100" s="43"/>
      <c r="COZ100" s="43"/>
      <c r="CPA100" s="43"/>
      <c r="CPB100" s="43"/>
      <c r="CPD100" s="43"/>
      <c r="CPE100" s="43"/>
      <c r="CPF100" s="43"/>
      <c r="CPG100" s="43"/>
      <c r="CPH100" s="43"/>
      <c r="CPI100" s="43"/>
      <c r="CPJ100" s="43"/>
      <c r="CPK100" s="43"/>
      <c r="CPL100" s="43"/>
      <c r="CPM100" s="43"/>
      <c r="CPN100" s="43"/>
      <c r="CPO100" s="43"/>
      <c r="CPP100" s="43"/>
      <c r="CPQ100" s="43"/>
      <c r="CPR100" s="43"/>
      <c r="CPS100" s="43"/>
      <c r="CPT100" s="43"/>
      <c r="CPU100" s="43"/>
      <c r="CPV100" s="43"/>
      <c r="CPW100" s="43"/>
      <c r="CPX100" s="43"/>
      <c r="CPY100" s="43"/>
      <c r="CPZ100" s="43"/>
      <c r="CQA100" s="43"/>
      <c r="CQB100" s="43"/>
      <c r="CQC100" s="43"/>
      <c r="CQD100" s="43"/>
      <c r="CQE100" s="43"/>
      <c r="CQF100" s="43"/>
      <c r="CQG100" s="43"/>
      <c r="CQH100" s="43"/>
      <c r="CQI100" s="43"/>
      <c r="CQJ100" s="43"/>
      <c r="CQK100" s="43"/>
      <c r="CQL100" s="43"/>
      <c r="CQM100" s="43"/>
      <c r="CQN100" s="43"/>
      <c r="CQO100" s="43"/>
      <c r="CQP100" s="43"/>
      <c r="CQQ100" s="43"/>
      <c r="CQR100" s="43"/>
      <c r="CQS100" s="43"/>
      <c r="CQT100" s="43"/>
      <c r="CQU100" s="43"/>
      <c r="CQV100" s="43"/>
      <c r="CQW100" s="43"/>
      <c r="CQX100" s="43"/>
      <c r="CQY100" s="43"/>
      <c r="CQZ100" s="43"/>
      <c r="CRA100" s="43"/>
      <c r="CRB100" s="43"/>
      <c r="CRC100" s="43"/>
      <c r="CRD100" s="43"/>
      <c r="CRE100" s="43"/>
      <c r="CRF100" s="43"/>
      <c r="CRG100" s="43"/>
      <c r="CRH100" s="43"/>
      <c r="CRI100" s="43"/>
      <c r="CRJ100" s="43"/>
      <c r="CRK100" s="43"/>
      <c r="CRL100" s="43"/>
      <c r="CRM100" s="43"/>
      <c r="CRN100" s="43"/>
      <c r="CRO100" s="43"/>
      <c r="CRP100" s="43"/>
      <c r="CRQ100" s="43"/>
      <c r="CRR100" s="43"/>
      <c r="CRS100" s="43"/>
      <c r="CRT100" s="43"/>
      <c r="CRU100" s="43"/>
      <c r="CRV100" s="43"/>
      <c r="CRW100" s="43"/>
      <c r="CRX100" s="43"/>
      <c r="CRY100" s="43"/>
      <c r="CRZ100" s="43"/>
      <c r="CSA100" s="43"/>
      <c r="CSB100" s="43"/>
      <c r="CSC100" s="43"/>
      <c r="CSD100" s="43"/>
      <c r="CSE100" s="43"/>
      <c r="CSF100" s="43"/>
      <c r="CSG100" s="43"/>
      <c r="CSH100" s="43"/>
      <c r="CSI100" s="43"/>
      <c r="CSJ100" s="43"/>
      <c r="CSK100" s="43"/>
      <c r="CSL100" s="43"/>
      <c r="CSM100" s="43"/>
      <c r="CSN100" s="43"/>
      <c r="CSO100" s="43"/>
      <c r="CSP100" s="43"/>
      <c r="CSQ100" s="43"/>
      <c r="CSR100" s="43"/>
      <c r="CSS100" s="43"/>
      <c r="CST100" s="43"/>
      <c r="CSU100" s="43"/>
      <c r="CSV100" s="43"/>
      <c r="CSW100" s="43"/>
      <c r="CSX100" s="43"/>
      <c r="CSY100" s="43"/>
      <c r="CSZ100" s="43"/>
      <c r="CTA100" s="43"/>
      <c r="CTB100" s="43"/>
      <c r="CTC100" s="43"/>
      <c r="CTD100" s="43"/>
      <c r="CTE100" s="43"/>
      <c r="CTF100" s="43"/>
      <c r="CTG100" s="43"/>
      <c r="CTH100" s="43"/>
      <c r="CTI100" s="43"/>
      <c r="CTJ100" s="43"/>
      <c r="CTK100" s="43"/>
      <c r="CTL100" s="43"/>
      <c r="CTM100" s="43"/>
      <c r="CTN100" s="43"/>
      <c r="CTO100" s="43"/>
      <c r="CTP100" s="43"/>
      <c r="CTQ100" s="43"/>
      <c r="CTR100" s="43"/>
      <c r="CTS100" s="43"/>
      <c r="CTT100" s="43"/>
      <c r="CTU100" s="43"/>
      <c r="CTV100" s="43"/>
      <c r="CTW100" s="43"/>
      <c r="CTX100" s="43"/>
      <c r="CTY100" s="43"/>
      <c r="CTZ100" s="43"/>
      <c r="CUA100" s="43"/>
      <c r="CUB100" s="43"/>
      <c r="CUC100" s="43"/>
      <c r="CUD100" s="43"/>
      <c r="CUE100" s="43"/>
      <c r="CUF100" s="43"/>
      <c r="CUG100" s="43"/>
      <c r="CUH100" s="43"/>
      <c r="CUI100" s="43"/>
      <c r="CUJ100" s="43"/>
      <c r="CUK100" s="43"/>
      <c r="CUL100" s="43"/>
      <c r="CUM100" s="43"/>
      <c r="CUN100" s="43"/>
      <c r="CUO100" s="43"/>
      <c r="CUP100" s="43"/>
      <c r="CUQ100" s="43"/>
      <c r="CUR100" s="43"/>
      <c r="CUS100" s="43"/>
      <c r="CUT100" s="43"/>
      <c r="CUU100" s="43"/>
      <c r="CUV100" s="43"/>
      <c r="CUW100" s="43"/>
      <c r="CUX100" s="43"/>
      <c r="CUY100" s="43"/>
      <c r="CUZ100" s="43"/>
      <c r="CVA100" s="43"/>
      <c r="CVB100" s="43"/>
      <c r="CVC100" s="43"/>
      <c r="CVD100" s="43"/>
      <c r="CVE100" s="43"/>
      <c r="CVF100" s="43"/>
      <c r="CVG100" s="43"/>
      <c r="CVH100" s="43"/>
      <c r="CVI100" s="43"/>
      <c r="CVJ100" s="43"/>
      <c r="CVK100" s="43"/>
      <c r="CVL100" s="43"/>
      <c r="CVM100" s="43"/>
      <c r="CVN100" s="43"/>
      <c r="CVO100" s="43"/>
      <c r="CVP100" s="43"/>
      <c r="CVQ100" s="43"/>
      <c r="CVR100" s="43"/>
      <c r="CVS100" s="43"/>
      <c r="CVT100" s="43"/>
      <c r="CVU100" s="43"/>
      <c r="CVV100" s="43"/>
      <c r="CVW100" s="43"/>
      <c r="CVX100" s="43"/>
      <c r="CVY100" s="43"/>
      <c r="CVZ100" s="43"/>
      <c r="CWA100" s="43"/>
      <c r="CWB100" s="43"/>
      <c r="CWC100" s="43"/>
      <c r="CWD100" s="43"/>
      <c r="CWE100" s="43"/>
      <c r="CWF100" s="43"/>
      <c r="CWG100" s="43"/>
      <c r="CWH100" s="43"/>
      <c r="CWI100" s="43"/>
      <c r="CWJ100" s="43"/>
      <c r="CWK100" s="43"/>
      <c r="CWL100" s="43"/>
      <c r="CWM100" s="43"/>
      <c r="CWN100" s="43"/>
      <c r="CWO100" s="43"/>
      <c r="CWP100" s="43"/>
      <c r="CWQ100" s="43"/>
      <c r="CWR100" s="43"/>
      <c r="CWS100" s="43"/>
      <c r="CWT100" s="43"/>
      <c r="CWU100" s="43"/>
      <c r="CWV100" s="43"/>
      <c r="CWW100" s="43"/>
      <c r="CWX100" s="43"/>
      <c r="CWY100" s="43"/>
      <c r="CWZ100" s="43"/>
      <c r="CXA100" s="43"/>
      <c r="CXB100" s="43"/>
      <c r="CXC100" s="43"/>
      <c r="CXD100" s="43"/>
      <c r="CXE100" s="43"/>
      <c r="CXF100" s="43"/>
      <c r="CXG100" s="43"/>
      <c r="CXH100" s="43"/>
      <c r="CXI100" s="43"/>
      <c r="CXJ100" s="43"/>
      <c r="CXK100" s="43"/>
      <c r="CXL100" s="43"/>
      <c r="CXM100" s="43"/>
      <c r="CXN100" s="43"/>
      <c r="CXO100" s="43"/>
      <c r="CXP100" s="43"/>
      <c r="CXQ100" s="43"/>
      <c r="CXR100" s="43"/>
      <c r="CXS100" s="43"/>
      <c r="CXT100" s="43"/>
      <c r="CXU100" s="43"/>
      <c r="CXV100" s="43"/>
      <c r="CXW100" s="43"/>
      <c r="CXX100" s="43"/>
      <c r="CXY100" s="43"/>
      <c r="CXZ100" s="43"/>
      <c r="CYA100" s="43"/>
      <c r="CYB100" s="43"/>
      <c r="CYC100" s="43"/>
      <c r="CYD100" s="43"/>
      <c r="CYE100" s="43"/>
      <c r="CYF100" s="43"/>
      <c r="CYG100" s="43"/>
      <c r="CYH100" s="43"/>
      <c r="CYI100" s="43"/>
      <c r="CYJ100" s="43"/>
      <c r="CYK100" s="43"/>
      <c r="CYL100" s="43"/>
      <c r="CYM100" s="43"/>
      <c r="CYN100" s="43"/>
      <c r="CYO100" s="43"/>
      <c r="CYP100" s="43"/>
      <c r="CYQ100" s="43"/>
      <c r="CYR100" s="43"/>
      <c r="CYS100" s="43"/>
      <c r="CYT100" s="43"/>
      <c r="CYU100" s="43"/>
      <c r="CYV100" s="43"/>
      <c r="CYW100" s="43"/>
      <c r="CYX100" s="43"/>
      <c r="CYZ100" s="43"/>
      <c r="CZA100" s="43"/>
      <c r="CZB100" s="43"/>
      <c r="CZC100" s="43"/>
      <c r="CZD100" s="43"/>
      <c r="CZE100" s="43"/>
      <c r="CZF100" s="43"/>
      <c r="CZG100" s="43"/>
      <c r="CZH100" s="43"/>
      <c r="CZI100" s="43"/>
      <c r="CZJ100" s="43"/>
      <c r="CZK100" s="43"/>
      <c r="CZL100" s="43"/>
      <c r="CZM100" s="43"/>
      <c r="CZN100" s="43"/>
      <c r="CZO100" s="43"/>
      <c r="CZP100" s="43"/>
      <c r="CZQ100" s="43"/>
      <c r="CZR100" s="43"/>
      <c r="CZS100" s="43"/>
      <c r="CZT100" s="43"/>
      <c r="CZU100" s="43"/>
      <c r="CZV100" s="43"/>
      <c r="CZW100" s="43"/>
      <c r="CZX100" s="43"/>
      <c r="CZY100" s="43"/>
      <c r="CZZ100" s="43"/>
      <c r="DAA100" s="43"/>
      <c r="DAB100" s="43"/>
      <c r="DAC100" s="43"/>
      <c r="DAD100" s="43"/>
      <c r="DAE100" s="43"/>
      <c r="DAF100" s="43"/>
      <c r="DAG100" s="43"/>
      <c r="DAH100" s="43"/>
      <c r="DAI100" s="43"/>
      <c r="DAJ100" s="43"/>
      <c r="DAK100" s="43"/>
      <c r="DAL100" s="43"/>
      <c r="DAM100" s="43"/>
      <c r="DAN100" s="43"/>
      <c r="DAO100" s="43"/>
      <c r="DAP100" s="43"/>
      <c r="DAQ100" s="43"/>
      <c r="DAR100" s="43"/>
      <c r="DAS100" s="43"/>
      <c r="DAT100" s="43"/>
      <c r="DAU100" s="43"/>
      <c r="DAV100" s="43"/>
      <c r="DAW100" s="43"/>
      <c r="DAX100" s="43"/>
      <c r="DAY100" s="43"/>
      <c r="DAZ100" s="43"/>
      <c r="DBA100" s="43"/>
      <c r="DBB100" s="43"/>
      <c r="DBC100" s="43"/>
      <c r="DBD100" s="43"/>
      <c r="DBE100" s="43"/>
      <c r="DBF100" s="43"/>
      <c r="DBG100" s="43"/>
      <c r="DBH100" s="43"/>
      <c r="DBI100" s="43"/>
      <c r="DBJ100" s="43"/>
      <c r="DBK100" s="43"/>
      <c r="DBL100" s="43"/>
      <c r="DBM100" s="43"/>
      <c r="DBN100" s="43"/>
      <c r="DBO100" s="43"/>
      <c r="DBP100" s="43"/>
      <c r="DBQ100" s="43"/>
      <c r="DBR100" s="43"/>
      <c r="DBS100" s="43"/>
      <c r="DBT100" s="43"/>
      <c r="DBU100" s="43"/>
      <c r="DBV100" s="43"/>
      <c r="DBW100" s="43"/>
      <c r="DBX100" s="43"/>
      <c r="DBY100" s="43"/>
      <c r="DBZ100" s="43"/>
      <c r="DCA100" s="43"/>
      <c r="DCB100" s="43"/>
      <c r="DCC100" s="43"/>
      <c r="DCD100" s="43"/>
      <c r="DCE100" s="43"/>
      <c r="DCF100" s="43"/>
      <c r="DCG100" s="43"/>
      <c r="DCH100" s="43"/>
      <c r="DCI100" s="43"/>
      <c r="DCJ100" s="43"/>
      <c r="DCK100" s="43"/>
      <c r="DCL100" s="43"/>
      <c r="DCM100" s="43"/>
      <c r="DCN100" s="43"/>
      <c r="DCO100" s="43"/>
      <c r="DCP100" s="43"/>
      <c r="DCQ100" s="43"/>
      <c r="DCR100" s="43"/>
      <c r="DCS100" s="43"/>
      <c r="DCT100" s="43"/>
      <c r="DCU100" s="43"/>
      <c r="DCV100" s="43"/>
      <c r="DCW100" s="43"/>
      <c r="DCX100" s="43"/>
      <c r="DCY100" s="43"/>
      <c r="DCZ100" s="43"/>
      <c r="DDA100" s="43"/>
      <c r="DDB100" s="43"/>
      <c r="DDC100" s="43"/>
      <c r="DDD100" s="43"/>
      <c r="DDE100" s="43"/>
      <c r="DDF100" s="43"/>
      <c r="DDG100" s="43"/>
      <c r="DDH100" s="43"/>
      <c r="DDI100" s="43"/>
      <c r="DDJ100" s="43"/>
      <c r="DDK100" s="43"/>
      <c r="DDL100" s="43"/>
      <c r="DDM100" s="43"/>
      <c r="DDN100" s="43"/>
      <c r="DDO100" s="43"/>
      <c r="DDP100" s="43"/>
      <c r="DDQ100" s="43"/>
      <c r="DDR100" s="43"/>
      <c r="DDS100" s="43"/>
      <c r="DDT100" s="43"/>
      <c r="DDU100" s="43"/>
      <c r="DDV100" s="43"/>
      <c r="DDW100" s="43"/>
      <c r="DDX100" s="43"/>
      <c r="DDY100" s="43"/>
      <c r="DDZ100" s="43"/>
      <c r="DEA100" s="43"/>
      <c r="DEB100" s="43"/>
      <c r="DEC100" s="43"/>
      <c r="DED100" s="43"/>
      <c r="DEE100" s="43"/>
      <c r="DEF100" s="43"/>
      <c r="DEG100" s="43"/>
      <c r="DEH100" s="43"/>
      <c r="DEI100" s="43"/>
      <c r="DEJ100" s="43"/>
      <c r="DEK100" s="43"/>
      <c r="DEL100" s="43"/>
      <c r="DEM100" s="43"/>
      <c r="DEN100" s="43"/>
      <c r="DEO100" s="43"/>
      <c r="DEP100" s="43"/>
      <c r="DEQ100" s="43"/>
      <c r="DER100" s="43"/>
      <c r="DES100" s="43"/>
      <c r="DET100" s="43"/>
      <c r="DEU100" s="43"/>
      <c r="DEV100" s="43"/>
      <c r="DEW100" s="43"/>
      <c r="DEX100" s="43"/>
      <c r="DEY100" s="43"/>
      <c r="DEZ100" s="43"/>
      <c r="DFA100" s="43"/>
      <c r="DFB100" s="43"/>
      <c r="DFC100" s="43"/>
      <c r="DFD100" s="43"/>
      <c r="DFE100" s="43"/>
      <c r="DFF100" s="43"/>
      <c r="DFG100" s="43"/>
      <c r="DFH100" s="43"/>
      <c r="DFI100" s="43"/>
      <c r="DFJ100" s="43"/>
      <c r="DFK100" s="43"/>
      <c r="DFL100" s="43"/>
      <c r="DFM100" s="43"/>
      <c r="DFN100" s="43"/>
      <c r="DFO100" s="43"/>
      <c r="DFP100" s="43"/>
      <c r="DFQ100" s="43"/>
      <c r="DFR100" s="43"/>
      <c r="DFS100" s="43"/>
      <c r="DFT100" s="43"/>
      <c r="DFU100" s="43"/>
      <c r="DFV100" s="43"/>
      <c r="DFW100" s="43"/>
      <c r="DFX100" s="43"/>
      <c r="DFY100" s="43"/>
      <c r="DFZ100" s="43"/>
      <c r="DGA100" s="43"/>
      <c r="DGB100" s="43"/>
      <c r="DGC100" s="43"/>
      <c r="DGD100" s="43"/>
      <c r="DGE100" s="43"/>
      <c r="DGF100" s="43"/>
      <c r="DGG100" s="43"/>
      <c r="DGH100" s="43"/>
      <c r="DGI100" s="43"/>
      <c r="DGJ100" s="43"/>
      <c r="DGK100" s="43"/>
      <c r="DGL100" s="43"/>
      <c r="DGM100" s="43"/>
      <c r="DGN100" s="43"/>
      <c r="DGO100" s="43"/>
      <c r="DGP100" s="43"/>
      <c r="DGQ100" s="43"/>
      <c r="DGR100" s="43"/>
      <c r="DGS100" s="43"/>
      <c r="DGT100" s="43"/>
      <c r="DGU100" s="43"/>
      <c r="DGV100" s="43"/>
      <c r="DGW100" s="43"/>
      <c r="DGX100" s="43"/>
      <c r="DGY100" s="43"/>
      <c r="DGZ100" s="43"/>
      <c r="DHA100" s="43"/>
      <c r="DHB100" s="43"/>
      <c r="DHC100" s="43"/>
      <c r="DHD100" s="43"/>
      <c r="DHE100" s="43"/>
      <c r="DHF100" s="43"/>
      <c r="DHG100" s="43"/>
      <c r="DHH100" s="43"/>
      <c r="DHI100" s="43"/>
      <c r="DHJ100" s="43"/>
      <c r="DHK100" s="43"/>
      <c r="DHL100" s="43"/>
      <c r="DHM100" s="43"/>
      <c r="DHN100" s="43"/>
      <c r="DHO100" s="43"/>
      <c r="DHP100" s="43"/>
      <c r="DHQ100" s="43"/>
      <c r="DHR100" s="43"/>
      <c r="DHS100" s="43"/>
      <c r="DHT100" s="43"/>
      <c r="DHU100" s="43"/>
      <c r="DHV100" s="43"/>
      <c r="DHW100" s="43"/>
      <c r="DHX100" s="43"/>
      <c r="DHY100" s="43"/>
      <c r="DHZ100" s="43"/>
      <c r="DIA100" s="43"/>
      <c r="DIB100" s="43"/>
      <c r="DIC100" s="43"/>
      <c r="DID100" s="43"/>
      <c r="DIE100" s="43"/>
      <c r="DIF100" s="43"/>
      <c r="DIG100" s="43"/>
      <c r="DIH100" s="43"/>
      <c r="DII100" s="43"/>
      <c r="DIJ100" s="43"/>
      <c r="DIK100" s="43"/>
      <c r="DIL100" s="43"/>
      <c r="DIM100" s="43"/>
      <c r="DIN100" s="43"/>
      <c r="DIO100" s="43"/>
      <c r="DIP100" s="43"/>
      <c r="DIQ100" s="43"/>
      <c r="DIR100" s="43"/>
      <c r="DIS100" s="43"/>
      <c r="DIT100" s="43"/>
      <c r="DIV100" s="43"/>
      <c r="DIW100" s="43"/>
      <c r="DIX100" s="43"/>
      <c r="DIY100" s="43"/>
      <c r="DIZ100" s="43"/>
      <c r="DJA100" s="43"/>
      <c r="DJB100" s="43"/>
      <c r="DJC100" s="43"/>
      <c r="DJD100" s="43"/>
      <c r="DJE100" s="43"/>
      <c r="DJF100" s="43"/>
      <c r="DJG100" s="43"/>
      <c r="DJH100" s="43"/>
      <c r="DJI100" s="43"/>
      <c r="DJJ100" s="43"/>
      <c r="DJK100" s="43"/>
      <c r="DJL100" s="43"/>
      <c r="DJM100" s="43"/>
      <c r="DJN100" s="43"/>
      <c r="DJO100" s="43"/>
      <c r="DJP100" s="43"/>
      <c r="DJQ100" s="43"/>
      <c r="DJR100" s="43"/>
      <c r="DJS100" s="43"/>
      <c r="DJT100" s="43"/>
      <c r="DJU100" s="43"/>
      <c r="DJV100" s="43"/>
      <c r="DJW100" s="43"/>
      <c r="DJX100" s="43"/>
      <c r="DJY100" s="43"/>
      <c r="DJZ100" s="43"/>
      <c r="DKA100" s="43"/>
      <c r="DKB100" s="43"/>
      <c r="DKC100" s="43"/>
      <c r="DKD100" s="43"/>
      <c r="DKE100" s="43"/>
      <c r="DKF100" s="43"/>
      <c r="DKG100" s="43"/>
      <c r="DKH100" s="43"/>
      <c r="DKI100" s="43"/>
      <c r="DKJ100" s="43"/>
      <c r="DKK100" s="43"/>
      <c r="DKL100" s="43"/>
      <c r="DKM100" s="43"/>
      <c r="DKN100" s="43"/>
      <c r="DKO100" s="43"/>
      <c r="DKP100" s="43"/>
      <c r="DKQ100" s="43"/>
      <c r="DKR100" s="43"/>
      <c r="DKS100" s="43"/>
      <c r="DKT100" s="43"/>
      <c r="DKU100" s="43"/>
      <c r="DKV100" s="43"/>
      <c r="DKW100" s="43"/>
      <c r="DKX100" s="43"/>
      <c r="DKY100" s="43"/>
      <c r="DKZ100" s="43"/>
      <c r="DLA100" s="43"/>
      <c r="DLB100" s="43"/>
      <c r="DLC100" s="43"/>
      <c r="DLD100" s="43"/>
      <c r="DLE100" s="43"/>
      <c r="DLF100" s="43"/>
      <c r="DLG100" s="43"/>
      <c r="DLH100" s="43"/>
      <c r="DLI100" s="43"/>
      <c r="DLJ100" s="43"/>
      <c r="DLK100" s="43"/>
      <c r="DLL100" s="43"/>
      <c r="DLM100" s="43"/>
      <c r="DLN100" s="43"/>
      <c r="DLO100" s="43"/>
      <c r="DLP100" s="43"/>
      <c r="DLQ100" s="43"/>
      <c r="DLR100" s="43"/>
      <c r="DLS100" s="43"/>
      <c r="DLT100" s="43"/>
      <c r="DLU100" s="43"/>
      <c r="DLV100" s="43"/>
      <c r="DLW100" s="43"/>
      <c r="DLX100" s="43"/>
      <c r="DLY100" s="43"/>
      <c r="DLZ100" s="43"/>
      <c r="DMA100" s="43"/>
      <c r="DMB100" s="43"/>
      <c r="DMC100" s="43"/>
      <c r="DMD100" s="43"/>
      <c r="DME100" s="43"/>
      <c r="DMF100" s="43"/>
      <c r="DMG100" s="43"/>
      <c r="DMH100" s="43"/>
      <c r="DMI100" s="43"/>
      <c r="DMJ100" s="43"/>
      <c r="DMK100" s="43"/>
      <c r="DML100" s="43"/>
      <c r="DMM100" s="43"/>
      <c r="DMN100" s="43"/>
      <c r="DMO100" s="43"/>
      <c r="DMP100" s="43"/>
      <c r="DMQ100" s="43"/>
      <c r="DMR100" s="43"/>
      <c r="DMS100" s="43"/>
      <c r="DMT100" s="43"/>
      <c r="DMU100" s="43"/>
      <c r="DMV100" s="43"/>
      <c r="DMW100" s="43"/>
      <c r="DMX100" s="43"/>
      <c r="DMY100" s="43"/>
      <c r="DMZ100" s="43"/>
      <c r="DNA100" s="43"/>
      <c r="DNB100" s="43"/>
      <c r="DNC100" s="43"/>
      <c r="DND100" s="43"/>
      <c r="DNE100" s="43"/>
      <c r="DNF100" s="43"/>
      <c r="DNG100" s="43"/>
      <c r="DNH100" s="43"/>
      <c r="DNI100" s="43"/>
      <c r="DNJ100" s="43"/>
      <c r="DNK100" s="43"/>
      <c r="DNL100" s="43"/>
      <c r="DNM100" s="43"/>
      <c r="DNN100" s="43"/>
      <c r="DNO100" s="43"/>
      <c r="DNP100" s="43"/>
      <c r="DNQ100" s="43"/>
      <c r="DNR100" s="43"/>
      <c r="DNS100" s="43"/>
      <c r="DNT100" s="43"/>
      <c r="DNU100" s="43"/>
      <c r="DNV100" s="43"/>
      <c r="DNW100" s="43"/>
      <c r="DNX100" s="43"/>
      <c r="DNY100" s="43"/>
      <c r="DNZ100" s="43"/>
      <c r="DOA100" s="43"/>
      <c r="DOB100" s="43"/>
      <c r="DOC100" s="43"/>
      <c r="DOD100" s="43"/>
      <c r="DOE100" s="43"/>
      <c r="DOF100" s="43"/>
      <c r="DOG100" s="43"/>
      <c r="DOH100" s="43"/>
      <c r="DOI100" s="43"/>
      <c r="DOJ100" s="43"/>
      <c r="DOK100" s="43"/>
      <c r="DOL100" s="43"/>
      <c r="DOM100" s="43"/>
      <c r="DON100" s="43"/>
      <c r="DOO100" s="43"/>
      <c r="DOP100" s="43"/>
      <c r="DOQ100" s="43"/>
      <c r="DOR100" s="43"/>
      <c r="DOS100" s="43"/>
      <c r="DOT100" s="43"/>
      <c r="DOU100" s="43"/>
      <c r="DOV100" s="43"/>
      <c r="DOW100" s="43"/>
      <c r="DOX100" s="43"/>
      <c r="DOY100" s="43"/>
      <c r="DOZ100" s="43"/>
      <c r="DPA100" s="43"/>
      <c r="DPB100" s="43"/>
      <c r="DPC100" s="43"/>
      <c r="DPD100" s="43"/>
      <c r="DPE100" s="43"/>
      <c r="DPF100" s="43"/>
      <c r="DPG100" s="43"/>
      <c r="DPH100" s="43"/>
      <c r="DPI100" s="43"/>
      <c r="DPJ100" s="43"/>
      <c r="DPK100" s="43"/>
      <c r="DPL100" s="43"/>
      <c r="DPM100" s="43"/>
      <c r="DPN100" s="43"/>
      <c r="DPO100" s="43"/>
      <c r="DPP100" s="43"/>
      <c r="DPQ100" s="43"/>
      <c r="DPR100" s="43"/>
      <c r="DPS100" s="43"/>
      <c r="DPT100" s="43"/>
      <c r="DPU100" s="43"/>
      <c r="DPV100" s="43"/>
      <c r="DPW100" s="43"/>
      <c r="DPX100" s="43"/>
      <c r="DPY100" s="43"/>
      <c r="DPZ100" s="43"/>
      <c r="DQA100" s="43"/>
      <c r="DQB100" s="43"/>
      <c r="DQC100" s="43"/>
      <c r="DQD100" s="43"/>
      <c r="DQE100" s="43"/>
      <c r="DQF100" s="43"/>
      <c r="DQG100" s="43"/>
      <c r="DQH100" s="43"/>
      <c r="DQI100" s="43"/>
      <c r="DQJ100" s="43"/>
      <c r="DQK100" s="43"/>
      <c r="DQL100" s="43"/>
      <c r="DQM100" s="43"/>
      <c r="DQN100" s="43"/>
      <c r="DQO100" s="43"/>
      <c r="DQP100" s="43"/>
      <c r="DQQ100" s="43"/>
      <c r="DQR100" s="43"/>
      <c r="DQS100" s="43"/>
      <c r="DQT100" s="43"/>
      <c r="DQU100" s="43"/>
      <c r="DQV100" s="43"/>
      <c r="DQW100" s="43"/>
      <c r="DQX100" s="43"/>
      <c r="DQY100" s="43"/>
      <c r="DQZ100" s="43"/>
      <c r="DRA100" s="43"/>
      <c r="DRB100" s="43"/>
      <c r="DRC100" s="43"/>
      <c r="DRD100" s="43"/>
      <c r="DRE100" s="43"/>
      <c r="DRF100" s="43"/>
      <c r="DRG100" s="43"/>
      <c r="DRH100" s="43"/>
      <c r="DRI100" s="43"/>
      <c r="DRJ100" s="43"/>
      <c r="DRK100" s="43"/>
      <c r="DRL100" s="43"/>
      <c r="DRM100" s="43"/>
      <c r="DRN100" s="43"/>
      <c r="DRO100" s="43"/>
      <c r="DRP100" s="43"/>
      <c r="DRQ100" s="43"/>
      <c r="DRR100" s="43"/>
      <c r="DRS100" s="43"/>
      <c r="DRT100" s="43"/>
      <c r="DRU100" s="43"/>
      <c r="DRV100" s="43"/>
      <c r="DRW100" s="43"/>
      <c r="DRX100" s="43"/>
      <c r="DRY100" s="43"/>
      <c r="DRZ100" s="43"/>
      <c r="DSA100" s="43"/>
      <c r="DSB100" s="43"/>
      <c r="DSC100" s="43"/>
      <c r="DSD100" s="43"/>
      <c r="DSE100" s="43"/>
      <c r="DSF100" s="43"/>
      <c r="DSG100" s="43"/>
      <c r="DSH100" s="43"/>
      <c r="DSI100" s="43"/>
      <c r="DSJ100" s="43"/>
      <c r="DSK100" s="43"/>
      <c r="DSL100" s="43"/>
      <c r="DSM100" s="43"/>
      <c r="DSN100" s="43"/>
      <c r="DSO100" s="43"/>
      <c r="DSP100" s="43"/>
      <c r="DSR100" s="43"/>
      <c r="DSS100" s="43"/>
      <c r="DST100" s="43"/>
      <c r="DSU100" s="43"/>
      <c r="DSV100" s="43"/>
      <c r="DSW100" s="43"/>
      <c r="DSX100" s="43"/>
      <c r="DSY100" s="43"/>
      <c r="DSZ100" s="43"/>
      <c r="DTA100" s="43"/>
      <c r="DTB100" s="43"/>
      <c r="DTC100" s="43"/>
      <c r="DTD100" s="43"/>
      <c r="DTE100" s="43"/>
      <c r="DTF100" s="43"/>
      <c r="DTG100" s="43"/>
      <c r="DTH100" s="43"/>
      <c r="DTI100" s="43"/>
      <c r="DTJ100" s="43"/>
      <c r="DTK100" s="43"/>
      <c r="DTL100" s="43"/>
      <c r="DTM100" s="43"/>
      <c r="DTN100" s="43"/>
      <c r="DTO100" s="43"/>
      <c r="DTP100" s="43"/>
      <c r="DTQ100" s="43"/>
      <c r="DTR100" s="43"/>
      <c r="DTS100" s="43"/>
      <c r="DTT100" s="43"/>
      <c r="DTU100" s="43"/>
      <c r="DTV100" s="43"/>
      <c r="DTW100" s="43"/>
      <c r="DTX100" s="43"/>
      <c r="DTY100" s="43"/>
      <c r="DTZ100" s="43"/>
      <c r="DUA100" s="43"/>
      <c r="DUB100" s="43"/>
      <c r="DUC100" s="43"/>
      <c r="DUD100" s="43"/>
      <c r="DUE100" s="43"/>
      <c r="DUF100" s="43"/>
      <c r="DUG100" s="43"/>
      <c r="DUH100" s="43"/>
      <c r="DUI100" s="43"/>
      <c r="DUJ100" s="43"/>
      <c r="DUK100" s="43"/>
      <c r="DUL100" s="43"/>
      <c r="DUM100" s="43"/>
      <c r="DUN100" s="43"/>
      <c r="DUO100" s="43"/>
      <c r="DUP100" s="43"/>
      <c r="DUQ100" s="43"/>
      <c r="DUR100" s="43"/>
      <c r="DUS100" s="43"/>
      <c r="DUT100" s="43"/>
      <c r="DUU100" s="43"/>
      <c r="DUV100" s="43"/>
      <c r="DUW100" s="43"/>
      <c r="DUX100" s="43"/>
      <c r="DUY100" s="43"/>
      <c r="DUZ100" s="43"/>
      <c r="DVA100" s="43"/>
      <c r="DVB100" s="43"/>
      <c r="DVC100" s="43"/>
      <c r="DVD100" s="43"/>
      <c r="DVE100" s="43"/>
      <c r="DVF100" s="43"/>
      <c r="DVG100" s="43"/>
      <c r="DVH100" s="43"/>
      <c r="DVI100" s="43"/>
      <c r="DVJ100" s="43"/>
      <c r="DVK100" s="43"/>
      <c r="DVL100" s="43"/>
      <c r="DVM100" s="43"/>
      <c r="DVN100" s="43"/>
      <c r="DVO100" s="43"/>
      <c r="DVP100" s="43"/>
      <c r="DVQ100" s="43"/>
      <c r="DVR100" s="43"/>
      <c r="DVS100" s="43"/>
      <c r="DVT100" s="43"/>
      <c r="DVU100" s="43"/>
      <c r="DVV100" s="43"/>
      <c r="DVW100" s="43"/>
      <c r="DVX100" s="43"/>
      <c r="DVY100" s="43"/>
      <c r="DVZ100" s="43"/>
      <c r="DWA100" s="43"/>
      <c r="DWB100" s="43"/>
      <c r="DWC100" s="43"/>
      <c r="DWD100" s="43"/>
      <c r="DWE100" s="43"/>
      <c r="DWF100" s="43"/>
      <c r="DWG100" s="43"/>
      <c r="DWH100" s="43"/>
      <c r="DWI100" s="43"/>
      <c r="DWJ100" s="43"/>
      <c r="DWK100" s="43"/>
      <c r="DWL100" s="43"/>
      <c r="DWM100" s="43"/>
      <c r="DWN100" s="43"/>
      <c r="DWO100" s="43"/>
      <c r="DWP100" s="43"/>
      <c r="DWQ100" s="43"/>
      <c r="DWR100" s="43"/>
      <c r="DWS100" s="43"/>
      <c r="DWT100" s="43"/>
      <c r="DWU100" s="43"/>
      <c r="DWV100" s="43"/>
      <c r="DWW100" s="43"/>
      <c r="DWX100" s="43"/>
      <c r="DWY100" s="43"/>
      <c r="DWZ100" s="43"/>
      <c r="DXA100" s="43"/>
      <c r="DXB100" s="43"/>
      <c r="DXC100" s="43"/>
      <c r="DXD100" s="43"/>
      <c r="DXE100" s="43"/>
      <c r="DXF100" s="43"/>
      <c r="DXG100" s="43"/>
      <c r="DXH100" s="43"/>
      <c r="DXI100" s="43"/>
      <c r="DXJ100" s="43"/>
      <c r="DXK100" s="43"/>
      <c r="DXL100" s="43"/>
      <c r="DXM100" s="43"/>
      <c r="DXN100" s="43"/>
      <c r="DXO100" s="43"/>
      <c r="DXP100" s="43"/>
      <c r="DXQ100" s="43"/>
      <c r="DXR100" s="43"/>
      <c r="DXS100" s="43"/>
      <c r="DXT100" s="43"/>
      <c r="DXU100" s="43"/>
      <c r="DXV100" s="43"/>
      <c r="DXW100" s="43"/>
      <c r="DXX100" s="43"/>
      <c r="DXY100" s="43"/>
      <c r="DXZ100" s="43"/>
      <c r="DYA100" s="43"/>
      <c r="DYB100" s="43"/>
      <c r="DYC100" s="43"/>
      <c r="DYD100" s="43"/>
      <c r="DYE100" s="43"/>
      <c r="DYF100" s="43"/>
      <c r="DYG100" s="43"/>
      <c r="DYH100" s="43"/>
      <c r="DYI100" s="43"/>
      <c r="DYJ100" s="43"/>
      <c r="DYK100" s="43"/>
      <c r="DYL100" s="43"/>
      <c r="DYM100" s="43"/>
      <c r="DYN100" s="43"/>
      <c r="DYO100" s="43"/>
      <c r="DYP100" s="43"/>
      <c r="DYQ100" s="43"/>
      <c r="DYR100" s="43"/>
      <c r="DYS100" s="43"/>
      <c r="DYT100" s="43"/>
      <c r="DYU100" s="43"/>
      <c r="DYV100" s="43"/>
      <c r="DYW100" s="43"/>
      <c r="DYX100" s="43"/>
      <c r="DYY100" s="43"/>
      <c r="DYZ100" s="43"/>
      <c r="DZA100" s="43"/>
      <c r="DZB100" s="43"/>
      <c r="DZC100" s="43"/>
      <c r="DZD100" s="43"/>
      <c r="DZE100" s="43"/>
      <c r="DZF100" s="43"/>
      <c r="DZG100" s="43"/>
      <c r="DZH100" s="43"/>
      <c r="DZI100" s="43"/>
      <c r="DZJ100" s="43"/>
      <c r="DZK100" s="43"/>
      <c r="DZL100" s="43"/>
      <c r="DZM100" s="43"/>
      <c r="DZN100" s="43"/>
      <c r="DZO100" s="43"/>
      <c r="DZP100" s="43"/>
      <c r="DZQ100" s="43"/>
      <c r="DZR100" s="43"/>
      <c r="DZS100" s="43"/>
      <c r="DZT100" s="43"/>
      <c r="DZU100" s="43"/>
      <c r="DZV100" s="43"/>
      <c r="DZW100" s="43"/>
      <c r="DZX100" s="43"/>
      <c r="DZY100" s="43"/>
      <c r="DZZ100" s="43"/>
      <c r="EAA100" s="43"/>
      <c r="EAB100" s="43"/>
      <c r="EAC100" s="43"/>
      <c r="EAD100" s="43"/>
      <c r="EAE100" s="43"/>
      <c r="EAF100" s="43"/>
      <c r="EAG100" s="43"/>
      <c r="EAH100" s="43"/>
      <c r="EAI100" s="43"/>
      <c r="EAJ100" s="43"/>
      <c r="EAK100" s="43"/>
      <c r="EAL100" s="43"/>
      <c r="EAM100" s="43"/>
      <c r="EAN100" s="43"/>
      <c r="EAO100" s="43"/>
      <c r="EAP100" s="43"/>
      <c r="EAQ100" s="43"/>
      <c r="EAR100" s="43"/>
      <c r="EAS100" s="43"/>
      <c r="EAT100" s="43"/>
      <c r="EAU100" s="43"/>
      <c r="EAV100" s="43"/>
      <c r="EAW100" s="43"/>
      <c r="EAX100" s="43"/>
      <c r="EAY100" s="43"/>
      <c r="EAZ100" s="43"/>
      <c r="EBA100" s="43"/>
      <c r="EBB100" s="43"/>
      <c r="EBC100" s="43"/>
      <c r="EBD100" s="43"/>
      <c r="EBE100" s="43"/>
      <c r="EBF100" s="43"/>
      <c r="EBG100" s="43"/>
      <c r="EBH100" s="43"/>
      <c r="EBI100" s="43"/>
      <c r="EBJ100" s="43"/>
      <c r="EBK100" s="43"/>
      <c r="EBL100" s="43"/>
      <c r="EBM100" s="43"/>
      <c r="EBN100" s="43"/>
      <c r="EBO100" s="43"/>
      <c r="EBP100" s="43"/>
      <c r="EBQ100" s="43"/>
      <c r="EBR100" s="43"/>
      <c r="EBS100" s="43"/>
      <c r="EBT100" s="43"/>
      <c r="EBU100" s="43"/>
      <c r="EBV100" s="43"/>
      <c r="EBW100" s="43"/>
      <c r="EBX100" s="43"/>
      <c r="EBY100" s="43"/>
      <c r="EBZ100" s="43"/>
      <c r="ECA100" s="43"/>
      <c r="ECB100" s="43"/>
      <c r="ECC100" s="43"/>
      <c r="ECD100" s="43"/>
      <c r="ECE100" s="43"/>
      <c r="ECF100" s="43"/>
      <c r="ECG100" s="43"/>
      <c r="ECH100" s="43"/>
      <c r="ECI100" s="43"/>
      <c r="ECJ100" s="43"/>
      <c r="ECK100" s="43"/>
      <c r="ECL100" s="43"/>
      <c r="ECN100" s="43"/>
      <c r="ECO100" s="43"/>
      <c r="ECP100" s="43"/>
      <c r="ECQ100" s="43"/>
      <c r="ECR100" s="43"/>
      <c r="ECS100" s="43"/>
      <c r="ECT100" s="43"/>
      <c r="ECU100" s="43"/>
      <c r="ECV100" s="43"/>
      <c r="ECW100" s="43"/>
      <c r="ECX100" s="43"/>
      <c r="ECY100" s="43"/>
      <c r="ECZ100" s="43"/>
      <c r="EDA100" s="43"/>
      <c r="EDB100" s="43"/>
      <c r="EDC100" s="43"/>
      <c r="EDD100" s="43"/>
      <c r="EDE100" s="43"/>
      <c r="EDF100" s="43"/>
      <c r="EDG100" s="43"/>
      <c r="EDH100" s="43"/>
      <c r="EDI100" s="43"/>
      <c r="EDJ100" s="43"/>
      <c r="EDK100" s="43"/>
      <c r="EDL100" s="43"/>
      <c r="EDM100" s="43"/>
      <c r="EDN100" s="43"/>
      <c r="EDO100" s="43"/>
      <c r="EDP100" s="43"/>
      <c r="EDQ100" s="43"/>
      <c r="EDR100" s="43"/>
      <c r="EDS100" s="43"/>
      <c r="EDT100" s="43"/>
      <c r="EDU100" s="43"/>
      <c r="EDV100" s="43"/>
      <c r="EDW100" s="43"/>
      <c r="EDX100" s="43"/>
      <c r="EDY100" s="43"/>
      <c r="EDZ100" s="43"/>
      <c r="EEA100" s="43"/>
      <c r="EEB100" s="43"/>
      <c r="EEC100" s="43"/>
      <c r="EED100" s="43"/>
      <c r="EEE100" s="43"/>
      <c r="EEF100" s="43"/>
      <c r="EEG100" s="43"/>
      <c r="EEH100" s="43"/>
      <c r="EEI100" s="43"/>
      <c r="EEJ100" s="43"/>
      <c r="EEK100" s="43"/>
      <c r="EEL100" s="43"/>
      <c r="EEM100" s="43"/>
      <c r="EEN100" s="43"/>
      <c r="EEO100" s="43"/>
      <c r="EEP100" s="43"/>
      <c r="EEQ100" s="43"/>
      <c r="EER100" s="43"/>
      <c r="EES100" s="43"/>
      <c r="EET100" s="43"/>
      <c r="EEU100" s="43"/>
      <c r="EEV100" s="43"/>
      <c r="EEW100" s="43"/>
      <c r="EEX100" s="43"/>
      <c r="EEY100" s="43"/>
      <c r="EEZ100" s="43"/>
      <c r="EFA100" s="43"/>
      <c r="EFB100" s="43"/>
      <c r="EFC100" s="43"/>
      <c r="EFD100" s="43"/>
      <c r="EFE100" s="43"/>
      <c r="EFF100" s="43"/>
      <c r="EFG100" s="43"/>
      <c r="EFH100" s="43"/>
      <c r="EFI100" s="43"/>
      <c r="EFJ100" s="43"/>
      <c r="EFK100" s="43"/>
      <c r="EFL100" s="43"/>
      <c r="EFM100" s="43"/>
      <c r="EFN100" s="43"/>
      <c r="EFO100" s="43"/>
      <c r="EFP100" s="43"/>
      <c r="EFQ100" s="43"/>
      <c r="EFR100" s="43"/>
      <c r="EFS100" s="43"/>
      <c r="EFT100" s="43"/>
      <c r="EFU100" s="43"/>
      <c r="EFV100" s="43"/>
      <c r="EFW100" s="43"/>
      <c r="EFX100" s="43"/>
      <c r="EFY100" s="43"/>
      <c r="EFZ100" s="43"/>
      <c r="EGA100" s="43"/>
      <c r="EGB100" s="43"/>
      <c r="EGC100" s="43"/>
      <c r="EGD100" s="43"/>
      <c r="EGE100" s="43"/>
      <c r="EGF100" s="43"/>
      <c r="EGG100" s="43"/>
      <c r="EGH100" s="43"/>
      <c r="EGI100" s="43"/>
      <c r="EGJ100" s="43"/>
      <c r="EGK100" s="43"/>
      <c r="EGL100" s="43"/>
      <c r="EGM100" s="43"/>
      <c r="EGN100" s="43"/>
      <c r="EGO100" s="43"/>
      <c r="EGP100" s="43"/>
      <c r="EGQ100" s="43"/>
      <c r="EGR100" s="43"/>
      <c r="EGS100" s="43"/>
      <c r="EGT100" s="43"/>
      <c r="EGU100" s="43"/>
      <c r="EGV100" s="43"/>
      <c r="EGW100" s="43"/>
      <c r="EGX100" s="43"/>
      <c r="EGY100" s="43"/>
      <c r="EGZ100" s="43"/>
      <c r="EHA100" s="43"/>
      <c r="EHB100" s="43"/>
      <c r="EHC100" s="43"/>
      <c r="EHD100" s="43"/>
      <c r="EHE100" s="43"/>
      <c r="EHF100" s="43"/>
      <c r="EHG100" s="43"/>
      <c r="EHH100" s="43"/>
      <c r="EHI100" s="43"/>
      <c r="EHJ100" s="43"/>
      <c r="EHK100" s="43"/>
      <c r="EHL100" s="43"/>
      <c r="EHM100" s="43"/>
      <c r="EHN100" s="43"/>
      <c r="EHO100" s="43"/>
      <c r="EHP100" s="43"/>
      <c r="EHQ100" s="43"/>
      <c r="EHR100" s="43"/>
      <c r="EHS100" s="43"/>
      <c r="EHT100" s="43"/>
      <c r="EHU100" s="43"/>
      <c r="EHV100" s="43"/>
      <c r="EHW100" s="43"/>
      <c r="EHX100" s="43"/>
      <c r="EHY100" s="43"/>
      <c r="EHZ100" s="43"/>
      <c r="EIA100" s="43"/>
      <c r="EIB100" s="43"/>
      <c r="EIC100" s="43"/>
      <c r="EID100" s="43"/>
      <c r="EIE100" s="43"/>
      <c r="EIF100" s="43"/>
      <c r="EIG100" s="43"/>
      <c r="EIH100" s="43"/>
      <c r="EII100" s="43"/>
      <c r="EIJ100" s="43"/>
      <c r="EIK100" s="43"/>
      <c r="EIL100" s="43"/>
      <c r="EIM100" s="43"/>
      <c r="EIN100" s="43"/>
      <c r="EIO100" s="43"/>
      <c r="EIP100" s="43"/>
      <c r="EIQ100" s="43"/>
      <c r="EIR100" s="43"/>
      <c r="EIS100" s="43"/>
      <c r="EIT100" s="43"/>
      <c r="EIU100" s="43"/>
      <c r="EIV100" s="43"/>
      <c r="EIW100" s="43"/>
      <c r="EIX100" s="43"/>
      <c r="EIY100" s="43"/>
      <c r="EIZ100" s="43"/>
      <c r="EJA100" s="43"/>
      <c r="EJB100" s="43"/>
      <c r="EJC100" s="43"/>
      <c r="EJD100" s="43"/>
      <c r="EJE100" s="43"/>
      <c r="EJF100" s="43"/>
      <c r="EJG100" s="43"/>
      <c r="EJH100" s="43"/>
      <c r="EJI100" s="43"/>
      <c r="EJJ100" s="43"/>
      <c r="EJK100" s="43"/>
      <c r="EJL100" s="43"/>
      <c r="EJM100" s="43"/>
      <c r="EJN100" s="43"/>
      <c r="EJO100" s="43"/>
      <c r="EJP100" s="43"/>
      <c r="EJQ100" s="43"/>
      <c r="EJR100" s="43"/>
      <c r="EJS100" s="43"/>
      <c r="EJT100" s="43"/>
      <c r="EJU100" s="43"/>
      <c r="EJV100" s="43"/>
      <c r="EJW100" s="43"/>
      <c r="EJX100" s="43"/>
      <c r="EJY100" s="43"/>
      <c r="EJZ100" s="43"/>
      <c r="EKA100" s="43"/>
      <c r="EKB100" s="43"/>
      <c r="EKC100" s="43"/>
      <c r="EKD100" s="43"/>
      <c r="EKE100" s="43"/>
      <c r="EKF100" s="43"/>
      <c r="EKG100" s="43"/>
      <c r="EKH100" s="43"/>
      <c r="EKI100" s="43"/>
      <c r="EKJ100" s="43"/>
      <c r="EKK100" s="43"/>
      <c r="EKL100" s="43"/>
      <c r="EKM100" s="43"/>
      <c r="EKN100" s="43"/>
      <c r="EKO100" s="43"/>
      <c r="EKP100" s="43"/>
      <c r="EKQ100" s="43"/>
      <c r="EKR100" s="43"/>
      <c r="EKS100" s="43"/>
      <c r="EKT100" s="43"/>
      <c r="EKU100" s="43"/>
      <c r="EKV100" s="43"/>
      <c r="EKW100" s="43"/>
      <c r="EKX100" s="43"/>
      <c r="EKY100" s="43"/>
      <c r="EKZ100" s="43"/>
      <c r="ELA100" s="43"/>
      <c r="ELB100" s="43"/>
      <c r="ELC100" s="43"/>
      <c r="ELD100" s="43"/>
      <c r="ELE100" s="43"/>
      <c r="ELF100" s="43"/>
      <c r="ELG100" s="43"/>
      <c r="ELH100" s="43"/>
      <c r="ELI100" s="43"/>
      <c r="ELJ100" s="43"/>
      <c r="ELK100" s="43"/>
      <c r="ELL100" s="43"/>
      <c r="ELM100" s="43"/>
      <c r="ELN100" s="43"/>
      <c r="ELO100" s="43"/>
      <c r="ELP100" s="43"/>
      <c r="ELQ100" s="43"/>
      <c r="ELR100" s="43"/>
      <c r="ELS100" s="43"/>
      <c r="ELT100" s="43"/>
      <c r="ELU100" s="43"/>
      <c r="ELV100" s="43"/>
      <c r="ELW100" s="43"/>
      <c r="ELX100" s="43"/>
      <c r="ELY100" s="43"/>
      <c r="ELZ100" s="43"/>
      <c r="EMA100" s="43"/>
      <c r="EMB100" s="43"/>
      <c r="EMC100" s="43"/>
      <c r="EMD100" s="43"/>
      <c r="EME100" s="43"/>
      <c r="EMF100" s="43"/>
      <c r="EMG100" s="43"/>
      <c r="EMH100" s="43"/>
      <c r="EMJ100" s="43"/>
      <c r="EMK100" s="43"/>
      <c r="EML100" s="43"/>
      <c r="EMM100" s="43"/>
      <c r="EMN100" s="43"/>
      <c r="EMO100" s="43"/>
      <c r="EMP100" s="43"/>
      <c r="EMQ100" s="43"/>
      <c r="EMR100" s="43"/>
      <c r="EMS100" s="43"/>
      <c r="EMT100" s="43"/>
      <c r="EMU100" s="43"/>
      <c r="EMV100" s="43"/>
      <c r="EMW100" s="43"/>
      <c r="EMX100" s="43"/>
      <c r="EMY100" s="43"/>
      <c r="EMZ100" s="43"/>
      <c r="ENA100" s="43"/>
      <c r="ENB100" s="43"/>
      <c r="ENC100" s="43"/>
      <c r="END100" s="43"/>
      <c r="ENE100" s="43"/>
      <c r="ENF100" s="43"/>
      <c r="ENG100" s="43"/>
      <c r="ENH100" s="43"/>
      <c r="ENI100" s="43"/>
      <c r="ENJ100" s="43"/>
      <c r="ENK100" s="43"/>
      <c r="ENL100" s="43"/>
      <c r="ENM100" s="43"/>
      <c r="ENN100" s="43"/>
      <c r="ENO100" s="43"/>
      <c r="ENP100" s="43"/>
      <c r="ENQ100" s="43"/>
      <c r="ENR100" s="43"/>
      <c r="ENS100" s="43"/>
      <c r="ENT100" s="43"/>
      <c r="ENU100" s="43"/>
      <c r="ENV100" s="43"/>
      <c r="ENW100" s="43"/>
      <c r="ENX100" s="43"/>
      <c r="ENY100" s="43"/>
      <c r="ENZ100" s="43"/>
      <c r="EOA100" s="43"/>
      <c r="EOB100" s="43"/>
      <c r="EOC100" s="43"/>
      <c r="EOD100" s="43"/>
      <c r="EOE100" s="43"/>
      <c r="EOF100" s="43"/>
      <c r="EOG100" s="43"/>
      <c r="EOH100" s="43"/>
      <c r="EOI100" s="43"/>
      <c r="EOJ100" s="43"/>
      <c r="EOK100" s="43"/>
      <c r="EOL100" s="43"/>
      <c r="EOM100" s="43"/>
      <c r="EON100" s="43"/>
      <c r="EOO100" s="43"/>
      <c r="EOP100" s="43"/>
      <c r="EOQ100" s="43"/>
      <c r="EOR100" s="43"/>
      <c r="EOS100" s="43"/>
      <c r="EOT100" s="43"/>
      <c r="EOU100" s="43"/>
      <c r="EOV100" s="43"/>
      <c r="EOW100" s="43"/>
      <c r="EOX100" s="43"/>
      <c r="EOY100" s="43"/>
      <c r="EOZ100" s="43"/>
      <c r="EPA100" s="43"/>
      <c r="EPB100" s="43"/>
      <c r="EPC100" s="43"/>
      <c r="EPD100" s="43"/>
      <c r="EPE100" s="43"/>
      <c r="EPF100" s="43"/>
      <c r="EPG100" s="43"/>
      <c r="EPH100" s="43"/>
      <c r="EPI100" s="43"/>
      <c r="EPJ100" s="43"/>
      <c r="EPK100" s="43"/>
      <c r="EPL100" s="43"/>
      <c r="EPM100" s="43"/>
      <c r="EPN100" s="43"/>
      <c r="EPO100" s="43"/>
      <c r="EPP100" s="43"/>
      <c r="EPQ100" s="43"/>
      <c r="EPR100" s="43"/>
      <c r="EPS100" s="43"/>
      <c r="EPT100" s="43"/>
      <c r="EPU100" s="43"/>
      <c r="EPV100" s="43"/>
      <c r="EPW100" s="43"/>
      <c r="EPX100" s="43"/>
      <c r="EPY100" s="43"/>
      <c r="EPZ100" s="43"/>
      <c r="EQA100" s="43"/>
      <c r="EQB100" s="43"/>
      <c r="EQC100" s="43"/>
      <c r="EQD100" s="43"/>
      <c r="EQE100" s="43"/>
      <c r="EQF100" s="43"/>
      <c r="EQG100" s="43"/>
      <c r="EQH100" s="43"/>
      <c r="EQI100" s="43"/>
      <c r="EQJ100" s="43"/>
      <c r="EQK100" s="43"/>
      <c r="EQL100" s="43"/>
      <c r="EQM100" s="43"/>
      <c r="EQN100" s="43"/>
      <c r="EQO100" s="43"/>
      <c r="EQP100" s="43"/>
      <c r="EQQ100" s="43"/>
      <c r="EQR100" s="43"/>
      <c r="EQS100" s="43"/>
      <c r="EQT100" s="43"/>
      <c r="EQU100" s="43"/>
      <c r="EQV100" s="43"/>
      <c r="EQW100" s="43"/>
      <c r="EQX100" s="43"/>
      <c r="EQY100" s="43"/>
      <c r="EQZ100" s="43"/>
      <c r="ERA100" s="43"/>
      <c r="ERB100" s="43"/>
      <c r="ERC100" s="43"/>
      <c r="ERD100" s="43"/>
      <c r="ERE100" s="43"/>
      <c r="ERF100" s="43"/>
      <c r="ERG100" s="43"/>
      <c r="ERH100" s="43"/>
      <c r="ERI100" s="43"/>
      <c r="ERJ100" s="43"/>
      <c r="ERK100" s="43"/>
      <c r="ERL100" s="43"/>
      <c r="ERM100" s="43"/>
      <c r="ERN100" s="43"/>
      <c r="ERO100" s="43"/>
      <c r="ERP100" s="43"/>
      <c r="ERQ100" s="43"/>
      <c r="ERR100" s="43"/>
      <c r="ERS100" s="43"/>
      <c r="ERT100" s="43"/>
      <c r="ERU100" s="43"/>
      <c r="ERV100" s="43"/>
      <c r="ERW100" s="43"/>
      <c r="ERX100" s="43"/>
      <c r="ERY100" s="43"/>
      <c r="ERZ100" s="43"/>
      <c r="ESA100" s="43"/>
      <c r="ESB100" s="43"/>
      <c r="ESC100" s="43"/>
      <c r="ESD100" s="43"/>
      <c r="ESE100" s="43"/>
      <c r="ESF100" s="43"/>
      <c r="ESG100" s="43"/>
      <c r="ESH100" s="43"/>
      <c r="ESI100" s="43"/>
      <c r="ESJ100" s="43"/>
      <c r="ESK100" s="43"/>
      <c r="ESL100" s="43"/>
      <c r="ESM100" s="43"/>
      <c r="ESN100" s="43"/>
      <c r="ESO100" s="43"/>
      <c r="ESP100" s="43"/>
      <c r="ESQ100" s="43"/>
      <c r="ESR100" s="43"/>
      <c r="ESS100" s="43"/>
      <c r="EST100" s="43"/>
      <c r="ESU100" s="43"/>
      <c r="ESV100" s="43"/>
      <c r="ESW100" s="43"/>
      <c r="ESX100" s="43"/>
      <c r="ESY100" s="43"/>
      <c r="ESZ100" s="43"/>
      <c r="ETA100" s="43"/>
      <c r="ETB100" s="43"/>
      <c r="ETC100" s="43"/>
      <c r="ETD100" s="43"/>
      <c r="ETE100" s="43"/>
      <c r="ETF100" s="43"/>
      <c r="ETG100" s="43"/>
      <c r="ETH100" s="43"/>
      <c r="ETI100" s="43"/>
      <c r="ETJ100" s="43"/>
      <c r="ETK100" s="43"/>
      <c r="ETL100" s="43"/>
      <c r="ETM100" s="43"/>
      <c r="ETN100" s="43"/>
      <c r="ETO100" s="43"/>
      <c r="ETP100" s="43"/>
      <c r="ETQ100" s="43"/>
      <c r="ETR100" s="43"/>
      <c r="ETS100" s="43"/>
      <c r="ETT100" s="43"/>
      <c r="ETU100" s="43"/>
      <c r="ETV100" s="43"/>
      <c r="ETW100" s="43"/>
      <c r="ETX100" s="43"/>
      <c r="ETY100" s="43"/>
      <c r="ETZ100" s="43"/>
      <c r="EUA100" s="43"/>
      <c r="EUB100" s="43"/>
      <c r="EUC100" s="43"/>
      <c r="EUD100" s="43"/>
      <c r="EUE100" s="43"/>
      <c r="EUF100" s="43"/>
      <c r="EUG100" s="43"/>
      <c r="EUH100" s="43"/>
      <c r="EUI100" s="43"/>
      <c r="EUJ100" s="43"/>
      <c r="EUK100" s="43"/>
      <c r="EUL100" s="43"/>
      <c r="EUM100" s="43"/>
      <c r="EUN100" s="43"/>
      <c r="EUO100" s="43"/>
      <c r="EUP100" s="43"/>
      <c r="EUQ100" s="43"/>
      <c r="EUR100" s="43"/>
      <c r="EUS100" s="43"/>
      <c r="EUT100" s="43"/>
      <c r="EUU100" s="43"/>
      <c r="EUV100" s="43"/>
      <c r="EUW100" s="43"/>
      <c r="EUX100" s="43"/>
      <c r="EUY100" s="43"/>
      <c r="EUZ100" s="43"/>
      <c r="EVA100" s="43"/>
      <c r="EVB100" s="43"/>
      <c r="EVC100" s="43"/>
      <c r="EVD100" s="43"/>
      <c r="EVE100" s="43"/>
      <c r="EVF100" s="43"/>
      <c r="EVG100" s="43"/>
      <c r="EVH100" s="43"/>
      <c r="EVI100" s="43"/>
      <c r="EVJ100" s="43"/>
      <c r="EVK100" s="43"/>
      <c r="EVL100" s="43"/>
      <c r="EVM100" s="43"/>
      <c r="EVN100" s="43"/>
      <c r="EVO100" s="43"/>
      <c r="EVP100" s="43"/>
      <c r="EVQ100" s="43"/>
      <c r="EVR100" s="43"/>
      <c r="EVS100" s="43"/>
      <c r="EVT100" s="43"/>
      <c r="EVU100" s="43"/>
      <c r="EVV100" s="43"/>
      <c r="EVW100" s="43"/>
      <c r="EVX100" s="43"/>
      <c r="EVY100" s="43"/>
      <c r="EVZ100" s="43"/>
      <c r="EWA100" s="43"/>
      <c r="EWB100" s="43"/>
      <c r="EWC100" s="43"/>
      <c r="EWD100" s="43"/>
      <c r="EWF100" s="43"/>
      <c r="EWG100" s="43"/>
      <c r="EWH100" s="43"/>
      <c r="EWI100" s="43"/>
      <c r="EWJ100" s="43"/>
      <c r="EWK100" s="43"/>
      <c r="EWL100" s="43"/>
      <c r="EWM100" s="43"/>
      <c r="EWN100" s="43"/>
      <c r="EWO100" s="43"/>
      <c r="EWP100" s="43"/>
      <c r="EWQ100" s="43"/>
      <c r="EWR100" s="43"/>
      <c r="EWS100" s="43"/>
      <c r="EWT100" s="43"/>
      <c r="EWU100" s="43"/>
      <c r="EWV100" s="43"/>
      <c r="EWW100" s="43"/>
      <c r="EWX100" s="43"/>
      <c r="EWY100" s="43"/>
      <c r="EWZ100" s="43"/>
      <c r="EXA100" s="43"/>
      <c r="EXB100" s="43"/>
      <c r="EXC100" s="43"/>
      <c r="EXD100" s="43"/>
      <c r="EXE100" s="43"/>
      <c r="EXF100" s="43"/>
      <c r="EXG100" s="43"/>
      <c r="EXH100" s="43"/>
      <c r="EXI100" s="43"/>
      <c r="EXJ100" s="43"/>
      <c r="EXK100" s="43"/>
      <c r="EXL100" s="43"/>
      <c r="EXM100" s="43"/>
      <c r="EXN100" s="43"/>
      <c r="EXO100" s="43"/>
      <c r="EXP100" s="43"/>
      <c r="EXQ100" s="43"/>
      <c r="EXR100" s="43"/>
      <c r="EXS100" s="43"/>
      <c r="EXT100" s="43"/>
      <c r="EXU100" s="43"/>
      <c r="EXV100" s="43"/>
      <c r="EXW100" s="43"/>
      <c r="EXX100" s="43"/>
      <c r="EXY100" s="43"/>
      <c r="EXZ100" s="43"/>
      <c r="EYA100" s="43"/>
      <c r="EYB100" s="43"/>
      <c r="EYC100" s="43"/>
      <c r="EYD100" s="43"/>
      <c r="EYE100" s="43"/>
      <c r="EYF100" s="43"/>
      <c r="EYG100" s="43"/>
      <c r="EYH100" s="43"/>
      <c r="EYI100" s="43"/>
      <c r="EYJ100" s="43"/>
      <c r="EYK100" s="43"/>
      <c r="EYL100" s="43"/>
      <c r="EYM100" s="43"/>
      <c r="EYN100" s="43"/>
      <c r="EYO100" s="43"/>
      <c r="EYP100" s="43"/>
      <c r="EYQ100" s="43"/>
      <c r="EYR100" s="43"/>
      <c r="EYS100" s="43"/>
      <c r="EYT100" s="43"/>
      <c r="EYU100" s="43"/>
      <c r="EYV100" s="43"/>
      <c r="EYW100" s="43"/>
      <c r="EYX100" s="43"/>
      <c r="EYY100" s="43"/>
      <c r="EYZ100" s="43"/>
      <c r="EZA100" s="43"/>
      <c r="EZB100" s="43"/>
      <c r="EZC100" s="43"/>
      <c r="EZD100" s="43"/>
      <c r="EZE100" s="43"/>
      <c r="EZF100" s="43"/>
      <c r="EZG100" s="43"/>
      <c r="EZH100" s="43"/>
      <c r="EZI100" s="43"/>
      <c r="EZJ100" s="43"/>
      <c r="EZK100" s="43"/>
      <c r="EZL100" s="43"/>
      <c r="EZM100" s="43"/>
      <c r="EZN100" s="43"/>
      <c r="EZO100" s="43"/>
      <c r="EZP100" s="43"/>
      <c r="EZQ100" s="43"/>
      <c r="EZR100" s="43"/>
      <c r="EZS100" s="43"/>
      <c r="EZT100" s="43"/>
      <c r="EZU100" s="43"/>
      <c r="EZV100" s="43"/>
      <c r="EZW100" s="43"/>
      <c r="EZX100" s="43"/>
      <c r="EZY100" s="43"/>
      <c r="EZZ100" s="43"/>
      <c r="FAA100" s="43"/>
      <c r="FAB100" s="43"/>
      <c r="FAC100" s="43"/>
      <c r="FAD100" s="43"/>
      <c r="FAE100" s="43"/>
      <c r="FAF100" s="43"/>
      <c r="FAG100" s="43"/>
      <c r="FAH100" s="43"/>
      <c r="FAI100" s="43"/>
      <c r="FAJ100" s="43"/>
      <c r="FAK100" s="43"/>
      <c r="FAL100" s="43"/>
      <c r="FAM100" s="43"/>
      <c r="FAN100" s="43"/>
      <c r="FAO100" s="43"/>
      <c r="FAP100" s="43"/>
      <c r="FAQ100" s="43"/>
      <c r="FAR100" s="43"/>
      <c r="FAS100" s="43"/>
      <c r="FAT100" s="43"/>
      <c r="FAU100" s="43"/>
      <c r="FAV100" s="43"/>
      <c r="FAW100" s="43"/>
      <c r="FAX100" s="43"/>
      <c r="FAY100" s="43"/>
      <c r="FAZ100" s="43"/>
      <c r="FBA100" s="43"/>
      <c r="FBB100" s="43"/>
      <c r="FBC100" s="43"/>
      <c r="FBD100" s="43"/>
      <c r="FBE100" s="43"/>
      <c r="FBF100" s="43"/>
      <c r="FBG100" s="43"/>
      <c r="FBH100" s="43"/>
      <c r="FBI100" s="43"/>
      <c r="FBJ100" s="43"/>
      <c r="FBK100" s="43"/>
      <c r="FBL100" s="43"/>
      <c r="FBM100" s="43"/>
      <c r="FBN100" s="43"/>
      <c r="FBO100" s="43"/>
      <c r="FBP100" s="43"/>
      <c r="FBQ100" s="43"/>
      <c r="FBR100" s="43"/>
      <c r="FBS100" s="43"/>
      <c r="FBT100" s="43"/>
      <c r="FBU100" s="43"/>
      <c r="FBV100" s="43"/>
      <c r="FBW100" s="43"/>
      <c r="FBX100" s="43"/>
      <c r="FBY100" s="43"/>
      <c r="FBZ100" s="43"/>
      <c r="FCA100" s="43"/>
      <c r="FCB100" s="43"/>
      <c r="FCC100" s="43"/>
      <c r="FCD100" s="43"/>
      <c r="FCE100" s="43"/>
      <c r="FCF100" s="43"/>
      <c r="FCG100" s="43"/>
      <c r="FCH100" s="43"/>
      <c r="FCI100" s="43"/>
      <c r="FCJ100" s="43"/>
      <c r="FCK100" s="43"/>
      <c r="FCL100" s="43"/>
      <c r="FCM100" s="43"/>
      <c r="FCN100" s="43"/>
      <c r="FCO100" s="43"/>
      <c r="FCP100" s="43"/>
      <c r="FCQ100" s="43"/>
      <c r="FCR100" s="43"/>
      <c r="FCS100" s="43"/>
      <c r="FCT100" s="43"/>
      <c r="FCU100" s="43"/>
      <c r="FCV100" s="43"/>
      <c r="FCW100" s="43"/>
      <c r="FCX100" s="43"/>
      <c r="FCY100" s="43"/>
      <c r="FCZ100" s="43"/>
      <c r="FDA100" s="43"/>
      <c r="FDB100" s="43"/>
      <c r="FDC100" s="43"/>
      <c r="FDD100" s="43"/>
      <c r="FDE100" s="43"/>
      <c r="FDF100" s="43"/>
      <c r="FDG100" s="43"/>
      <c r="FDH100" s="43"/>
      <c r="FDI100" s="43"/>
      <c r="FDJ100" s="43"/>
      <c r="FDK100" s="43"/>
      <c r="FDL100" s="43"/>
      <c r="FDM100" s="43"/>
      <c r="FDN100" s="43"/>
      <c r="FDO100" s="43"/>
      <c r="FDP100" s="43"/>
      <c r="FDQ100" s="43"/>
      <c r="FDR100" s="43"/>
      <c r="FDS100" s="43"/>
      <c r="FDT100" s="43"/>
      <c r="FDU100" s="43"/>
      <c r="FDV100" s="43"/>
      <c r="FDW100" s="43"/>
      <c r="FDX100" s="43"/>
      <c r="FDY100" s="43"/>
      <c r="FDZ100" s="43"/>
      <c r="FEA100" s="43"/>
      <c r="FEB100" s="43"/>
      <c r="FEC100" s="43"/>
      <c r="FED100" s="43"/>
      <c r="FEE100" s="43"/>
      <c r="FEF100" s="43"/>
      <c r="FEG100" s="43"/>
      <c r="FEH100" s="43"/>
      <c r="FEI100" s="43"/>
      <c r="FEJ100" s="43"/>
      <c r="FEK100" s="43"/>
      <c r="FEL100" s="43"/>
      <c r="FEM100" s="43"/>
      <c r="FEN100" s="43"/>
      <c r="FEO100" s="43"/>
      <c r="FEP100" s="43"/>
      <c r="FEQ100" s="43"/>
      <c r="FER100" s="43"/>
      <c r="FES100" s="43"/>
      <c r="FET100" s="43"/>
      <c r="FEU100" s="43"/>
      <c r="FEV100" s="43"/>
      <c r="FEW100" s="43"/>
      <c r="FEX100" s="43"/>
      <c r="FEY100" s="43"/>
      <c r="FEZ100" s="43"/>
      <c r="FFA100" s="43"/>
      <c r="FFB100" s="43"/>
      <c r="FFC100" s="43"/>
      <c r="FFD100" s="43"/>
      <c r="FFE100" s="43"/>
      <c r="FFF100" s="43"/>
      <c r="FFG100" s="43"/>
      <c r="FFH100" s="43"/>
      <c r="FFI100" s="43"/>
      <c r="FFJ100" s="43"/>
      <c r="FFK100" s="43"/>
      <c r="FFL100" s="43"/>
      <c r="FFM100" s="43"/>
      <c r="FFN100" s="43"/>
      <c r="FFO100" s="43"/>
      <c r="FFP100" s="43"/>
      <c r="FFQ100" s="43"/>
      <c r="FFR100" s="43"/>
      <c r="FFS100" s="43"/>
      <c r="FFT100" s="43"/>
      <c r="FFU100" s="43"/>
      <c r="FFV100" s="43"/>
      <c r="FFW100" s="43"/>
      <c r="FFX100" s="43"/>
      <c r="FFY100" s="43"/>
      <c r="FFZ100" s="43"/>
      <c r="FGB100" s="43"/>
      <c r="FGC100" s="43"/>
      <c r="FGD100" s="43"/>
      <c r="FGE100" s="43"/>
      <c r="FGF100" s="43"/>
      <c r="FGG100" s="43"/>
      <c r="FGH100" s="43"/>
      <c r="FGI100" s="43"/>
      <c r="FGJ100" s="43"/>
      <c r="FGK100" s="43"/>
      <c r="FGL100" s="43"/>
      <c r="FGM100" s="43"/>
      <c r="FGN100" s="43"/>
      <c r="FGO100" s="43"/>
      <c r="FGP100" s="43"/>
      <c r="FGQ100" s="43"/>
      <c r="FGR100" s="43"/>
      <c r="FGS100" s="43"/>
      <c r="FGT100" s="43"/>
      <c r="FGU100" s="43"/>
      <c r="FGV100" s="43"/>
      <c r="FGW100" s="43"/>
      <c r="FGX100" s="43"/>
      <c r="FGY100" s="43"/>
      <c r="FGZ100" s="43"/>
      <c r="FHA100" s="43"/>
      <c r="FHB100" s="43"/>
      <c r="FHC100" s="43"/>
      <c r="FHD100" s="43"/>
      <c r="FHE100" s="43"/>
      <c r="FHF100" s="43"/>
      <c r="FHG100" s="43"/>
      <c r="FHH100" s="43"/>
      <c r="FHI100" s="43"/>
      <c r="FHJ100" s="43"/>
      <c r="FHK100" s="43"/>
      <c r="FHL100" s="43"/>
      <c r="FHM100" s="43"/>
      <c r="FHN100" s="43"/>
      <c r="FHO100" s="43"/>
      <c r="FHP100" s="43"/>
      <c r="FHQ100" s="43"/>
      <c r="FHR100" s="43"/>
      <c r="FHS100" s="43"/>
      <c r="FHT100" s="43"/>
      <c r="FHU100" s="43"/>
      <c r="FHV100" s="43"/>
      <c r="FHW100" s="43"/>
      <c r="FHX100" s="43"/>
      <c r="FHY100" s="43"/>
      <c r="FHZ100" s="43"/>
      <c r="FIA100" s="43"/>
      <c r="FIB100" s="43"/>
      <c r="FIC100" s="43"/>
      <c r="FID100" s="43"/>
      <c r="FIE100" s="43"/>
      <c r="FIF100" s="43"/>
      <c r="FIG100" s="43"/>
      <c r="FIH100" s="43"/>
      <c r="FII100" s="43"/>
      <c r="FIJ100" s="43"/>
      <c r="FIK100" s="43"/>
      <c r="FIL100" s="43"/>
      <c r="FIM100" s="43"/>
      <c r="FIN100" s="43"/>
      <c r="FIO100" s="43"/>
      <c r="FIP100" s="43"/>
      <c r="FIQ100" s="43"/>
      <c r="FIR100" s="43"/>
      <c r="FIS100" s="43"/>
      <c r="FIT100" s="43"/>
      <c r="FIU100" s="43"/>
      <c r="FIV100" s="43"/>
      <c r="FIW100" s="43"/>
      <c r="FIX100" s="43"/>
      <c r="FIY100" s="43"/>
      <c r="FIZ100" s="43"/>
      <c r="FJA100" s="43"/>
      <c r="FJB100" s="43"/>
      <c r="FJC100" s="43"/>
      <c r="FJD100" s="43"/>
      <c r="FJE100" s="43"/>
      <c r="FJF100" s="43"/>
      <c r="FJG100" s="43"/>
      <c r="FJH100" s="43"/>
      <c r="FJI100" s="43"/>
      <c r="FJJ100" s="43"/>
      <c r="FJK100" s="43"/>
      <c r="FJL100" s="43"/>
      <c r="FJM100" s="43"/>
      <c r="FJN100" s="43"/>
      <c r="FJO100" s="43"/>
      <c r="FJP100" s="43"/>
      <c r="FJQ100" s="43"/>
      <c r="FJR100" s="43"/>
      <c r="FJS100" s="43"/>
      <c r="FJT100" s="43"/>
      <c r="FJU100" s="43"/>
      <c r="FJV100" s="43"/>
      <c r="FJW100" s="43"/>
      <c r="FJX100" s="43"/>
      <c r="FJY100" s="43"/>
      <c r="FJZ100" s="43"/>
      <c r="FKA100" s="43"/>
      <c r="FKB100" s="43"/>
      <c r="FKC100" s="43"/>
      <c r="FKD100" s="43"/>
      <c r="FKE100" s="43"/>
      <c r="FKF100" s="43"/>
      <c r="FKG100" s="43"/>
      <c r="FKH100" s="43"/>
      <c r="FKI100" s="43"/>
      <c r="FKJ100" s="43"/>
      <c r="FKK100" s="43"/>
      <c r="FKL100" s="43"/>
      <c r="FKM100" s="43"/>
      <c r="FKN100" s="43"/>
      <c r="FKO100" s="43"/>
      <c r="FKP100" s="43"/>
      <c r="FKQ100" s="43"/>
      <c r="FKR100" s="43"/>
      <c r="FKS100" s="43"/>
      <c r="FKT100" s="43"/>
      <c r="FKU100" s="43"/>
      <c r="FKV100" s="43"/>
      <c r="FKW100" s="43"/>
      <c r="FKX100" s="43"/>
      <c r="FKY100" s="43"/>
      <c r="FKZ100" s="43"/>
      <c r="FLA100" s="43"/>
      <c r="FLB100" s="43"/>
      <c r="FLC100" s="43"/>
      <c r="FLD100" s="43"/>
      <c r="FLE100" s="43"/>
      <c r="FLF100" s="43"/>
      <c r="FLG100" s="43"/>
      <c r="FLH100" s="43"/>
      <c r="FLI100" s="43"/>
      <c r="FLJ100" s="43"/>
      <c r="FLK100" s="43"/>
      <c r="FLL100" s="43"/>
      <c r="FLM100" s="43"/>
      <c r="FLN100" s="43"/>
      <c r="FLO100" s="43"/>
      <c r="FLP100" s="43"/>
      <c r="FLQ100" s="43"/>
      <c r="FLR100" s="43"/>
      <c r="FLS100" s="43"/>
      <c r="FLT100" s="43"/>
      <c r="FLU100" s="43"/>
      <c r="FLV100" s="43"/>
      <c r="FLW100" s="43"/>
      <c r="FLX100" s="43"/>
      <c r="FLY100" s="43"/>
      <c r="FLZ100" s="43"/>
      <c r="FMA100" s="43"/>
      <c r="FMB100" s="43"/>
      <c r="FMC100" s="43"/>
      <c r="FMD100" s="43"/>
      <c r="FME100" s="43"/>
      <c r="FMF100" s="43"/>
      <c r="FMG100" s="43"/>
      <c r="FMH100" s="43"/>
      <c r="FMI100" s="43"/>
      <c r="FMJ100" s="43"/>
      <c r="FMK100" s="43"/>
      <c r="FML100" s="43"/>
      <c r="FMM100" s="43"/>
      <c r="FMN100" s="43"/>
      <c r="FMO100" s="43"/>
      <c r="FMP100" s="43"/>
      <c r="FMQ100" s="43"/>
      <c r="FMR100" s="43"/>
      <c r="FMS100" s="43"/>
      <c r="FMT100" s="43"/>
      <c r="FMU100" s="43"/>
      <c r="FMV100" s="43"/>
      <c r="FMW100" s="43"/>
      <c r="FMX100" s="43"/>
      <c r="FMY100" s="43"/>
      <c r="FMZ100" s="43"/>
      <c r="FNA100" s="43"/>
      <c r="FNB100" s="43"/>
      <c r="FNC100" s="43"/>
      <c r="FND100" s="43"/>
      <c r="FNE100" s="43"/>
      <c r="FNF100" s="43"/>
      <c r="FNG100" s="43"/>
      <c r="FNH100" s="43"/>
      <c r="FNI100" s="43"/>
      <c r="FNJ100" s="43"/>
      <c r="FNK100" s="43"/>
      <c r="FNL100" s="43"/>
      <c r="FNM100" s="43"/>
      <c r="FNN100" s="43"/>
      <c r="FNO100" s="43"/>
      <c r="FNP100" s="43"/>
      <c r="FNQ100" s="43"/>
      <c r="FNR100" s="43"/>
      <c r="FNS100" s="43"/>
      <c r="FNT100" s="43"/>
      <c r="FNU100" s="43"/>
      <c r="FNV100" s="43"/>
      <c r="FNW100" s="43"/>
      <c r="FNX100" s="43"/>
      <c r="FNY100" s="43"/>
      <c r="FNZ100" s="43"/>
      <c r="FOA100" s="43"/>
      <c r="FOB100" s="43"/>
      <c r="FOC100" s="43"/>
      <c r="FOD100" s="43"/>
      <c r="FOE100" s="43"/>
      <c r="FOF100" s="43"/>
      <c r="FOG100" s="43"/>
      <c r="FOH100" s="43"/>
      <c r="FOI100" s="43"/>
      <c r="FOJ100" s="43"/>
      <c r="FOK100" s="43"/>
      <c r="FOL100" s="43"/>
      <c r="FOM100" s="43"/>
      <c r="FON100" s="43"/>
      <c r="FOO100" s="43"/>
      <c r="FOP100" s="43"/>
      <c r="FOQ100" s="43"/>
      <c r="FOR100" s="43"/>
      <c r="FOS100" s="43"/>
      <c r="FOT100" s="43"/>
      <c r="FOU100" s="43"/>
      <c r="FOV100" s="43"/>
      <c r="FOW100" s="43"/>
      <c r="FOX100" s="43"/>
      <c r="FOY100" s="43"/>
      <c r="FOZ100" s="43"/>
      <c r="FPA100" s="43"/>
      <c r="FPB100" s="43"/>
      <c r="FPC100" s="43"/>
      <c r="FPD100" s="43"/>
      <c r="FPE100" s="43"/>
      <c r="FPF100" s="43"/>
      <c r="FPG100" s="43"/>
      <c r="FPH100" s="43"/>
      <c r="FPI100" s="43"/>
      <c r="FPJ100" s="43"/>
      <c r="FPK100" s="43"/>
      <c r="FPL100" s="43"/>
      <c r="FPM100" s="43"/>
      <c r="FPN100" s="43"/>
      <c r="FPO100" s="43"/>
      <c r="FPP100" s="43"/>
      <c r="FPQ100" s="43"/>
      <c r="FPR100" s="43"/>
      <c r="FPS100" s="43"/>
      <c r="FPT100" s="43"/>
      <c r="FPU100" s="43"/>
      <c r="FPV100" s="43"/>
      <c r="FPX100" s="43"/>
      <c r="FPY100" s="43"/>
      <c r="FPZ100" s="43"/>
      <c r="FQA100" s="43"/>
      <c r="FQB100" s="43"/>
      <c r="FQC100" s="43"/>
      <c r="FQD100" s="43"/>
      <c r="FQE100" s="43"/>
      <c r="FQF100" s="43"/>
      <c r="FQG100" s="43"/>
      <c r="FQH100" s="43"/>
      <c r="FQI100" s="43"/>
      <c r="FQJ100" s="43"/>
      <c r="FQK100" s="43"/>
      <c r="FQL100" s="43"/>
      <c r="FQM100" s="43"/>
      <c r="FQN100" s="43"/>
      <c r="FQO100" s="43"/>
      <c r="FQP100" s="43"/>
      <c r="FQQ100" s="43"/>
      <c r="FQR100" s="43"/>
      <c r="FQS100" s="43"/>
      <c r="FQT100" s="43"/>
      <c r="FQU100" s="43"/>
      <c r="FQV100" s="43"/>
      <c r="FQW100" s="43"/>
      <c r="FQX100" s="43"/>
      <c r="FQY100" s="43"/>
      <c r="FQZ100" s="43"/>
      <c r="FRA100" s="43"/>
      <c r="FRB100" s="43"/>
      <c r="FRC100" s="43"/>
      <c r="FRD100" s="43"/>
      <c r="FRE100" s="43"/>
      <c r="FRF100" s="43"/>
      <c r="FRG100" s="43"/>
      <c r="FRH100" s="43"/>
      <c r="FRI100" s="43"/>
      <c r="FRJ100" s="43"/>
      <c r="FRK100" s="43"/>
      <c r="FRL100" s="43"/>
      <c r="FRM100" s="43"/>
      <c r="FRN100" s="43"/>
      <c r="FRO100" s="43"/>
      <c r="FRP100" s="43"/>
      <c r="FRQ100" s="43"/>
      <c r="FRR100" s="43"/>
      <c r="FRS100" s="43"/>
      <c r="FRT100" s="43"/>
      <c r="FRU100" s="43"/>
      <c r="FRV100" s="43"/>
      <c r="FRW100" s="43"/>
      <c r="FRX100" s="43"/>
      <c r="FRY100" s="43"/>
      <c r="FRZ100" s="43"/>
      <c r="FSA100" s="43"/>
      <c r="FSB100" s="43"/>
      <c r="FSC100" s="43"/>
      <c r="FSD100" s="43"/>
      <c r="FSE100" s="43"/>
      <c r="FSF100" s="43"/>
      <c r="FSG100" s="43"/>
      <c r="FSH100" s="43"/>
      <c r="FSI100" s="43"/>
      <c r="FSJ100" s="43"/>
      <c r="FSK100" s="43"/>
      <c r="FSL100" s="43"/>
      <c r="FSM100" s="43"/>
      <c r="FSN100" s="43"/>
      <c r="FSO100" s="43"/>
      <c r="FSP100" s="43"/>
      <c r="FSQ100" s="43"/>
      <c r="FSR100" s="43"/>
      <c r="FSS100" s="43"/>
      <c r="FST100" s="43"/>
      <c r="FSU100" s="43"/>
      <c r="FSV100" s="43"/>
      <c r="FSW100" s="43"/>
      <c r="FSX100" s="43"/>
      <c r="FSY100" s="43"/>
      <c r="FSZ100" s="43"/>
      <c r="FTA100" s="43"/>
      <c r="FTB100" s="43"/>
      <c r="FTC100" s="43"/>
      <c r="FTD100" s="43"/>
      <c r="FTE100" s="43"/>
      <c r="FTF100" s="43"/>
      <c r="FTG100" s="43"/>
      <c r="FTH100" s="43"/>
      <c r="FTI100" s="43"/>
      <c r="FTJ100" s="43"/>
      <c r="FTK100" s="43"/>
      <c r="FTL100" s="43"/>
      <c r="FTM100" s="43"/>
      <c r="FTN100" s="43"/>
      <c r="FTO100" s="43"/>
      <c r="FTP100" s="43"/>
      <c r="FTQ100" s="43"/>
      <c r="FTR100" s="43"/>
      <c r="FTS100" s="43"/>
      <c r="FTT100" s="43"/>
      <c r="FTU100" s="43"/>
      <c r="FTV100" s="43"/>
      <c r="FTW100" s="43"/>
      <c r="FTX100" s="43"/>
      <c r="FTY100" s="43"/>
      <c r="FTZ100" s="43"/>
      <c r="FUA100" s="43"/>
      <c r="FUB100" s="43"/>
      <c r="FUC100" s="43"/>
      <c r="FUD100" s="43"/>
      <c r="FUE100" s="43"/>
      <c r="FUF100" s="43"/>
      <c r="FUG100" s="43"/>
      <c r="FUH100" s="43"/>
      <c r="FUI100" s="43"/>
      <c r="FUJ100" s="43"/>
      <c r="FUK100" s="43"/>
      <c r="FUL100" s="43"/>
      <c r="FUM100" s="43"/>
      <c r="FUN100" s="43"/>
      <c r="FUO100" s="43"/>
      <c r="FUP100" s="43"/>
      <c r="FUQ100" s="43"/>
      <c r="FUR100" s="43"/>
      <c r="FUS100" s="43"/>
      <c r="FUT100" s="43"/>
      <c r="FUU100" s="43"/>
      <c r="FUV100" s="43"/>
      <c r="FUW100" s="43"/>
      <c r="FUX100" s="43"/>
      <c r="FUY100" s="43"/>
      <c r="FUZ100" s="43"/>
      <c r="FVA100" s="43"/>
      <c r="FVB100" s="43"/>
      <c r="FVC100" s="43"/>
      <c r="FVD100" s="43"/>
      <c r="FVE100" s="43"/>
      <c r="FVF100" s="43"/>
      <c r="FVG100" s="43"/>
      <c r="FVH100" s="43"/>
      <c r="FVI100" s="43"/>
      <c r="FVJ100" s="43"/>
      <c r="FVK100" s="43"/>
      <c r="FVL100" s="43"/>
      <c r="FVM100" s="43"/>
      <c r="FVN100" s="43"/>
      <c r="FVO100" s="43"/>
      <c r="FVP100" s="43"/>
      <c r="FVQ100" s="43"/>
      <c r="FVR100" s="43"/>
      <c r="FVS100" s="43"/>
      <c r="FVT100" s="43"/>
      <c r="FVU100" s="43"/>
      <c r="FVV100" s="43"/>
      <c r="FVW100" s="43"/>
      <c r="FVX100" s="43"/>
      <c r="FVY100" s="43"/>
      <c r="FVZ100" s="43"/>
      <c r="FWA100" s="43"/>
      <c r="FWB100" s="43"/>
      <c r="FWC100" s="43"/>
      <c r="FWD100" s="43"/>
      <c r="FWE100" s="43"/>
      <c r="FWF100" s="43"/>
      <c r="FWG100" s="43"/>
      <c r="FWH100" s="43"/>
      <c r="FWI100" s="43"/>
      <c r="FWJ100" s="43"/>
      <c r="FWK100" s="43"/>
      <c r="FWL100" s="43"/>
      <c r="FWM100" s="43"/>
      <c r="FWN100" s="43"/>
      <c r="FWO100" s="43"/>
      <c r="FWP100" s="43"/>
      <c r="FWQ100" s="43"/>
      <c r="FWR100" s="43"/>
      <c r="FWS100" s="43"/>
      <c r="FWT100" s="43"/>
      <c r="FWU100" s="43"/>
      <c r="FWV100" s="43"/>
      <c r="FWW100" s="43"/>
      <c r="FWX100" s="43"/>
      <c r="FWY100" s="43"/>
      <c r="FWZ100" s="43"/>
      <c r="FXA100" s="43"/>
      <c r="FXB100" s="43"/>
      <c r="FXC100" s="43"/>
      <c r="FXD100" s="43"/>
      <c r="FXE100" s="43"/>
      <c r="FXF100" s="43"/>
      <c r="FXG100" s="43"/>
      <c r="FXH100" s="43"/>
      <c r="FXI100" s="43"/>
      <c r="FXJ100" s="43"/>
      <c r="FXK100" s="43"/>
      <c r="FXL100" s="43"/>
      <c r="FXM100" s="43"/>
      <c r="FXN100" s="43"/>
      <c r="FXO100" s="43"/>
      <c r="FXP100" s="43"/>
      <c r="FXQ100" s="43"/>
      <c r="FXR100" s="43"/>
      <c r="FXS100" s="43"/>
      <c r="FXT100" s="43"/>
      <c r="FXU100" s="43"/>
      <c r="FXV100" s="43"/>
      <c r="FXW100" s="43"/>
      <c r="FXX100" s="43"/>
      <c r="FXY100" s="43"/>
      <c r="FXZ100" s="43"/>
      <c r="FYA100" s="43"/>
      <c r="FYB100" s="43"/>
      <c r="FYC100" s="43"/>
      <c r="FYD100" s="43"/>
      <c r="FYE100" s="43"/>
      <c r="FYF100" s="43"/>
      <c r="FYG100" s="43"/>
      <c r="FYH100" s="43"/>
      <c r="FYI100" s="43"/>
      <c r="FYJ100" s="43"/>
      <c r="FYK100" s="43"/>
      <c r="FYL100" s="43"/>
      <c r="FYM100" s="43"/>
      <c r="FYN100" s="43"/>
      <c r="FYO100" s="43"/>
      <c r="FYP100" s="43"/>
      <c r="FYQ100" s="43"/>
      <c r="FYR100" s="43"/>
      <c r="FYS100" s="43"/>
      <c r="FYT100" s="43"/>
      <c r="FYU100" s="43"/>
      <c r="FYV100" s="43"/>
      <c r="FYW100" s="43"/>
      <c r="FYX100" s="43"/>
      <c r="FYY100" s="43"/>
      <c r="FYZ100" s="43"/>
      <c r="FZA100" s="43"/>
      <c r="FZB100" s="43"/>
      <c r="FZC100" s="43"/>
      <c r="FZD100" s="43"/>
      <c r="FZE100" s="43"/>
      <c r="FZF100" s="43"/>
      <c r="FZG100" s="43"/>
      <c r="FZH100" s="43"/>
      <c r="FZI100" s="43"/>
      <c r="FZJ100" s="43"/>
      <c r="FZK100" s="43"/>
      <c r="FZL100" s="43"/>
      <c r="FZM100" s="43"/>
      <c r="FZN100" s="43"/>
      <c r="FZO100" s="43"/>
      <c r="FZP100" s="43"/>
      <c r="FZQ100" s="43"/>
      <c r="FZR100" s="43"/>
      <c r="FZT100" s="43"/>
      <c r="FZU100" s="43"/>
      <c r="FZV100" s="43"/>
      <c r="FZW100" s="43"/>
      <c r="FZX100" s="43"/>
      <c r="FZY100" s="43"/>
      <c r="FZZ100" s="43"/>
      <c r="GAA100" s="43"/>
      <c r="GAB100" s="43"/>
      <c r="GAC100" s="43"/>
      <c r="GAD100" s="43"/>
      <c r="GAE100" s="43"/>
      <c r="GAF100" s="43"/>
      <c r="GAG100" s="43"/>
      <c r="GAH100" s="43"/>
      <c r="GAI100" s="43"/>
      <c r="GAJ100" s="43"/>
      <c r="GAK100" s="43"/>
      <c r="GAL100" s="43"/>
      <c r="GAM100" s="43"/>
      <c r="GAN100" s="43"/>
      <c r="GAO100" s="43"/>
      <c r="GAP100" s="43"/>
      <c r="GAQ100" s="43"/>
      <c r="GAR100" s="43"/>
      <c r="GAS100" s="43"/>
      <c r="GAT100" s="43"/>
      <c r="GAU100" s="43"/>
      <c r="GAV100" s="43"/>
      <c r="GAW100" s="43"/>
      <c r="GAX100" s="43"/>
      <c r="GAY100" s="43"/>
      <c r="GAZ100" s="43"/>
      <c r="GBA100" s="43"/>
      <c r="GBB100" s="43"/>
      <c r="GBC100" s="43"/>
      <c r="GBD100" s="43"/>
      <c r="GBE100" s="43"/>
      <c r="GBF100" s="43"/>
      <c r="GBG100" s="43"/>
      <c r="GBH100" s="43"/>
      <c r="GBI100" s="43"/>
      <c r="GBJ100" s="43"/>
      <c r="GBK100" s="43"/>
      <c r="GBL100" s="43"/>
      <c r="GBM100" s="43"/>
      <c r="GBN100" s="43"/>
      <c r="GBO100" s="43"/>
      <c r="GBP100" s="43"/>
      <c r="GBQ100" s="43"/>
      <c r="GBR100" s="43"/>
      <c r="GBS100" s="43"/>
      <c r="GBT100" s="43"/>
      <c r="GBU100" s="43"/>
      <c r="GBV100" s="43"/>
      <c r="GBW100" s="43"/>
      <c r="GBX100" s="43"/>
      <c r="GBY100" s="43"/>
      <c r="GBZ100" s="43"/>
      <c r="GCA100" s="43"/>
      <c r="GCB100" s="43"/>
      <c r="GCC100" s="43"/>
      <c r="GCD100" s="43"/>
      <c r="GCE100" s="43"/>
      <c r="GCF100" s="43"/>
      <c r="GCG100" s="43"/>
      <c r="GCH100" s="43"/>
      <c r="GCI100" s="43"/>
      <c r="GCJ100" s="43"/>
      <c r="GCK100" s="43"/>
      <c r="GCL100" s="43"/>
      <c r="GCM100" s="43"/>
      <c r="GCN100" s="43"/>
      <c r="GCO100" s="43"/>
      <c r="GCP100" s="43"/>
      <c r="GCQ100" s="43"/>
      <c r="GCR100" s="43"/>
      <c r="GCS100" s="43"/>
      <c r="GCT100" s="43"/>
      <c r="GCU100" s="43"/>
      <c r="GCV100" s="43"/>
      <c r="GCW100" s="43"/>
      <c r="GCX100" s="43"/>
      <c r="GCY100" s="43"/>
      <c r="GCZ100" s="43"/>
      <c r="GDA100" s="43"/>
      <c r="GDB100" s="43"/>
      <c r="GDC100" s="43"/>
      <c r="GDD100" s="43"/>
      <c r="GDE100" s="43"/>
      <c r="GDF100" s="43"/>
      <c r="GDG100" s="43"/>
      <c r="GDH100" s="43"/>
      <c r="GDI100" s="43"/>
      <c r="GDJ100" s="43"/>
      <c r="GDK100" s="43"/>
      <c r="GDL100" s="43"/>
      <c r="GDM100" s="43"/>
      <c r="GDN100" s="43"/>
      <c r="GDO100" s="43"/>
      <c r="GDP100" s="43"/>
      <c r="GDQ100" s="43"/>
      <c r="GDR100" s="43"/>
      <c r="GDS100" s="43"/>
      <c r="GDT100" s="43"/>
      <c r="GDU100" s="43"/>
      <c r="GDV100" s="43"/>
      <c r="GDW100" s="43"/>
      <c r="GDX100" s="43"/>
      <c r="GDY100" s="43"/>
      <c r="GDZ100" s="43"/>
      <c r="GEA100" s="43"/>
      <c r="GEB100" s="43"/>
      <c r="GEC100" s="43"/>
      <c r="GED100" s="43"/>
      <c r="GEE100" s="43"/>
      <c r="GEF100" s="43"/>
      <c r="GEG100" s="43"/>
      <c r="GEH100" s="43"/>
      <c r="GEI100" s="43"/>
      <c r="GEJ100" s="43"/>
      <c r="GEK100" s="43"/>
      <c r="GEL100" s="43"/>
      <c r="GEM100" s="43"/>
      <c r="GEN100" s="43"/>
      <c r="GEO100" s="43"/>
      <c r="GEP100" s="43"/>
      <c r="GEQ100" s="43"/>
      <c r="GER100" s="43"/>
      <c r="GES100" s="43"/>
      <c r="GET100" s="43"/>
      <c r="GEU100" s="43"/>
      <c r="GEV100" s="43"/>
      <c r="GEW100" s="43"/>
      <c r="GEX100" s="43"/>
      <c r="GEY100" s="43"/>
      <c r="GEZ100" s="43"/>
      <c r="GFA100" s="43"/>
      <c r="GFB100" s="43"/>
      <c r="GFC100" s="43"/>
      <c r="GFD100" s="43"/>
      <c r="GFE100" s="43"/>
      <c r="GFF100" s="43"/>
      <c r="GFG100" s="43"/>
      <c r="GFH100" s="43"/>
      <c r="GFI100" s="43"/>
      <c r="GFJ100" s="43"/>
      <c r="GFK100" s="43"/>
      <c r="GFL100" s="43"/>
      <c r="GFM100" s="43"/>
      <c r="GFN100" s="43"/>
      <c r="GFO100" s="43"/>
      <c r="GFP100" s="43"/>
      <c r="GFQ100" s="43"/>
      <c r="GFR100" s="43"/>
      <c r="GFS100" s="43"/>
      <c r="GFT100" s="43"/>
      <c r="GFU100" s="43"/>
      <c r="GFV100" s="43"/>
      <c r="GFW100" s="43"/>
      <c r="GFX100" s="43"/>
      <c r="GFY100" s="43"/>
      <c r="GFZ100" s="43"/>
      <c r="GGA100" s="43"/>
      <c r="GGB100" s="43"/>
      <c r="GGC100" s="43"/>
      <c r="GGD100" s="43"/>
      <c r="GGE100" s="43"/>
      <c r="GGF100" s="43"/>
      <c r="GGG100" s="43"/>
      <c r="GGH100" s="43"/>
      <c r="GGI100" s="43"/>
      <c r="GGJ100" s="43"/>
      <c r="GGK100" s="43"/>
      <c r="GGL100" s="43"/>
      <c r="GGM100" s="43"/>
      <c r="GGN100" s="43"/>
      <c r="GGO100" s="43"/>
      <c r="GGP100" s="43"/>
      <c r="GGQ100" s="43"/>
      <c r="GGR100" s="43"/>
      <c r="GGS100" s="43"/>
      <c r="GGT100" s="43"/>
      <c r="GGU100" s="43"/>
      <c r="GGV100" s="43"/>
      <c r="GGW100" s="43"/>
      <c r="GGX100" s="43"/>
      <c r="GGY100" s="43"/>
      <c r="GGZ100" s="43"/>
      <c r="GHA100" s="43"/>
      <c r="GHB100" s="43"/>
      <c r="GHC100" s="43"/>
      <c r="GHD100" s="43"/>
      <c r="GHE100" s="43"/>
      <c r="GHF100" s="43"/>
      <c r="GHG100" s="43"/>
      <c r="GHH100" s="43"/>
      <c r="GHI100" s="43"/>
      <c r="GHJ100" s="43"/>
      <c r="GHK100" s="43"/>
      <c r="GHL100" s="43"/>
      <c r="GHM100" s="43"/>
      <c r="GHN100" s="43"/>
      <c r="GHO100" s="43"/>
      <c r="GHP100" s="43"/>
      <c r="GHQ100" s="43"/>
      <c r="GHR100" s="43"/>
      <c r="GHS100" s="43"/>
      <c r="GHT100" s="43"/>
      <c r="GHU100" s="43"/>
      <c r="GHV100" s="43"/>
      <c r="GHW100" s="43"/>
      <c r="GHX100" s="43"/>
      <c r="GHY100" s="43"/>
      <c r="GHZ100" s="43"/>
      <c r="GIA100" s="43"/>
      <c r="GIB100" s="43"/>
      <c r="GIC100" s="43"/>
      <c r="GID100" s="43"/>
      <c r="GIE100" s="43"/>
      <c r="GIF100" s="43"/>
      <c r="GIG100" s="43"/>
      <c r="GIH100" s="43"/>
      <c r="GII100" s="43"/>
      <c r="GIJ100" s="43"/>
      <c r="GIK100" s="43"/>
      <c r="GIL100" s="43"/>
      <c r="GIM100" s="43"/>
      <c r="GIN100" s="43"/>
      <c r="GIO100" s="43"/>
      <c r="GIP100" s="43"/>
      <c r="GIQ100" s="43"/>
      <c r="GIR100" s="43"/>
      <c r="GIS100" s="43"/>
      <c r="GIT100" s="43"/>
      <c r="GIU100" s="43"/>
      <c r="GIV100" s="43"/>
      <c r="GIW100" s="43"/>
      <c r="GIX100" s="43"/>
      <c r="GIY100" s="43"/>
      <c r="GIZ100" s="43"/>
      <c r="GJA100" s="43"/>
      <c r="GJB100" s="43"/>
      <c r="GJC100" s="43"/>
      <c r="GJD100" s="43"/>
      <c r="GJE100" s="43"/>
      <c r="GJF100" s="43"/>
      <c r="GJG100" s="43"/>
      <c r="GJH100" s="43"/>
      <c r="GJI100" s="43"/>
      <c r="GJJ100" s="43"/>
      <c r="GJK100" s="43"/>
      <c r="GJL100" s="43"/>
      <c r="GJM100" s="43"/>
      <c r="GJN100" s="43"/>
      <c r="GJP100" s="43"/>
      <c r="GJQ100" s="43"/>
      <c r="GJR100" s="43"/>
      <c r="GJS100" s="43"/>
      <c r="GJT100" s="43"/>
      <c r="GJU100" s="43"/>
      <c r="GJV100" s="43"/>
      <c r="GJW100" s="43"/>
      <c r="GJX100" s="43"/>
      <c r="GJY100" s="43"/>
      <c r="GJZ100" s="43"/>
      <c r="GKA100" s="43"/>
      <c r="GKB100" s="43"/>
      <c r="GKC100" s="43"/>
      <c r="GKD100" s="43"/>
      <c r="GKE100" s="43"/>
      <c r="GKF100" s="43"/>
      <c r="GKG100" s="43"/>
      <c r="GKH100" s="43"/>
      <c r="GKI100" s="43"/>
      <c r="GKJ100" s="43"/>
      <c r="GKK100" s="43"/>
      <c r="GKL100" s="43"/>
      <c r="GKM100" s="43"/>
      <c r="GKN100" s="43"/>
      <c r="GKO100" s="43"/>
      <c r="GKP100" s="43"/>
      <c r="GKQ100" s="43"/>
      <c r="GKR100" s="43"/>
      <c r="GKS100" s="43"/>
      <c r="GKT100" s="43"/>
      <c r="GKU100" s="43"/>
      <c r="GKV100" s="43"/>
      <c r="GKW100" s="43"/>
      <c r="GKX100" s="43"/>
      <c r="GKY100" s="43"/>
      <c r="GKZ100" s="43"/>
      <c r="GLA100" s="43"/>
      <c r="GLB100" s="43"/>
      <c r="GLC100" s="43"/>
      <c r="GLD100" s="43"/>
      <c r="GLE100" s="43"/>
      <c r="GLF100" s="43"/>
      <c r="GLG100" s="43"/>
      <c r="GLH100" s="43"/>
      <c r="GLI100" s="43"/>
      <c r="GLJ100" s="43"/>
      <c r="GLK100" s="43"/>
      <c r="GLL100" s="43"/>
      <c r="GLM100" s="43"/>
      <c r="GLN100" s="43"/>
      <c r="GLO100" s="43"/>
      <c r="GLP100" s="43"/>
      <c r="GLQ100" s="43"/>
      <c r="GLR100" s="43"/>
      <c r="GLS100" s="43"/>
      <c r="GLT100" s="43"/>
      <c r="GLU100" s="43"/>
      <c r="GLV100" s="43"/>
      <c r="GLW100" s="43"/>
      <c r="GLX100" s="43"/>
      <c r="GLY100" s="43"/>
      <c r="GLZ100" s="43"/>
      <c r="GMA100" s="43"/>
      <c r="GMB100" s="43"/>
      <c r="GMC100" s="43"/>
      <c r="GMD100" s="43"/>
      <c r="GME100" s="43"/>
      <c r="GMF100" s="43"/>
      <c r="GMG100" s="43"/>
      <c r="GMH100" s="43"/>
      <c r="GMI100" s="43"/>
      <c r="GMJ100" s="43"/>
      <c r="GMK100" s="43"/>
      <c r="GML100" s="43"/>
      <c r="GMM100" s="43"/>
      <c r="GMN100" s="43"/>
      <c r="GMO100" s="43"/>
      <c r="GMP100" s="43"/>
      <c r="GMQ100" s="43"/>
      <c r="GMR100" s="43"/>
      <c r="GMS100" s="43"/>
      <c r="GMT100" s="43"/>
      <c r="GMU100" s="43"/>
      <c r="GMV100" s="43"/>
      <c r="GMW100" s="43"/>
      <c r="GMX100" s="43"/>
      <c r="GMY100" s="43"/>
      <c r="GMZ100" s="43"/>
      <c r="GNA100" s="43"/>
      <c r="GNB100" s="43"/>
      <c r="GNC100" s="43"/>
      <c r="GND100" s="43"/>
      <c r="GNE100" s="43"/>
      <c r="GNF100" s="43"/>
      <c r="GNG100" s="43"/>
      <c r="GNH100" s="43"/>
      <c r="GNI100" s="43"/>
      <c r="GNJ100" s="43"/>
      <c r="GNK100" s="43"/>
      <c r="GNL100" s="43"/>
      <c r="GNM100" s="43"/>
      <c r="GNN100" s="43"/>
      <c r="GNO100" s="43"/>
      <c r="GNP100" s="43"/>
      <c r="GNQ100" s="43"/>
      <c r="GNR100" s="43"/>
      <c r="GNS100" s="43"/>
      <c r="GNT100" s="43"/>
      <c r="GNU100" s="43"/>
      <c r="GNV100" s="43"/>
      <c r="GNW100" s="43"/>
      <c r="GNX100" s="43"/>
      <c r="GNY100" s="43"/>
      <c r="GNZ100" s="43"/>
      <c r="GOA100" s="43"/>
      <c r="GOB100" s="43"/>
      <c r="GOC100" s="43"/>
      <c r="GOD100" s="43"/>
      <c r="GOE100" s="43"/>
      <c r="GOF100" s="43"/>
      <c r="GOG100" s="43"/>
      <c r="GOH100" s="43"/>
      <c r="GOI100" s="43"/>
      <c r="GOJ100" s="43"/>
      <c r="GOK100" s="43"/>
      <c r="GOL100" s="43"/>
      <c r="GOM100" s="43"/>
      <c r="GON100" s="43"/>
      <c r="GOO100" s="43"/>
      <c r="GOP100" s="43"/>
      <c r="GOQ100" s="43"/>
      <c r="GOR100" s="43"/>
      <c r="GOS100" s="43"/>
      <c r="GOT100" s="43"/>
      <c r="GOU100" s="43"/>
      <c r="GOV100" s="43"/>
      <c r="GOW100" s="43"/>
      <c r="GOX100" s="43"/>
      <c r="GOY100" s="43"/>
      <c r="GOZ100" s="43"/>
      <c r="GPA100" s="43"/>
      <c r="GPB100" s="43"/>
      <c r="GPC100" s="43"/>
      <c r="GPD100" s="43"/>
      <c r="GPE100" s="43"/>
      <c r="GPF100" s="43"/>
      <c r="GPG100" s="43"/>
      <c r="GPH100" s="43"/>
      <c r="GPI100" s="43"/>
      <c r="GPJ100" s="43"/>
      <c r="GPK100" s="43"/>
      <c r="GPL100" s="43"/>
      <c r="GPM100" s="43"/>
      <c r="GPN100" s="43"/>
      <c r="GPO100" s="43"/>
      <c r="GPP100" s="43"/>
      <c r="GPQ100" s="43"/>
      <c r="GPR100" s="43"/>
      <c r="GPS100" s="43"/>
      <c r="GPT100" s="43"/>
      <c r="GPU100" s="43"/>
      <c r="GPV100" s="43"/>
      <c r="GPW100" s="43"/>
      <c r="GPX100" s="43"/>
      <c r="GPY100" s="43"/>
      <c r="GPZ100" s="43"/>
      <c r="GQA100" s="43"/>
      <c r="GQB100" s="43"/>
      <c r="GQC100" s="43"/>
      <c r="GQD100" s="43"/>
      <c r="GQE100" s="43"/>
      <c r="GQF100" s="43"/>
      <c r="GQG100" s="43"/>
      <c r="GQH100" s="43"/>
      <c r="GQI100" s="43"/>
      <c r="GQJ100" s="43"/>
      <c r="GQK100" s="43"/>
      <c r="GQL100" s="43"/>
      <c r="GQM100" s="43"/>
      <c r="GQN100" s="43"/>
      <c r="GQO100" s="43"/>
      <c r="GQP100" s="43"/>
      <c r="GQQ100" s="43"/>
      <c r="GQR100" s="43"/>
      <c r="GQS100" s="43"/>
      <c r="GQT100" s="43"/>
      <c r="GQU100" s="43"/>
      <c r="GQV100" s="43"/>
      <c r="GQW100" s="43"/>
      <c r="GQX100" s="43"/>
      <c r="GQY100" s="43"/>
      <c r="GQZ100" s="43"/>
      <c r="GRA100" s="43"/>
      <c r="GRB100" s="43"/>
      <c r="GRC100" s="43"/>
      <c r="GRD100" s="43"/>
      <c r="GRE100" s="43"/>
      <c r="GRF100" s="43"/>
      <c r="GRG100" s="43"/>
      <c r="GRH100" s="43"/>
      <c r="GRI100" s="43"/>
      <c r="GRJ100" s="43"/>
      <c r="GRK100" s="43"/>
      <c r="GRL100" s="43"/>
      <c r="GRM100" s="43"/>
      <c r="GRN100" s="43"/>
      <c r="GRO100" s="43"/>
      <c r="GRP100" s="43"/>
      <c r="GRQ100" s="43"/>
      <c r="GRR100" s="43"/>
      <c r="GRS100" s="43"/>
      <c r="GRT100" s="43"/>
      <c r="GRU100" s="43"/>
      <c r="GRV100" s="43"/>
      <c r="GRW100" s="43"/>
      <c r="GRX100" s="43"/>
      <c r="GRY100" s="43"/>
      <c r="GRZ100" s="43"/>
      <c r="GSA100" s="43"/>
      <c r="GSB100" s="43"/>
      <c r="GSC100" s="43"/>
      <c r="GSD100" s="43"/>
      <c r="GSE100" s="43"/>
      <c r="GSF100" s="43"/>
      <c r="GSG100" s="43"/>
      <c r="GSH100" s="43"/>
      <c r="GSI100" s="43"/>
      <c r="GSJ100" s="43"/>
      <c r="GSK100" s="43"/>
      <c r="GSL100" s="43"/>
      <c r="GSM100" s="43"/>
      <c r="GSN100" s="43"/>
      <c r="GSO100" s="43"/>
      <c r="GSP100" s="43"/>
      <c r="GSQ100" s="43"/>
      <c r="GSR100" s="43"/>
      <c r="GSS100" s="43"/>
      <c r="GST100" s="43"/>
      <c r="GSU100" s="43"/>
      <c r="GSV100" s="43"/>
      <c r="GSW100" s="43"/>
      <c r="GSX100" s="43"/>
      <c r="GSY100" s="43"/>
      <c r="GSZ100" s="43"/>
      <c r="GTA100" s="43"/>
      <c r="GTB100" s="43"/>
      <c r="GTC100" s="43"/>
      <c r="GTD100" s="43"/>
      <c r="GTE100" s="43"/>
      <c r="GTF100" s="43"/>
      <c r="GTG100" s="43"/>
      <c r="GTH100" s="43"/>
      <c r="GTI100" s="43"/>
      <c r="GTJ100" s="43"/>
      <c r="GTL100" s="43"/>
      <c r="GTM100" s="43"/>
      <c r="GTN100" s="43"/>
      <c r="GTO100" s="43"/>
      <c r="GTP100" s="43"/>
      <c r="GTQ100" s="43"/>
      <c r="GTR100" s="43"/>
      <c r="GTS100" s="43"/>
      <c r="GTT100" s="43"/>
      <c r="GTU100" s="43"/>
      <c r="GTV100" s="43"/>
      <c r="GTW100" s="43"/>
      <c r="GTX100" s="43"/>
      <c r="GTY100" s="43"/>
      <c r="GTZ100" s="43"/>
      <c r="GUA100" s="43"/>
      <c r="GUB100" s="43"/>
      <c r="GUC100" s="43"/>
      <c r="GUD100" s="43"/>
      <c r="GUE100" s="43"/>
      <c r="GUF100" s="43"/>
      <c r="GUG100" s="43"/>
      <c r="GUH100" s="43"/>
      <c r="GUI100" s="43"/>
      <c r="GUJ100" s="43"/>
      <c r="GUK100" s="43"/>
      <c r="GUL100" s="43"/>
      <c r="GUM100" s="43"/>
      <c r="GUN100" s="43"/>
      <c r="GUO100" s="43"/>
      <c r="GUP100" s="43"/>
      <c r="GUQ100" s="43"/>
      <c r="GUR100" s="43"/>
      <c r="GUS100" s="43"/>
      <c r="GUT100" s="43"/>
      <c r="GUU100" s="43"/>
      <c r="GUV100" s="43"/>
      <c r="GUW100" s="43"/>
      <c r="GUX100" s="43"/>
      <c r="GUY100" s="43"/>
      <c r="GUZ100" s="43"/>
      <c r="GVA100" s="43"/>
      <c r="GVB100" s="43"/>
      <c r="GVC100" s="43"/>
      <c r="GVD100" s="43"/>
      <c r="GVE100" s="43"/>
      <c r="GVF100" s="43"/>
      <c r="GVG100" s="43"/>
      <c r="GVH100" s="43"/>
      <c r="GVI100" s="43"/>
      <c r="GVJ100" s="43"/>
      <c r="GVK100" s="43"/>
      <c r="GVL100" s="43"/>
      <c r="GVM100" s="43"/>
      <c r="GVN100" s="43"/>
      <c r="GVO100" s="43"/>
      <c r="GVP100" s="43"/>
      <c r="GVQ100" s="43"/>
      <c r="GVR100" s="43"/>
      <c r="GVS100" s="43"/>
      <c r="GVT100" s="43"/>
      <c r="GVU100" s="43"/>
      <c r="GVV100" s="43"/>
      <c r="GVW100" s="43"/>
      <c r="GVX100" s="43"/>
      <c r="GVY100" s="43"/>
      <c r="GVZ100" s="43"/>
      <c r="GWA100" s="43"/>
      <c r="GWB100" s="43"/>
      <c r="GWC100" s="43"/>
      <c r="GWD100" s="43"/>
      <c r="GWE100" s="43"/>
      <c r="GWF100" s="43"/>
      <c r="GWG100" s="43"/>
      <c r="GWH100" s="43"/>
      <c r="GWI100" s="43"/>
      <c r="GWJ100" s="43"/>
      <c r="GWK100" s="43"/>
      <c r="GWL100" s="43"/>
      <c r="GWM100" s="43"/>
      <c r="GWN100" s="43"/>
      <c r="GWO100" s="43"/>
      <c r="GWP100" s="43"/>
      <c r="GWQ100" s="43"/>
      <c r="GWR100" s="43"/>
      <c r="GWS100" s="43"/>
      <c r="GWT100" s="43"/>
      <c r="GWU100" s="43"/>
      <c r="GWV100" s="43"/>
      <c r="GWW100" s="43"/>
      <c r="GWX100" s="43"/>
      <c r="GWY100" s="43"/>
      <c r="GWZ100" s="43"/>
      <c r="GXA100" s="43"/>
      <c r="GXB100" s="43"/>
      <c r="GXC100" s="43"/>
      <c r="GXD100" s="43"/>
      <c r="GXE100" s="43"/>
      <c r="GXF100" s="43"/>
      <c r="GXG100" s="43"/>
      <c r="GXH100" s="43"/>
      <c r="GXI100" s="43"/>
      <c r="GXJ100" s="43"/>
      <c r="GXK100" s="43"/>
      <c r="GXL100" s="43"/>
      <c r="GXM100" s="43"/>
      <c r="GXN100" s="43"/>
      <c r="GXO100" s="43"/>
      <c r="GXP100" s="43"/>
      <c r="GXQ100" s="43"/>
      <c r="GXR100" s="43"/>
      <c r="GXS100" s="43"/>
      <c r="GXT100" s="43"/>
      <c r="GXU100" s="43"/>
      <c r="GXV100" s="43"/>
      <c r="GXW100" s="43"/>
      <c r="GXX100" s="43"/>
      <c r="GXY100" s="43"/>
      <c r="GXZ100" s="43"/>
      <c r="GYA100" s="43"/>
      <c r="GYB100" s="43"/>
      <c r="GYC100" s="43"/>
      <c r="GYD100" s="43"/>
      <c r="GYE100" s="43"/>
      <c r="GYF100" s="43"/>
      <c r="GYG100" s="43"/>
      <c r="GYH100" s="43"/>
      <c r="GYI100" s="43"/>
      <c r="GYJ100" s="43"/>
      <c r="GYK100" s="43"/>
      <c r="GYL100" s="43"/>
      <c r="GYM100" s="43"/>
      <c r="GYN100" s="43"/>
      <c r="GYO100" s="43"/>
      <c r="GYP100" s="43"/>
      <c r="GYQ100" s="43"/>
      <c r="GYR100" s="43"/>
      <c r="GYS100" s="43"/>
      <c r="GYT100" s="43"/>
      <c r="GYU100" s="43"/>
      <c r="GYV100" s="43"/>
      <c r="GYW100" s="43"/>
      <c r="GYX100" s="43"/>
      <c r="GYY100" s="43"/>
      <c r="GYZ100" s="43"/>
      <c r="GZA100" s="43"/>
      <c r="GZB100" s="43"/>
      <c r="GZC100" s="43"/>
      <c r="GZD100" s="43"/>
      <c r="GZE100" s="43"/>
      <c r="GZF100" s="43"/>
      <c r="GZG100" s="43"/>
      <c r="GZH100" s="43"/>
      <c r="GZI100" s="43"/>
      <c r="GZJ100" s="43"/>
      <c r="GZK100" s="43"/>
      <c r="GZL100" s="43"/>
      <c r="GZM100" s="43"/>
      <c r="GZN100" s="43"/>
      <c r="GZO100" s="43"/>
      <c r="GZP100" s="43"/>
      <c r="GZQ100" s="43"/>
      <c r="GZR100" s="43"/>
      <c r="GZS100" s="43"/>
      <c r="GZT100" s="43"/>
      <c r="GZU100" s="43"/>
      <c r="GZV100" s="43"/>
      <c r="GZW100" s="43"/>
      <c r="GZX100" s="43"/>
      <c r="GZY100" s="43"/>
      <c r="GZZ100" s="43"/>
      <c r="HAA100" s="43"/>
      <c r="HAB100" s="43"/>
      <c r="HAC100" s="43"/>
      <c r="HAD100" s="43"/>
      <c r="HAE100" s="43"/>
      <c r="HAF100" s="43"/>
      <c r="HAG100" s="43"/>
      <c r="HAH100" s="43"/>
      <c r="HAI100" s="43"/>
      <c r="HAJ100" s="43"/>
      <c r="HAK100" s="43"/>
      <c r="HAL100" s="43"/>
      <c r="HAM100" s="43"/>
      <c r="HAN100" s="43"/>
      <c r="HAO100" s="43"/>
      <c r="HAP100" s="43"/>
      <c r="HAQ100" s="43"/>
      <c r="HAR100" s="43"/>
      <c r="HAS100" s="43"/>
      <c r="HAT100" s="43"/>
      <c r="HAU100" s="43"/>
      <c r="HAV100" s="43"/>
      <c r="HAW100" s="43"/>
      <c r="HAX100" s="43"/>
      <c r="HAY100" s="43"/>
      <c r="HAZ100" s="43"/>
      <c r="HBA100" s="43"/>
      <c r="HBB100" s="43"/>
      <c r="HBC100" s="43"/>
      <c r="HBD100" s="43"/>
      <c r="HBE100" s="43"/>
      <c r="HBF100" s="43"/>
      <c r="HBG100" s="43"/>
      <c r="HBH100" s="43"/>
      <c r="HBI100" s="43"/>
      <c r="HBJ100" s="43"/>
      <c r="HBK100" s="43"/>
      <c r="HBL100" s="43"/>
      <c r="HBM100" s="43"/>
      <c r="HBN100" s="43"/>
      <c r="HBO100" s="43"/>
      <c r="HBP100" s="43"/>
      <c r="HBQ100" s="43"/>
      <c r="HBR100" s="43"/>
      <c r="HBS100" s="43"/>
      <c r="HBT100" s="43"/>
      <c r="HBU100" s="43"/>
      <c r="HBV100" s="43"/>
      <c r="HBW100" s="43"/>
      <c r="HBX100" s="43"/>
      <c r="HBY100" s="43"/>
      <c r="HBZ100" s="43"/>
      <c r="HCA100" s="43"/>
      <c r="HCB100" s="43"/>
      <c r="HCC100" s="43"/>
      <c r="HCD100" s="43"/>
      <c r="HCE100" s="43"/>
      <c r="HCF100" s="43"/>
      <c r="HCG100" s="43"/>
      <c r="HCH100" s="43"/>
      <c r="HCI100" s="43"/>
      <c r="HCJ100" s="43"/>
      <c r="HCK100" s="43"/>
      <c r="HCL100" s="43"/>
      <c r="HCM100" s="43"/>
      <c r="HCN100" s="43"/>
      <c r="HCO100" s="43"/>
      <c r="HCP100" s="43"/>
      <c r="HCQ100" s="43"/>
      <c r="HCR100" s="43"/>
      <c r="HCS100" s="43"/>
      <c r="HCT100" s="43"/>
      <c r="HCU100" s="43"/>
      <c r="HCV100" s="43"/>
      <c r="HCW100" s="43"/>
      <c r="HCX100" s="43"/>
      <c r="HCY100" s="43"/>
      <c r="HCZ100" s="43"/>
      <c r="HDA100" s="43"/>
      <c r="HDB100" s="43"/>
      <c r="HDC100" s="43"/>
      <c r="HDD100" s="43"/>
      <c r="HDE100" s="43"/>
      <c r="HDF100" s="43"/>
      <c r="HDH100" s="43"/>
      <c r="HDI100" s="43"/>
      <c r="HDJ100" s="43"/>
      <c r="HDK100" s="43"/>
      <c r="HDL100" s="43"/>
      <c r="HDM100" s="43"/>
      <c r="HDN100" s="43"/>
      <c r="HDO100" s="43"/>
      <c r="HDP100" s="43"/>
      <c r="HDQ100" s="43"/>
      <c r="HDR100" s="43"/>
      <c r="HDS100" s="43"/>
      <c r="HDT100" s="43"/>
      <c r="HDU100" s="43"/>
      <c r="HDV100" s="43"/>
      <c r="HDW100" s="43"/>
      <c r="HDX100" s="43"/>
      <c r="HDY100" s="43"/>
      <c r="HDZ100" s="43"/>
      <c r="HEA100" s="43"/>
      <c r="HEB100" s="43"/>
      <c r="HEC100" s="43"/>
      <c r="HED100" s="43"/>
      <c r="HEE100" s="43"/>
      <c r="HEF100" s="43"/>
      <c r="HEG100" s="43"/>
      <c r="HEH100" s="43"/>
      <c r="HEI100" s="43"/>
      <c r="HEJ100" s="43"/>
      <c r="HEK100" s="43"/>
      <c r="HEL100" s="43"/>
      <c r="HEM100" s="43"/>
      <c r="HEN100" s="43"/>
      <c r="HEO100" s="43"/>
      <c r="HEP100" s="43"/>
      <c r="HEQ100" s="43"/>
      <c r="HER100" s="43"/>
      <c r="HES100" s="43"/>
      <c r="HET100" s="43"/>
      <c r="HEU100" s="43"/>
      <c r="HEV100" s="43"/>
      <c r="HEW100" s="43"/>
      <c r="HEX100" s="43"/>
      <c r="HEY100" s="43"/>
      <c r="HEZ100" s="43"/>
      <c r="HFA100" s="43"/>
      <c r="HFB100" s="43"/>
      <c r="HFC100" s="43"/>
      <c r="HFD100" s="43"/>
      <c r="HFE100" s="43"/>
      <c r="HFF100" s="43"/>
      <c r="HFG100" s="43"/>
      <c r="HFH100" s="43"/>
      <c r="HFI100" s="43"/>
      <c r="HFJ100" s="43"/>
      <c r="HFK100" s="43"/>
      <c r="HFL100" s="43"/>
      <c r="HFM100" s="43"/>
      <c r="HFN100" s="43"/>
      <c r="HFO100" s="43"/>
      <c r="HFP100" s="43"/>
      <c r="HFQ100" s="43"/>
      <c r="HFR100" s="43"/>
      <c r="HFS100" s="43"/>
      <c r="HFT100" s="43"/>
      <c r="HFU100" s="43"/>
      <c r="HFV100" s="43"/>
      <c r="HFW100" s="43"/>
      <c r="HFX100" s="43"/>
      <c r="HFY100" s="43"/>
      <c r="HFZ100" s="43"/>
      <c r="HGA100" s="43"/>
      <c r="HGB100" s="43"/>
      <c r="HGC100" s="43"/>
      <c r="HGD100" s="43"/>
      <c r="HGE100" s="43"/>
      <c r="HGF100" s="43"/>
      <c r="HGG100" s="43"/>
      <c r="HGH100" s="43"/>
      <c r="HGI100" s="43"/>
      <c r="HGJ100" s="43"/>
      <c r="HGK100" s="43"/>
      <c r="HGL100" s="43"/>
      <c r="HGM100" s="43"/>
      <c r="HGN100" s="43"/>
      <c r="HGO100" s="43"/>
      <c r="HGP100" s="43"/>
      <c r="HGQ100" s="43"/>
      <c r="HGR100" s="43"/>
      <c r="HGS100" s="43"/>
      <c r="HGT100" s="43"/>
      <c r="HGU100" s="43"/>
      <c r="HGV100" s="43"/>
      <c r="HGW100" s="43"/>
      <c r="HGX100" s="43"/>
      <c r="HGY100" s="43"/>
      <c r="HGZ100" s="43"/>
      <c r="HHA100" s="43"/>
      <c r="HHB100" s="43"/>
      <c r="HHC100" s="43"/>
      <c r="HHD100" s="43"/>
      <c r="HHE100" s="43"/>
      <c r="HHF100" s="43"/>
      <c r="HHG100" s="43"/>
      <c r="HHH100" s="43"/>
      <c r="HHI100" s="43"/>
      <c r="HHJ100" s="43"/>
      <c r="HHK100" s="43"/>
      <c r="HHL100" s="43"/>
      <c r="HHM100" s="43"/>
      <c r="HHN100" s="43"/>
      <c r="HHO100" s="43"/>
      <c r="HHP100" s="43"/>
      <c r="HHQ100" s="43"/>
      <c r="HHR100" s="43"/>
      <c r="HHS100" s="43"/>
      <c r="HHT100" s="43"/>
      <c r="HHU100" s="43"/>
      <c r="HHV100" s="43"/>
      <c r="HHW100" s="43"/>
      <c r="HHX100" s="43"/>
      <c r="HHY100" s="43"/>
      <c r="HHZ100" s="43"/>
      <c r="HIA100" s="43"/>
      <c r="HIB100" s="43"/>
      <c r="HIC100" s="43"/>
      <c r="HID100" s="43"/>
      <c r="HIE100" s="43"/>
      <c r="HIF100" s="43"/>
      <c r="HIG100" s="43"/>
      <c r="HIH100" s="43"/>
      <c r="HII100" s="43"/>
      <c r="HIJ100" s="43"/>
      <c r="HIK100" s="43"/>
      <c r="HIL100" s="43"/>
      <c r="HIM100" s="43"/>
      <c r="HIN100" s="43"/>
      <c r="HIO100" s="43"/>
      <c r="HIP100" s="43"/>
      <c r="HIQ100" s="43"/>
      <c r="HIR100" s="43"/>
      <c r="HIS100" s="43"/>
      <c r="HIT100" s="43"/>
      <c r="HIU100" s="43"/>
      <c r="HIV100" s="43"/>
      <c r="HIW100" s="43"/>
      <c r="HIX100" s="43"/>
      <c r="HIY100" s="43"/>
      <c r="HIZ100" s="43"/>
      <c r="HJA100" s="43"/>
      <c r="HJB100" s="43"/>
      <c r="HJC100" s="43"/>
      <c r="HJD100" s="43"/>
      <c r="HJE100" s="43"/>
      <c r="HJF100" s="43"/>
      <c r="HJG100" s="43"/>
      <c r="HJH100" s="43"/>
      <c r="HJI100" s="43"/>
      <c r="HJJ100" s="43"/>
      <c r="HJK100" s="43"/>
      <c r="HJL100" s="43"/>
      <c r="HJM100" s="43"/>
      <c r="HJN100" s="43"/>
      <c r="HJO100" s="43"/>
      <c r="HJP100" s="43"/>
      <c r="HJQ100" s="43"/>
      <c r="HJR100" s="43"/>
      <c r="HJS100" s="43"/>
      <c r="HJT100" s="43"/>
      <c r="HJU100" s="43"/>
      <c r="HJV100" s="43"/>
      <c r="HJW100" s="43"/>
      <c r="HJX100" s="43"/>
      <c r="HJY100" s="43"/>
      <c r="HJZ100" s="43"/>
      <c r="HKA100" s="43"/>
      <c r="HKB100" s="43"/>
      <c r="HKC100" s="43"/>
      <c r="HKD100" s="43"/>
      <c r="HKE100" s="43"/>
      <c r="HKF100" s="43"/>
      <c r="HKG100" s="43"/>
      <c r="HKH100" s="43"/>
      <c r="HKI100" s="43"/>
      <c r="HKJ100" s="43"/>
      <c r="HKK100" s="43"/>
      <c r="HKL100" s="43"/>
      <c r="HKM100" s="43"/>
      <c r="HKN100" s="43"/>
      <c r="HKO100" s="43"/>
      <c r="HKP100" s="43"/>
      <c r="HKQ100" s="43"/>
      <c r="HKR100" s="43"/>
      <c r="HKS100" s="43"/>
      <c r="HKT100" s="43"/>
      <c r="HKU100" s="43"/>
      <c r="HKV100" s="43"/>
      <c r="HKW100" s="43"/>
      <c r="HKX100" s="43"/>
      <c r="HKY100" s="43"/>
      <c r="HKZ100" s="43"/>
      <c r="HLA100" s="43"/>
      <c r="HLB100" s="43"/>
      <c r="HLC100" s="43"/>
      <c r="HLD100" s="43"/>
      <c r="HLE100" s="43"/>
      <c r="HLF100" s="43"/>
      <c r="HLG100" s="43"/>
      <c r="HLH100" s="43"/>
      <c r="HLI100" s="43"/>
      <c r="HLJ100" s="43"/>
      <c r="HLK100" s="43"/>
      <c r="HLL100" s="43"/>
      <c r="HLM100" s="43"/>
      <c r="HLN100" s="43"/>
      <c r="HLO100" s="43"/>
      <c r="HLP100" s="43"/>
      <c r="HLQ100" s="43"/>
      <c r="HLR100" s="43"/>
      <c r="HLS100" s="43"/>
      <c r="HLT100" s="43"/>
      <c r="HLU100" s="43"/>
      <c r="HLV100" s="43"/>
      <c r="HLW100" s="43"/>
      <c r="HLX100" s="43"/>
      <c r="HLY100" s="43"/>
      <c r="HLZ100" s="43"/>
      <c r="HMA100" s="43"/>
      <c r="HMB100" s="43"/>
      <c r="HMC100" s="43"/>
      <c r="HMD100" s="43"/>
      <c r="HME100" s="43"/>
      <c r="HMF100" s="43"/>
      <c r="HMG100" s="43"/>
      <c r="HMH100" s="43"/>
      <c r="HMI100" s="43"/>
      <c r="HMJ100" s="43"/>
      <c r="HMK100" s="43"/>
      <c r="HML100" s="43"/>
      <c r="HMM100" s="43"/>
      <c r="HMN100" s="43"/>
      <c r="HMO100" s="43"/>
      <c r="HMP100" s="43"/>
      <c r="HMQ100" s="43"/>
      <c r="HMR100" s="43"/>
      <c r="HMS100" s="43"/>
      <c r="HMT100" s="43"/>
      <c r="HMU100" s="43"/>
      <c r="HMV100" s="43"/>
      <c r="HMW100" s="43"/>
      <c r="HMX100" s="43"/>
      <c r="HMY100" s="43"/>
      <c r="HMZ100" s="43"/>
      <c r="HNA100" s="43"/>
      <c r="HNB100" s="43"/>
      <c r="HND100" s="43"/>
      <c r="HNE100" s="43"/>
      <c r="HNF100" s="43"/>
      <c r="HNG100" s="43"/>
      <c r="HNH100" s="43"/>
      <c r="HNI100" s="43"/>
      <c r="HNJ100" s="43"/>
      <c r="HNK100" s="43"/>
      <c r="HNL100" s="43"/>
      <c r="HNM100" s="43"/>
      <c r="HNN100" s="43"/>
      <c r="HNO100" s="43"/>
      <c r="HNP100" s="43"/>
      <c r="HNQ100" s="43"/>
      <c r="HNR100" s="43"/>
      <c r="HNS100" s="43"/>
      <c r="HNT100" s="43"/>
      <c r="HNU100" s="43"/>
      <c r="HNV100" s="43"/>
      <c r="HNW100" s="43"/>
      <c r="HNX100" s="43"/>
      <c r="HNY100" s="43"/>
      <c r="HNZ100" s="43"/>
      <c r="HOA100" s="43"/>
      <c r="HOB100" s="43"/>
      <c r="HOC100" s="43"/>
      <c r="HOD100" s="43"/>
      <c r="HOE100" s="43"/>
      <c r="HOF100" s="43"/>
      <c r="HOG100" s="43"/>
      <c r="HOH100" s="43"/>
      <c r="HOI100" s="43"/>
      <c r="HOJ100" s="43"/>
      <c r="HOK100" s="43"/>
      <c r="HOL100" s="43"/>
      <c r="HOM100" s="43"/>
      <c r="HON100" s="43"/>
      <c r="HOO100" s="43"/>
      <c r="HOP100" s="43"/>
      <c r="HOQ100" s="43"/>
      <c r="HOR100" s="43"/>
      <c r="HOS100" s="43"/>
      <c r="HOT100" s="43"/>
      <c r="HOU100" s="43"/>
      <c r="HOV100" s="43"/>
      <c r="HOW100" s="43"/>
      <c r="HOX100" s="43"/>
      <c r="HOY100" s="43"/>
      <c r="HOZ100" s="43"/>
      <c r="HPA100" s="43"/>
      <c r="HPB100" s="43"/>
      <c r="HPC100" s="43"/>
      <c r="HPD100" s="43"/>
      <c r="HPE100" s="43"/>
      <c r="HPF100" s="43"/>
      <c r="HPG100" s="43"/>
      <c r="HPH100" s="43"/>
      <c r="HPI100" s="43"/>
      <c r="HPJ100" s="43"/>
      <c r="HPK100" s="43"/>
      <c r="HPL100" s="43"/>
      <c r="HPM100" s="43"/>
      <c r="HPN100" s="43"/>
      <c r="HPO100" s="43"/>
      <c r="HPP100" s="43"/>
      <c r="HPQ100" s="43"/>
      <c r="HPR100" s="43"/>
      <c r="HPS100" s="43"/>
      <c r="HPT100" s="43"/>
      <c r="HPU100" s="43"/>
      <c r="HPV100" s="43"/>
      <c r="HPW100" s="43"/>
      <c r="HPX100" s="43"/>
      <c r="HPY100" s="43"/>
      <c r="HPZ100" s="43"/>
      <c r="HQA100" s="43"/>
      <c r="HQB100" s="43"/>
      <c r="HQC100" s="43"/>
      <c r="HQD100" s="43"/>
      <c r="HQE100" s="43"/>
      <c r="HQF100" s="43"/>
      <c r="HQG100" s="43"/>
      <c r="HQH100" s="43"/>
      <c r="HQI100" s="43"/>
      <c r="HQJ100" s="43"/>
      <c r="HQK100" s="43"/>
      <c r="HQL100" s="43"/>
      <c r="HQM100" s="43"/>
      <c r="HQN100" s="43"/>
      <c r="HQO100" s="43"/>
      <c r="HQP100" s="43"/>
      <c r="HQQ100" s="43"/>
      <c r="HQR100" s="43"/>
      <c r="HQS100" s="43"/>
      <c r="HQT100" s="43"/>
      <c r="HQU100" s="43"/>
      <c r="HQV100" s="43"/>
      <c r="HQW100" s="43"/>
      <c r="HQX100" s="43"/>
      <c r="HQY100" s="43"/>
      <c r="HQZ100" s="43"/>
      <c r="HRA100" s="43"/>
      <c r="HRB100" s="43"/>
      <c r="HRC100" s="43"/>
      <c r="HRD100" s="43"/>
      <c r="HRE100" s="43"/>
      <c r="HRF100" s="43"/>
      <c r="HRG100" s="43"/>
      <c r="HRH100" s="43"/>
      <c r="HRI100" s="43"/>
      <c r="HRJ100" s="43"/>
      <c r="HRK100" s="43"/>
      <c r="HRL100" s="43"/>
      <c r="HRM100" s="43"/>
      <c r="HRN100" s="43"/>
      <c r="HRO100" s="43"/>
      <c r="HRP100" s="43"/>
      <c r="HRQ100" s="43"/>
      <c r="HRR100" s="43"/>
      <c r="HRS100" s="43"/>
      <c r="HRT100" s="43"/>
      <c r="HRU100" s="43"/>
      <c r="HRV100" s="43"/>
      <c r="HRW100" s="43"/>
      <c r="HRX100" s="43"/>
      <c r="HRY100" s="43"/>
      <c r="HRZ100" s="43"/>
      <c r="HSA100" s="43"/>
      <c r="HSB100" s="43"/>
      <c r="HSC100" s="43"/>
      <c r="HSD100" s="43"/>
      <c r="HSE100" s="43"/>
      <c r="HSF100" s="43"/>
      <c r="HSG100" s="43"/>
      <c r="HSH100" s="43"/>
      <c r="HSI100" s="43"/>
      <c r="HSJ100" s="43"/>
      <c r="HSK100" s="43"/>
      <c r="HSL100" s="43"/>
      <c r="HSM100" s="43"/>
      <c r="HSN100" s="43"/>
      <c r="HSO100" s="43"/>
      <c r="HSP100" s="43"/>
      <c r="HSQ100" s="43"/>
      <c r="HSR100" s="43"/>
      <c r="HSS100" s="43"/>
      <c r="HST100" s="43"/>
      <c r="HSU100" s="43"/>
      <c r="HSV100" s="43"/>
      <c r="HSW100" s="43"/>
      <c r="HSX100" s="43"/>
      <c r="HSY100" s="43"/>
      <c r="HSZ100" s="43"/>
      <c r="HTA100" s="43"/>
      <c r="HTB100" s="43"/>
      <c r="HTC100" s="43"/>
      <c r="HTD100" s="43"/>
      <c r="HTE100" s="43"/>
      <c r="HTF100" s="43"/>
      <c r="HTG100" s="43"/>
      <c r="HTH100" s="43"/>
      <c r="HTI100" s="43"/>
      <c r="HTJ100" s="43"/>
      <c r="HTK100" s="43"/>
      <c r="HTL100" s="43"/>
      <c r="HTM100" s="43"/>
      <c r="HTN100" s="43"/>
      <c r="HTO100" s="43"/>
      <c r="HTP100" s="43"/>
      <c r="HTQ100" s="43"/>
      <c r="HTR100" s="43"/>
      <c r="HTS100" s="43"/>
      <c r="HTT100" s="43"/>
      <c r="HTU100" s="43"/>
      <c r="HTV100" s="43"/>
      <c r="HTW100" s="43"/>
      <c r="HTX100" s="43"/>
      <c r="HTY100" s="43"/>
      <c r="HTZ100" s="43"/>
      <c r="HUA100" s="43"/>
      <c r="HUB100" s="43"/>
      <c r="HUC100" s="43"/>
      <c r="HUD100" s="43"/>
      <c r="HUE100" s="43"/>
      <c r="HUF100" s="43"/>
      <c r="HUG100" s="43"/>
      <c r="HUH100" s="43"/>
      <c r="HUI100" s="43"/>
      <c r="HUJ100" s="43"/>
      <c r="HUK100" s="43"/>
      <c r="HUL100" s="43"/>
      <c r="HUM100" s="43"/>
      <c r="HUN100" s="43"/>
      <c r="HUO100" s="43"/>
      <c r="HUP100" s="43"/>
      <c r="HUQ100" s="43"/>
      <c r="HUR100" s="43"/>
      <c r="HUS100" s="43"/>
      <c r="HUT100" s="43"/>
      <c r="HUU100" s="43"/>
      <c r="HUV100" s="43"/>
      <c r="HUW100" s="43"/>
      <c r="HUX100" s="43"/>
      <c r="HUY100" s="43"/>
      <c r="HUZ100" s="43"/>
      <c r="HVA100" s="43"/>
      <c r="HVB100" s="43"/>
      <c r="HVC100" s="43"/>
      <c r="HVD100" s="43"/>
      <c r="HVE100" s="43"/>
      <c r="HVF100" s="43"/>
      <c r="HVG100" s="43"/>
      <c r="HVH100" s="43"/>
      <c r="HVI100" s="43"/>
      <c r="HVJ100" s="43"/>
      <c r="HVK100" s="43"/>
      <c r="HVL100" s="43"/>
      <c r="HVM100" s="43"/>
      <c r="HVN100" s="43"/>
      <c r="HVO100" s="43"/>
      <c r="HVP100" s="43"/>
      <c r="HVQ100" s="43"/>
      <c r="HVR100" s="43"/>
      <c r="HVS100" s="43"/>
      <c r="HVT100" s="43"/>
      <c r="HVU100" s="43"/>
      <c r="HVV100" s="43"/>
      <c r="HVW100" s="43"/>
      <c r="HVX100" s="43"/>
      <c r="HVY100" s="43"/>
      <c r="HVZ100" s="43"/>
      <c r="HWA100" s="43"/>
      <c r="HWB100" s="43"/>
      <c r="HWC100" s="43"/>
      <c r="HWD100" s="43"/>
      <c r="HWE100" s="43"/>
      <c r="HWF100" s="43"/>
      <c r="HWG100" s="43"/>
      <c r="HWH100" s="43"/>
      <c r="HWI100" s="43"/>
      <c r="HWJ100" s="43"/>
      <c r="HWK100" s="43"/>
      <c r="HWL100" s="43"/>
      <c r="HWM100" s="43"/>
      <c r="HWN100" s="43"/>
      <c r="HWO100" s="43"/>
      <c r="HWP100" s="43"/>
      <c r="HWQ100" s="43"/>
      <c r="HWR100" s="43"/>
      <c r="HWS100" s="43"/>
      <c r="HWT100" s="43"/>
      <c r="HWU100" s="43"/>
      <c r="HWV100" s="43"/>
      <c r="HWW100" s="43"/>
      <c r="HWX100" s="43"/>
      <c r="HWZ100" s="43"/>
      <c r="HXA100" s="43"/>
      <c r="HXB100" s="43"/>
      <c r="HXC100" s="43"/>
      <c r="HXD100" s="43"/>
      <c r="HXE100" s="43"/>
      <c r="HXF100" s="43"/>
      <c r="HXG100" s="43"/>
      <c r="HXH100" s="43"/>
      <c r="HXI100" s="43"/>
      <c r="HXJ100" s="43"/>
      <c r="HXK100" s="43"/>
      <c r="HXL100" s="43"/>
      <c r="HXM100" s="43"/>
      <c r="HXN100" s="43"/>
      <c r="HXO100" s="43"/>
      <c r="HXP100" s="43"/>
      <c r="HXQ100" s="43"/>
      <c r="HXR100" s="43"/>
      <c r="HXS100" s="43"/>
      <c r="HXT100" s="43"/>
      <c r="HXU100" s="43"/>
      <c r="HXV100" s="43"/>
      <c r="HXW100" s="43"/>
      <c r="HXX100" s="43"/>
      <c r="HXY100" s="43"/>
      <c r="HXZ100" s="43"/>
      <c r="HYA100" s="43"/>
      <c r="HYB100" s="43"/>
      <c r="HYC100" s="43"/>
      <c r="HYD100" s="43"/>
      <c r="HYE100" s="43"/>
      <c r="HYF100" s="43"/>
      <c r="HYG100" s="43"/>
      <c r="HYH100" s="43"/>
      <c r="HYI100" s="43"/>
      <c r="HYJ100" s="43"/>
      <c r="HYK100" s="43"/>
      <c r="HYL100" s="43"/>
      <c r="HYM100" s="43"/>
      <c r="HYN100" s="43"/>
      <c r="HYO100" s="43"/>
      <c r="HYP100" s="43"/>
      <c r="HYQ100" s="43"/>
      <c r="HYR100" s="43"/>
      <c r="HYS100" s="43"/>
      <c r="HYT100" s="43"/>
      <c r="HYU100" s="43"/>
      <c r="HYV100" s="43"/>
      <c r="HYW100" s="43"/>
      <c r="HYX100" s="43"/>
      <c r="HYY100" s="43"/>
      <c r="HYZ100" s="43"/>
      <c r="HZA100" s="43"/>
      <c r="HZB100" s="43"/>
      <c r="HZC100" s="43"/>
      <c r="HZD100" s="43"/>
      <c r="HZE100" s="43"/>
      <c r="HZF100" s="43"/>
      <c r="HZG100" s="43"/>
      <c r="HZH100" s="43"/>
      <c r="HZI100" s="43"/>
      <c r="HZJ100" s="43"/>
      <c r="HZK100" s="43"/>
      <c r="HZL100" s="43"/>
      <c r="HZM100" s="43"/>
      <c r="HZN100" s="43"/>
      <c r="HZO100" s="43"/>
      <c r="HZP100" s="43"/>
      <c r="HZQ100" s="43"/>
      <c r="HZR100" s="43"/>
      <c r="HZS100" s="43"/>
      <c r="HZT100" s="43"/>
      <c r="HZU100" s="43"/>
      <c r="HZV100" s="43"/>
      <c r="HZW100" s="43"/>
      <c r="HZX100" s="43"/>
      <c r="HZY100" s="43"/>
      <c r="HZZ100" s="43"/>
      <c r="IAA100" s="43"/>
      <c r="IAB100" s="43"/>
      <c r="IAC100" s="43"/>
      <c r="IAD100" s="43"/>
      <c r="IAE100" s="43"/>
      <c r="IAF100" s="43"/>
      <c r="IAG100" s="43"/>
      <c r="IAH100" s="43"/>
      <c r="IAI100" s="43"/>
      <c r="IAJ100" s="43"/>
      <c r="IAK100" s="43"/>
      <c r="IAL100" s="43"/>
      <c r="IAM100" s="43"/>
      <c r="IAN100" s="43"/>
      <c r="IAO100" s="43"/>
      <c r="IAP100" s="43"/>
      <c r="IAQ100" s="43"/>
      <c r="IAR100" s="43"/>
      <c r="IAS100" s="43"/>
      <c r="IAT100" s="43"/>
      <c r="IAU100" s="43"/>
      <c r="IAV100" s="43"/>
      <c r="IAW100" s="43"/>
      <c r="IAX100" s="43"/>
      <c r="IAY100" s="43"/>
      <c r="IAZ100" s="43"/>
      <c r="IBA100" s="43"/>
      <c r="IBB100" s="43"/>
      <c r="IBC100" s="43"/>
      <c r="IBD100" s="43"/>
      <c r="IBE100" s="43"/>
      <c r="IBF100" s="43"/>
      <c r="IBG100" s="43"/>
      <c r="IBH100" s="43"/>
      <c r="IBI100" s="43"/>
      <c r="IBJ100" s="43"/>
      <c r="IBK100" s="43"/>
      <c r="IBL100" s="43"/>
      <c r="IBM100" s="43"/>
      <c r="IBN100" s="43"/>
      <c r="IBO100" s="43"/>
      <c r="IBP100" s="43"/>
      <c r="IBQ100" s="43"/>
      <c r="IBR100" s="43"/>
      <c r="IBS100" s="43"/>
      <c r="IBT100" s="43"/>
      <c r="IBU100" s="43"/>
      <c r="IBV100" s="43"/>
      <c r="IBW100" s="43"/>
      <c r="IBX100" s="43"/>
      <c r="IBY100" s="43"/>
      <c r="IBZ100" s="43"/>
      <c r="ICA100" s="43"/>
      <c r="ICB100" s="43"/>
      <c r="ICC100" s="43"/>
      <c r="ICD100" s="43"/>
      <c r="ICE100" s="43"/>
      <c r="ICF100" s="43"/>
      <c r="ICG100" s="43"/>
      <c r="ICH100" s="43"/>
      <c r="ICI100" s="43"/>
      <c r="ICJ100" s="43"/>
      <c r="ICK100" s="43"/>
      <c r="ICL100" s="43"/>
      <c r="ICM100" s="43"/>
      <c r="ICN100" s="43"/>
      <c r="ICO100" s="43"/>
      <c r="ICP100" s="43"/>
      <c r="ICQ100" s="43"/>
      <c r="ICR100" s="43"/>
      <c r="ICS100" s="43"/>
      <c r="ICT100" s="43"/>
      <c r="ICU100" s="43"/>
      <c r="ICV100" s="43"/>
      <c r="ICW100" s="43"/>
      <c r="ICX100" s="43"/>
      <c r="ICY100" s="43"/>
      <c r="ICZ100" s="43"/>
      <c r="IDA100" s="43"/>
      <c r="IDB100" s="43"/>
      <c r="IDC100" s="43"/>
      <c r="IDD100" s="43"/>
      <c r="IDE100" s="43"/>
      <c r="IDF100" s="43"/>
      <c r="IDG100" s="43"/>
      <c r="IDH100" s="43"/>
      <c r="IDI100" s="43"/>
      <c r="IDJ100" s="43"/>
      <c r="IDK100" s="43"/>
      <c r="IDL100" s="43"/>
      <c r="IDM100" s="43"/>
      <c r="IDN100" s="43"/>
      <c r="IDO100" s="43"/>
      <c r="IDP100" s="43"/>
      <c r="IDQ100" s="43"/>
      <c r="IDR100" s="43"/>
      <c r="IDS100" s="43"/>
      <c r="IDT100" s="43"/>
      <c r="IDU100" s="43"/>
      <c r="IDV100" s="43"/>
      <c r="IDW100" s="43"/>
      <c r="IDX100" s="43"/>
      <c r="IDY100" s="43"/>
      <c r="IDZ100" s="43"/>
      <c r="IEA100" s="43"/>
      <c r="IEB100" s="43"/>
      <c r="IEC100" s="43"/>
      <c r="IED100" s="43"/>
      <c r="IEE100" s="43"/>
      <c r="IEF100" s="43"/>
      <c r="IEG100" s="43"/>
      <c r="IEH100" s="43"/>
      <c r="IEI100" s="43"/>
      <c r="IEJ100" s="43"/>
      <c r="IEK100" s="43"/>
      <c r="IEL100" s="43"/>
      <c r="IEM100" s="43"/>
      <c r="IEN100" s="43"/>
      <c r="IEO100" s="43"/>
      <c r="IEP100" s="43"/>
      <c r="IEQ100" s="43"/>
      <c r="IER100" s="43"/>
      <c r="IES100" s="43"/>
      <c r="IET100" s="43"/>
      <c r="IEU100" s="43"/>
      <c r="IEV100" s="43"/>
      <c r="IEW100" s="43"/>
      <c r="IEX100" s="43"/>
      <c r="IEY100" s="43"/>
      <c r="IEZ100" s="43"/>
      <c r="IFA100" s="43"/>
      <c r="IFB100" s="43"/>
      <c r="IFC100" s="43"/>
      <c r="IFD100" s="43"/>
      <c r="IFE100" s="43"/>
      <c r="IFF100" s="43"/>
      <c r="IFG100" s="43"/>
      <c r="IFH100" s="43"/>
      <c r="IFI100" s="43"/>
      <c r="IFJ100" s="43"/>
      <c r="IFK100" s="43"/>
      <c r="IFL100" s="43"/>
      <c r="IFM100" s="43"/>
      <c r="IFN100" s="43"/>
      <c r="IFO100" s="43"/>
      <c r="IFP100" s="43"/>
      <c r="IFQ100" s="43"/>
      <c r="IFR100" s="43"/>
      <c r="IFS100" s="43"/>
      <c r="IFT100" s="43"/>
      <c r="IFU100" s="43"/>
      <c r="IFV100" s="43"/>
      <c r="IFW100" s="43"/>
      <c r="IFX100" s="43"/>
      <c r="IFY100" s="43"/>
      <c r="IFZ100" s="43"/>
      <c r="IGA100" s="43"/>
      <c r="IGB100" s="43"/>
      <c r="IGC100" s="43"/>
      <c r="IGD100" s="43"/>
      <c r="IGE100" s="43"/>
      <c r="IGF100" s="43"/>
      <c r="IGG100" s="43"/>
      <c r="IGH100" s="43"/>
      <c r="IGI100" s="43"/>
      <c r="IGJ100" s="43"/>
      <c r="IGK100" s="43"/>
      <c r="IGL100" s="43"/>
      <c r="IGM100" s="43"/>
      <c r="IGN100" s="43"/>
      <c r="IGO100" s="43"/>
      <c r="IGP100" s="43"/>
      <c r="IGQ100" s="43"/>
      <c r="IGR100" s="43"/>
      <c r="IGS100" s="43"/>
      <c r="IGT100" s="43"/>
      <c r="IGV100" s="43"/>
      <c r="IGW100" s="43"/>
      <c r="IGX100" s="43"/>
      <c r="IGY100" s="43"/>
      <c r="IGZ100" s="43"/>
      <c r="IHA100" s="43"/>
      <c r="IHB100" s="43"/>
      <c r="IHC100" s="43"/>
      <c r="IHD100" s="43"/>
      <c r="IHE100" s="43"/>
      <c r="IHF100" s="43"/>
      <c r="IHG100" s="43"/>
      <c r="IHH100" s="43"/>
      <c r="IHI100" s="43"/>
      <c r="IHJ100" s="43"/>
      <c r="IHK100" s="43"/>
      <c r="IHL100" s="43"/>
      <c r="IHM100" s="43"/>
      <c r="IHN100" s="43"/>
      <c r="IHO100" s="43"/>
      <c r="IHP100" s="43"/>
      <c r="IHQ100" s="43"/>
      <c r="IHR100" s="43"/>
      <c r="IHS100" s="43"/>
      <c r="IHT100" s="43"/>
      <c r="IHU100" s="43"/>
      <c r="IHV100" s="43"/>
      <c r="IHW100" s="43"/>
      <c r="IHX100" s="43"/>
      <c r="IHY100" s="43"/>
      <c r="IHZ100" s="43"/>
      <c r="IIA100" s="43"/>
      <c r="IIB100" s="43"/>
      <c r="IIC100" s="43"/>
      <c r="IID100" s="43"/>
      <c r="IIE100" s="43"/>
      <c r="IIF100" s="43"/>
      <c r="IIG100" s="43"/>
      <c r="IIH100" s="43"/>
      <c r="III100" s="43"/>
      <c r="IIJ100" s="43"/>
      <c r="IIK100" s="43"/>
      <c r="IIL100" s="43"/>
      <c r="IIM100" s="43"/>
      <c r="IIN100" s="43"/>
      <c r="IIO100" s="43"/>
      <c r="IIP100" s="43"/>
      <c r="IIQ100" s="43"/>
      <c r="IIR100" s="43"/>
      <c r="IIS100" s="43"/>
      <c r="IIT100" s="43"/>
      <c r="IIU100" s="43"/>
      <c r="IIV100" s="43"/>
      <c r="IIW100" s="43"/>
      <c r="IIX100" s="43"/>
      <c r="IIY100" s="43"/>
      <c r="IIZ100" s="43"/>
      <c r="IJA100" s="43"/>
      <c r="IJB100" s="43"/>
      <c r="IJC100" s="43"/>
      <c r="IJD100" s="43"/>
      <c r="IJE100" s="43"/>
      <c r="IJF100" s="43"/>
      <c r="IJG100" s="43"/>
      <c r="IJH100" s="43"/>
      <c r="IJI100" s="43"/>
      <c r="IJJ100" s="43"/>
      <c r="IJK100" s="43"/>
      <c r="IJL100" s="43"/>
      <c r="IJM100" s="43"/>
      <c r="IJN100" s="43"/>
      <c r="IJO100" s="43"/>
      <c r="IJP100" s="43"/>
      <c r="IJQ100" s="43"/>
      <c r="IJR100" s="43"/>
      <c r="IJS100" s="43"/>
      <c r="IJT100" s="43"/>
      <c r="IJU100" s="43"/>
      <c r="IJV100" s="43"/>
      <c r="IJW100" s="43"/>
      <c r="IJX100" s="43"/>
      <c r="IJY100" s="43"/>
      <c r="IJZ100" s="43"/>
      <c r="IKA100" s="43"/>
      <c r="IKB100" s="43"/>
      <c r="IKC100" s="43"/>
      <c r="IKD100" s="43"/>
      <c r="IKE100" s="43"/>
      <c r="IKF100" s="43"/>
      <c r="IKG100" s="43"/>
      <c r="IKH100" s="43"/>
      <c r="IKI100" s="43"/>
      <c r="IKJ100" s="43"/>
      <c r="IKK100" s="43"/>
      <c r="IKL100" s="43"/>
      <c r="IKM100" s="43"/>
      <c r="IKN100" s="43"/>
      <c r="IKO100" s="43"/>
      <c r="IKP100" s="43"/>
      <c r="IKQ100" s="43"/>
      <c r="IKR100" s="43"/>
      <c r="IKS100" s="43"/>
      <c r="IKT100" s="43"/>
      <c r="IKU100" s="43"/>
      <c r="IKV100" s="43"/>
      <c r="IKW100" s="43"/>
      <c r="IKX100" s="43"/>
      <c r="IKY100" s="43"/>
      <c r="IKZ100" s="43"/>
      <c r="ILA100" s="43"/>
      <c r="ILB100" s="43"/>
      <c r="ILC100" s="43"/>
      <c r="ILD100" s="43"/>
      <c r="ILE100" s="43"/>
      <c r="ILF100" s="43"/>
      <c r="ILG100" s="43"/>
      <c r="ILH100" s="43"/>
      <c r="ILI100" s="43"/>
      <c r="ILJ100" s="43"/>
      <c r="ILK100" s="43"/>
      <c r="ILL100" s="43"/>
      <c r="ILM100" s="43"/>
      <c r="ILN100" s="43"/>
      <c r="ILO100" s="43"/>
      <c r="ILP100" s="43"/>
      <c r="ILQ100" s="43"/>
      <c r="ILR100" s="43"/>
      <c r="ILS100" s="43"/>
      <c r="ILT100" s="43"/>
      <c r="ILU100" s="43"/>
      <c r="ILV100" s="43"/>
      <c r="ILW100" s="43"/>
      <c r="ILX100" s="43"/>
      <c r="ILY100" s="43"/>
      <c r="ILZ100" s="43"/>
      <c r="IMA100" s="43"/>
      <c r="IMB100" s="43"/>
      <c r="IMC100" s="43"/>
      <c r="IMD100" s="43"/>
      <c r="IME100" s="43"/>
      <c r="IMF100" s="43"/>
      <c r="IMG100" s="43"/>
      <c r="IMH100" s="43"/>
      <c r="IMI100" s="43"/>
      <c r="IMJ100" s="43"/>
      <c r="IMK100" s="43"/>
      <c r="IML100" s="43"/>
      <c r="IMM100" s="43"/>
      <c r="IMN100" s="43"/>
      <c r="IMO100" s="43"/>
      <c r="IMP100" s="43"/>
      <c r="IMQ100" s="43"/>
      <c r="IMR100" s="43"/>
      <c r="IMS100" s="43"/>
      <c r="IMT100" s="43"/>
      <c r="IMU100" s="43"/>
      <c r="IMV100" s="43"/>
      <c r="IMW100" s="43"/>
      <c r="IMX100" s="43"/>
      <c r="IMY100" s="43"/>
      <c r="IMZ100" s="43"/>
      <c r="INA100" s="43"/>
      <c r="INB100" s="43"/>
      <c r="INC100" s="43"/>
      <c r="IND100" s="43"/>
      <c r="INE100" s="43"/>
      <c r="INF100" s="43"/>
      <c r="ING100" s="43"/>
      <c r="INH100" s="43"/>
      <c r="INI100" s="43"/>
      <c r="INJ100" s="43"/>
      <c r="INK100" s="43"/>
      <c r="INL100" s="43"/>
      <c r="INM100" s="43"/>
      <c r="INN100" s="43"/>
      <c r="INO100" s="43"/>
      <c r="INP100" s="43"/>
      <c r="INQ100" s="43"/>
      <c r="INR100" s="43"/>
      <c r="INS100" s="43"/>
      <c r="INT100" s="43"/>
      <c r="INU100" s="43"/>
      <c r="INV100" s="43"/>
      <c r="INW100" s="43"/>
      <c r="INX100" s="43"/>
      <c r="INY100" s="43"/>
      <c r="INZ100" s="43"/>
      <c r="IOA100" s="43"/>
      <c r="IOB100" s="43"/>
      <c r="IOC100" s="43"/>
      <c r="IOD100" s="43"/>
      <c r="IOE100" s="43"/>
      <c r="IOF100" s="43"/>
      <c r="IOG100" s="43"/>
      <c r="IOH100" s="43"/>
      <c r="IOI100" s="43"/>
      <c r="IOJ100" s="43"/>
      <c r="IOK100" s="43"/>
      <c r="IOL100" s="43"/>
      <c r="IOM100" s="43"/>
      <c r="ION100" s="43"/>
      <c r="IOO100" s="43"/>
      <c r="IOP100" s="43"/>
      <c r="IOQ100" s="43"/>
      <c r="IOR100" s="43"/>
      <c r="IOS100" s="43"/>
      <c r="IOT100" s="43"/>
      <c r="IOU100" s="43"/>
      <c r="IOV100" s="43"/>
      <c r="IOW100" s="43"/>
      <c r="IOX100" s="43"/>
      <c r="IOY100" s="43"/>
      <c r="IOZ100" s="43"/>
      <c r="IPA100" s="43"/>
      <c r="IPB100" s="43"/>
      <c r="IPC100" s="43"/>
      <c r="IPD100" s="43"/>
      <c r="IPE100" s="43"/>
      <c r="IPF100" s="43"/>
      <c r="IPG100" s="43"/>
      <c r="IPH100" s="43"/>
      <c r="IPI100" s="43"/>
      <c r="IPJ100" s="43"/>
      <c r="IPK100" s="43"/>
      <c r="IPL100" s="43"/>
      <c r="IPM100" s="43"/>
      <c r="IPN100" s="43"/>
      <c r="IPO100" s="43"/>
      <c r="IPP100" s="43"/>
      <c r="IPQ100" s="43"/>
      <c r="IPR100" s="43"/>
      <c r="IPS100" s="43"/>
      <c r="IPT100" s="43"/>
      <c r="IPU100" s="43"/>
      <c r="IPV100" s="43"/>
      <c r="IPW100" s="43"/>
      <c r="IPX100" s="43"/>
      <c r="IPY100" s="43"/>
      <c r="IPZ100" s="43"/>
      <c r="IQA100" s="43"/>
      <c r="IQB100" s="43"/>
      <c r="IQC100" s="43"/>
      <c r="IQD100" s="43"/>
      <c r="IQE100" s="43"/>
      <c r="IQF100" s="43"/>
      <c r="IQG100" s="43"/>
      <c r="IQH100" s="43"/>
      <c r="IQI100" s="43"/>
      <c r="IQJ100" s="43"/>
      <c r="IQK100" s="43"/>
      <c r="IQL100" s="43"/>
      <c r="IQM100" s="43"/>
      <c r="IQN100" s="43"/>
      <c r="IQO100" s="43"/>
      <c r="IQP100" s="43"/>
      <c r="IQR100" s="43"/>
      <c r="IQS100" s="43"/>
      <c r="IQT100" s="43"/>
      <c r="IQU100" s="43"/>
      <c r="IQV100" s="43"/>
      <c r="IQW100" s="43"/>
      <c r="IQX100" s="43"/>
      <c r="IQY100" s="43"/>
      <c r="IQZ100" s="43"/>
      <c r="IRA100" s="43"/>
      <c r="IRB100" s="43"/>
      <c r="IRC100" s="43"/>
      <c r="IRD100" s="43"/>
      <c r="IRE100" s="43"/>
      <c r="IRF100" s="43"/>
      <c r="IRG100" s="43"/>
      <c r="IRH100" s="43"/>
      <c r="IRI100" s="43"/>
      <c r="IRJ100" s="43"/>
      <c r="IRK100" s="43"/>
      <c r="IRL100" s="43"/>
      <c r="IRM100" s="43"/>
      <c r="IRN100" s="43"/>
      <c r="IRO100" s="43"/>
      <c r="IRP100" s="43"/>
      <c r="IRQ100" s="43"/>
      <c r="IRR100" s="43"/>
      <c r="IRS100" s="43"/>
      <c r="IRT100" s="43"/>
      <c r="IRU100" s="43"/>
      <c r="IRV100" s="43"/>
      <c r="IRW100" s="43"/>
      <c r="IRX100" s="43"/>
      <c r="IRY100" s="43"/>
      <c r="IRZ100" s="43"/>
      <c r="ISA100" s="43"/>
      <c r="ISB100" s="43"/>
      <c r="ISC100" s="43"/>
      <c r="ISD100" s="43"/>
      <c r="ISE100" s="43"/>
      <c r="ISF100" s="43"/>
      <c r="ISG100" s="43"/>
      <c r="ISH100" s="43"/>
      <c r="ISI100" s="43"/>
      <c r="ISJ100" s="43"/>
      <c r="ISK100" s="43"/>
      <c r="ISL100" s="43"/>
      <c r="ISM100" s="43"/>
      <c r="ISN100" s="43"/>
      <c r="ISO100" s="43"/>
      <c r="ISP100" s="43"/>
      <c r="ISQ100" s="43"/>
      <c r="ISR100" s="43"/>
      <c r="ISS100" s="43"/>
      <c r="IST100" s="43"/>
      <c r="ISU100" s="43"/>
      <c r="ISV100" s="43"/>
      <c r="ISW100" s="43"/>
      <c r="ISX100" s="43"/>
      <c r="ISY100" s="43"/>
      <c r="ISZ100" s="43"/>
      <c r="ITA100" s="43"/>
      <c r="ITB100" s="43"/>
      <c r="ITC100" s="43"/>
      <c r="ITD100" s="43"/>
      <c r="ITE100" s="43"/>
      <c r="ITF100" s="43"/>
      <c r="ITG100" s="43"/>
      <c r="ITH100" s="43"/>
      <c r="ITI100" s="43"/>
      <c r="ITJ100" s="43"/>
      <c r="ITK100" s="43"/>
      <c r="ITL100" s="43"/>
      <c r="ITM100" s="43"/>
      <c r="ITN100" s="43"/>
      <c r="ITO100" s="43"/>
      <c r="ITP100" s="43"/>
      <c r="ITQ100" s="43"/>
      <c r="ITR100" s="43"/>
      <c r="ITS100" s="43"/>
      <c r="ITT100" s="43"/>
      <c r="ITU100" s="43"/>
      <c r="ITV100" s="43"/>
      <c r="ITW100" s="43"/>
      <c r="ITX100" s="43"/>
      <c r="ITY100" s="43"/>
      <c r="ITZ100" s="43"/>
      <c r="IUA100" s="43"/>
      <c r="IUB100" s="43"/>
      <c r="IUC100" s="43"/>
      <c r="IUD100" s="43"/>
      <c r="IUE100" s="43"/>
      <c r="IUF100" s="43"/>
      <c r="IUG100" s="43"/>
      <c r="IUH100" s="43"/>
      <c r="IUI100" s="43"/>
      <c r="IUJ100" s="43"/>
      <c r="IUK100" s="43"/>
      <c r="IUL100" s="43"/>
      <c r="IUM100" s="43"/>
      <c r="IUN100" s="43"/>
      <c r="IUO100" s="43"/>
      <c r="IUP100" s="43"/>
      <c r="IUQ100" s="43"/>
      <c r="IUR100" s="43"/>
      <c r="IUS100" s="43"/>
      <c r="IUT100" s="43"/>
      <c r="IUU100" s="43"/>
      <c r="IUV100" s="43"/>
      <c r="IUW100" s="43"/>
      <c r="IUX100" s="43"/>
      <c r="IUY100" s="43"/>
      <c r="IUZ100" s="43"/>
      <c r="IVA100" s="43"/>
      <c r="IVB100" s="43"/>
      <c r="IVC100" s="43"/>
      <c r="IVD100" s="43"/>
      <c r="IVE100" s="43"/>
      <c r="IVF100" s="43"/>
      <c r="IVG100" s="43"/>
      <c r="IVH100" s="43"/>
      <c r="IVI100" s="43"/>
      <c r="IVJ100" s="43"/>
      <c r="IVK100" s="43"/>
      <c r="IVL100" s="43"/>
      <c r="IVM100" s="43"/>
      <c r="IVN100" s="43"/>
      <c r="IVO100" s="43"/>
      <c r="IVP100" s="43"/>
      <c r="IVQ100" s="43"/>
      <c r="IVR100" s="43"/>
      <c r="IVS100" s="43"/>
      <c r="IVT100" s="43"/>
      <c r="IVU100" s="43"/>
      <c r="IVV100" s="43"/>
      <c r="IVW100" s="43"/>
      <c r="IVX100" s="43"/>
      <c r="IVY100" s="43"/>
      <c r="IVZ100" s="43"/>
      <c r="IWA100" s="43"/>
      <c r="IWB100" s="43"/>
      <c r="IWC100" s="43"/>
      <c r="IWD100" s="43"/>
      <c r="IWE100" s="43"/>
      <c r="IWF100" s="43"/>
      <c r="IWG100" s="43"/>
      <c r="IWH100" s="43"/>
      <c r="IWI100" s="43"/>
      <c r="IWJ100" s="43"/>
      <c r="IWK100" s="43"/>
      <c r="IWL100" s="43"/>
      <c r="IWM100" s="43"/>
      <c r="IWN100" s="43"/>
      <c r="IWO100" s="43"/>
      <c r="IWP100" s="43"/>
      <c r="IWQ100" s="43"/>
      <c r="IWR100" s="43"/>
      <c r="IWS100" s="43"/>
      <c r="IWT100" s="43"/>
      <c r="IWU100" s="43"/>
      <c r="IWV100" s="43"/>
      <c r="IWW100" s="43"/>
      <c r="IWX100" s="43"/>
      <c r="IWY100" s="43"/>
      <c r="IWZ100" s="43"/>
      <c r="IXA100" s="43"/>
      <c r="IXB100" s="43"/>
      <c r="IXC100" s="43"/>
      <c r="IXD100" s="43"/>
      <c r="IXE100" s="43"/>
      <c r="IXF100" s="43"/>
      <c r="IXG100" s="43"/>
      <c r="IXH100" s="43"/>
      <c r="IXI100" s="43"/>
      <c r="IXJ100" s="43"/>
      <c r="IXK100" s="43"/>
      <c r="IXL100" s="43"/>
      <c r="IXM100" s="43"/>
      <c r="IXN100" s="43"/>
      <c r="IXO100" s="43"/>
      <c r="IXP100" s="43"/>
      <c r="IXQ100" s="43"/>
      <c r="IXR100" s="43"/>
      <c r="IXS100" s="43"/>
      <c r="IXT100" s="43"/>
      <c r="IXU100" s="43"/>
      <c r="IXV100" s="43"/>
      <c r="IXW100" s="43"/>
      <c r="IXX100" s="43"/>
      <c r="IXY100" s="43"/>
      <c r="IXZ100" s="43"/>
      <c r="IYA100" s="43"/>
      <c r="IYB100" s="43"/>
      <c r="IYC100" s="43"/>
      <c r="IYD100" s="43"/>
      <c r="IYE100" s="43"/>
      <c r="IYF100" s="43"/>
      <c r="IYG100" s="43"/>
      <c r="IYH100" s="43"/>
      <c r="IYI100" s="43"/>
      <c r="IYJ100" s="43"/>
      <c r="IYK100" s="43"/>
      <c r="IYL100" s="43"/>
      <c r="IYM100" s="43"/>
      <c r="IYN100" s="43"/>
      <c r="IYO100" s="43"/>
      <c r="IYP100" s="43"/>
      <c r="IYQ100" s="43"/>
      <c r="IYR100" s="43"/>
      <c r="IYS100" s="43"/>
      <c r="IYT100" s="43"/>
      <c r="IYU100" s="43"/>
      <c r="IYV100" s="43"/>
      <c r="IYW100" s="43"/>
      <c r="IYX100" s="43"/>
      <c r="IYY100" s="43"/>
      <c r="IYZ100" s="43"/>
      <c r="IZA100" s="43"/>
      <c r="IZB100" s="43"/>
      <c r="IZC100" s="43"/>
      <c r="IZD100" s="43"/>
      <c r="IZE100" s="43"/>
      <c r="IZF100" s="43"/>
      <c r="IZG100" s="43"/>
      <c r="IZH100" s="43"/>
      <c r="IZI100" s="43"/>
      <c r="IZJ100" s="43"/>
      <c r="IZK100" s="43"/>
      <c r="IZL100" s="43"/>
      <c r="IZM100" s="43"/>
      <c r="IZN100" s="43"/>
      <c r="IZO100" s="43"/>
      <c r="IZP100" s="43"/>
      <c r="IZQ100" s="43"/>
      <c r="IZR100" s="43"/>
      <c r="IZS100" s="43"/>
      <c r="IZT100" s="43"/>
      <c r="IZU100" s="43"/>
      <c r="IZV100" s="43"/>
      <c r="IZW100" s="43"/>
      <c r="IZX100" s="43"/>
      <c r="IZY100" s="43"/>
      <c r="IZZ100" s="43"/>
      <c r="JAA100" s="43"/>
      <c r="JAB100" s="43"/>
      <c r="JAC100" s="43"/>
      <c r="JAD100" s="43"/>
      <c r="JAE100" s="43"/>
      <c r="JAF100" s="43"/>
      <c r="JAG100" s="43"/>
      <c r="JAH100" s="43"/>
      <c r="JAI100" s="43"/>
      <c r="JAJ100" s="43"/>
      <c r="JAK100" s="43"/>
      <c r="JAL100" s="43"/>
      <c r="JAN100" s="43"/>
      <c r="JAO100" s="43"/>
      <c r="JAP100" s="43"/>
      <c r="JAQ100" s="43"/>
      <c r="JAR100" s="43"/>
      <c r="JAS100" s="43"/>
      <c r="JAT100" s="43"/>
      <c r="JAU100" s="43"/>
      <c r="JAV100" s="43"/>
      <c r="JAW100" s="43"/>
      <c r="JAX100" s="43"/>
      <c r="JAY100" s="43"/>
      <c r="JAZ100" s="43"/>
      <c r="JBA100" s="43"/>
      <c r="JBB100" s="43"/>
      <c r="JBC100" s="43"/>
      <c r="JBD100" s="43"/>
      <c r="JBE100" s="43"/>
      <c r="JBF100" s="43"/>
      <c r="JBG100" s="43"/>
      <c r="JBH100" s="43"/>
      <c r="JBI100" s="43"/>
      <c r="JBJ100" s="43"/>
      <c r="JBK100" s="43"/>
      <c r="JBL100" s="43"/>
      <c r="JBM100" s="43"/>
      <c r="JBN100" s="43"/>
      <c r="JBO100" s="43"/>
      <c r="JBP100" s="43"/>
      <c r="JBQ100" s="43"/>
      <c r="JBR100" s="43"/>
      <c r="JBS100" s="43"/>
      <c r="JBT100" s="43"/>
      <c r="JBU100" s="43"/>
      <c r="JBV100" s="43"/>
      <c r="JBW100" s="43"/>
      <c r="JBX100" s="43"/>
      <c r="JBY100" s="43"/>
      <c r="JBZ100" s="43"/>
      <c r="JCA100" s="43"/>
      <c r="JCB100" s="43"/>
      <c r="JCC100" s="43"/>
      <c r="JCD100" s="43"/>
      <c r="JCE100" s="43"/>
      <c r="JCF100" s="43"/>
      <c r="JCG100" s="43"/>
      <c r="JCH100" s="43"/>
      <c r="JCI100" s="43"/>
      <c r="JCJ100" s="43"/>
      <c r="JCK100" s="43"/>
      <c r="JCL100" s="43"/>
      <c r="JCM100" s="43"/>
      <c r="JCN100" s="43"/>
      <c r="JCO100" s="43"/>
      <c r="JCP100" s="43"/>
      <c r="JCQ100" s="43"/>
      <c r="JCR100" s="43"/>
      <c r="JCS100" s="43"/>
      <c r="JCT100" s="43"/>
      <c r="JCU100" s="43"/>
      <c r="JCV100" s="43"/>
      <c r="JCW100" s="43"/>
      <c r="JCX100" s="43"/>
      <c r="JCY100" s="43"/>
      <c r="JCZ100" s="43"/>
      <c r="JDA100" s="43"/>
      <c r="JDB100" s="43"/>
      <c r="JDC100" s="43"/>
      <c r="JDD100" s="43"/>
      <c r="JDE100" s="43"/>
      <c r="JDF100" s="43"/>
      <c r="JDG100" s="43"/>
      <c r="JDH100" s="43"/>
      <c r="JDI100" s="43"/>
      <c r="JDJ100" s="43"/>
      <c r="JDK100" s="43"/>
      <c r="JDL100" s="43"/>
      <c r="JDM100" s="43"/>
      <c r="JDN100" s="43"/>
      <c r="JDO100" s="43"/>
      <c r="JDP100" s="43"/>
      <c r="JDQ100" s="43"/>
      <c r="JDR100" s="43"/>
      <c r="JDS100" s="43"/>
      <c r="JDT100" s="43"/>
      <c r="JDU100" s="43"/>
      <c r="JDV100" s="43"/>
      <c r="JDW100" s="43"/>
      <c r="JDX100" s="43"/>
      <c r="JDY100" s="43"/>
      <c r="JDZ100" s="43"/>
      <c r="JEA100" s="43"/>
      <c r="JEB100" s="43"/>
      <c r="JEC100" s="43"/>
      <c r="JED100" s="43"/>
      <c r="JEE100" s="43"/>
      <c r="JEF100" s="43"/>
      <c r="JEG100" s="43"/>
      <c r="JEH100" s="43"/>
      <c r="JEI100" s="43"/>
      <c r="JEJ100" s="43"/>
      <c r="JEK100" s="43"/>
      <c r="JEL100" s="43"/>
      <c r="JEM100" s="43"/>
      <c r="JEN100" s="43"/>
      <c r="JEO100" s="43"/>
      <c r="JEP100" s="43"/>
      <c r="JEQ100" s="43"/>
      <c r="JER100" s="43"/>
      <c r="JES100" s="43"/>
      <c r="JET100" s="43"/>
      <c r="JEU100" s="43"/>
      <c r="JEV100" s="43"/>
      <c r="JEW100" s="43"/>
      <c r="JEX100" s="43"/>
      <c r="JEY100" s="43"/>
      <c r="JEZ100" s="43"/>
      <c r="JFA100" s="43"/>
      <c r="JFB100" s="43"/>
      <c r="JFC100" s="43"/>
      <c r="JFD100" s="43"/>
      <c r="JFE100" s="43"/>
      <c r="JFF100" s="43"/>
      <c r="JFG100" s="43"/>
      <c r="JFH100" s="43"/>
      <c r="JFI100" s="43"/>
      <c r="JFJ100" s="43"/>
      <c r="JFK100" s="43"/>
      <c r="JFL100" s="43"/>
      <c r="JFM100" s="43"/>
      <c r="JFN100" s="43"/>
      <c r="JFO100" s="43"/>
      <c r="JFP100" s="43"/>
      <c r="JFQ100" s="43"/>
      <c r="JFR100" s="43"/>
      <c r="JFS100" s="43"/>
      <c r="JFT100" s="43"/>
      <c r="JFU100" s="43"/>
      <c r="JFV100" s="43"/>
      <c r="JFW100" s="43"/>
      <c r="JFX100" s="43"/>
      <c r="JFY100" s="43"/>
      <c r="JFZ100" s="43"/>
      <c r="JGA100" s="43"/>
      <c r="JGB100" s="43"/>
      <c r="JGC100" s="43"/>
      <c r="JGD100" s="43"/>
      <c r="JGE100" s="43"/>
      <c r="JGF100" s="43"/>
      <c r="JGG100" s="43"/>
      <c r="JGH100" s="43"/>
      <c r="JGI100" s="43"/>
      <c r="JGJ100" s="43"/>
      <c r="JGK100" s="43"/>
      <c r="JGL100" s="43"/>
      <c r="JGM100" s="43"/>
      <c r="JGN100" s="43"/>
      <c r="JGO100" s="43"/>
      <c r="JGP100" s="43"/>
      <c r="JGQ100" s="43"/>
      <c r="JGR100" s="43"/>
      <c r="JGS100" s="43"/>
      <c r="JGT100" s="43"/>
      <c r="JGU100" s="43"/>
      <c r="JGV100" s="43"/>
      <c r="JGW100" s="43"/>
      <c r="JGX100" s="43"/>
      <c r="JGY100" s="43"/>
      <c r="JGZ100" s="43"/>
      <c r="JHA100" s="43"/>
      <c r="JHB100" s="43"/>
      <c r="JHC100" s="43"/>
      <c r="JHD100" s="43"/>
      <c r="JHE100" s="43"/>
      <c r="JHF100" s="43"/>
      <c r="JHG100" s="43"/>
      <c r="JHH100" s="43"/>
      <c r="JHI100" s="43"/>
      <c r="JHJ100" s="43"/>
      <c r="JHK100" s="43"/>
      <c r="JHL100" s="43"/>
      <c r="JHM100" s="43"/>
      <c r="JHN100" s="43"/>
      <c r="JHO100" s="43"/>
      <c r="JHP100" s="43"/>
      <c r="JHQ100" s="43"/>
      <c r="JHR100" s="43"/>
      <c r="JHS100" s="43"/>
      <c r="JHT100" s="43"/>
      <c r="JHU100" s="43"/>
      <c r="JHV100" s="43"/>
      <c r="JHW100" s="43"/>
      <c r="JHX100" s="43"/>
      <c r="JHY100" s="43"/>
      <c r="JHZ100" s="43"/>
      <c r="JIA100" s="43"/>
      <c r="JIB100" s="43"/>
      <c r="JIC100" s="43"/>
      <c r="JID100" s="43"/>
      <c r="JIE100" s="43"/>
      <c r="JIF100" s="43"/>
      <c r="JIG100" s="43"/>
      <c r="JIH100" s="43"/>
      <c r="JII100" s="43"/>
      <c r="JIJ100" s="43"/>
      <c r="JIK100" s="43"/>
      <c r="JIL100" s="43"/>
      <c r="JIM100" s="43"/>
      <c r="JIN100" s="43"/>
      <c r="JIO100" s="43"/>
      <c r="JIP100" s="43"/>
      <c r="JIQ100" s="43"/>
      <c r="JIR100" s="43"/>
      <c r="JIS100" s="43"/>
      <c r="JIT100" s="43"/>
      <c r="JIU100" s="43"/>
      <c r="JIV100" s="43"/>
      <c r="JIW100" s="43"/>
      <c r="JIX100" s="43"/>
      <c r="JIY100" s="43"/>
      <c r="JIZ100" s="43"/>
      <c r="JJA100" s="43"/>
      <c r="JJB100" s="43"/>
      <c r="JJC100" s="43"/>
      <c r="JJD100" s="43"/>
      <c r="JJE100" s="43"/>
      <c r="JJF100" s="43"/>
      <c r="JJG100" s="43"/>
      <c r="JJH100" s="43"/>
      <c r="JJI100" s="43"/>
      <c r="JJJ100" s="43"/>
      <c r="JJK100" s="43"/>
      <c r="JJL100" s="43"/>
      <c r="JJM100" s="43"/>
      <c r="JJN100" s="43"/>
      <c r="JJO100" s="43"/>
      <c r="JJP100" s="43"/>
      <c r="JJQ100" s="43"/>
      <c r="JJR100" s="43"/>
      <c r="JJS100" s="43"/>
      <c r="JJT100" s="43"/>
      <c r="JJU100" s="43"/>
      <c r="JJV100" s="43"/>
      <c r="JJW100" s="43"/>
      <c r="JJX100" s="43"/>
      <c r="JJY100" s="43"/>
      <c r="JJZ100" s="43"/>
      <c r="JKA100" s="43"/>
      <c r="JKB100" s="43"/>
      <c r="JKC100" s="43"/>
      <c r="JKD100" s="43"/>
      <c r="JKE100" s="43"/>
      <c r="JKF100" s="43"/>
      <c r="JKG100" s="43"/>
      <c r="JKH100" s="43"/>
      <c r="JKJ100" s="43"/>
      <c r="JKK100" s="43"/>
      <c r="JKL100" s="43"/>
      <c r="JKM100" s="43"/>
      <c r="JKN100" s="43"/>
      <c r="JKO100" s="43"/>
      <c r="JKP100" s="43"/>
      <c r="JKQ100" s="43"/>
      <c r="JKR100" s="43"/>
      <c r="JKS100" s="43"/>
      <c r="JKT100" s="43"/>
      <c r="JKU100" s="43"/>
      <c r="JKV100" s="43"/>
      <c r="JKW100" s="43"/>
      <c r="JKX100" s="43"/>
      <c r="JKY100" s="43"/>
      <c r="JKZ100" s="43"/>
      <c r="JLA100" s="43"/>
      <c r="JLB100" s="43"/>
      <c r="JLC100" s="43"/>
      <c r="JLD100" s="43"/>
      <c r="JLE100" s="43"/>
      <c r="JLF100" s="43"/>
      <c r="JLG100" s="43"/>
      <c r="JLH100" s="43"/>
      <c r="JLI100" s="43"/>
      <c r="JLJ100" s="43"/>
      <c r="JLK100" s="43"/>
      <c r="JLL100" s="43"/>
      <c r="JLM100" s="43"/>
      <c r="JLN100" s="43"/>
      <c r="JLO100" s="43"/>
      <c r="JLP100" s="43"/>
      <c r="JLQ100" s="43"/>
      <c r="JLR100" s="43"/>
      <c r="JLS100" s="43"/>
      <c r="JLT100" s="43"/>
      <c r="JLU100" s="43"/>
      <c r="JLV100" s="43"/>
      <c r="JLW100" s="43"/>
      <c r="JLX100" s="43"/>
      <c r="JLY100" s="43"/>
      <c r="JLZ100" s="43"/>
      <c r="JMA100" s="43"/>
      <c r="JMB100" s="43"/>
      <c r="JMC100" s="43"/>
      <c r="JMD100" s="43"/>
      <c r="JME100" s="43"/>
      <c r="JMF100" s="43"/>
      <c r="JMG100" s="43"/>
      <c r="JMH100" s="43"/>
      <c r="JMI100" s="43"/>
      <c r="JMJ100" s="43"/>
      <c r="JMK100" s="43"/>
      <c r="JML100" s="43"/>
      <c r="JMM100" s="43"/>
      <c r="JMN100" s="43"/>
      <c r="JMO100" s="43"/>
      <c r="JMP100" s="43"/>
      <c r="JMQ100" s="43"/>
      <c r="JMR100" s="43"/>
      <c r="JMS100" s="43"/>
      <c r="JMT100" s="43"/>
      <c r="JMU100" s="43"/>
      <c r="JMV100" s="43"/>
      <c r="JMW100" s="43"/>
      <c r="JMX100" s="43"/>
      <c r="JMY100" s="43"/>
      <c r="JMZ100" s="43"/>
      <c r="JNA100" s="43"/>
      <c r="JNB100" s="43"/>
      <c r="JNC100" s="43"/>
      <c r="JND100" s="43"/>
      <c r="JNE100" s="43"/>
      <c r="JNF100" s="43"/>
      <c r="JNG100" s="43"/>
      <c r="JNH100" s="43"/>
      <c r="JNI100" s="43"/>
      <c r="JNJ100" s="43"/>
      <c r="JNK100" s="43"/>
      <c r="JNL100" s="43"/>
      <c r="JNM100" s="43"/>
      <c r="JNN100" s="43"/>
      <c r="JNO100" s="43"/>
      <c r="JNP100" s="43"/>
      <c r="JNQ100" s="43"/>
      <c r="JNR100" s="43"/>
      <c r="JNS100" s="43"/>
      <c r="JNT100" s="43"/>
      <c r="JNU100" s="43"/>
      <c r="JNV100" s="43"/>
      <c r="JNW100" s="43"/>
      <c r="JNX100" s="43"/>
      <c r="JNY100" s="43"/>
      <c r="JNZ100" s="43"/>
      <c r="JOA100" s="43"/>
      <c r="JOB100" s="43"/>
      <c r="JOC100" s="43"/>
      <c r="JOD100" s="43"/>
      <c r="JOE100" s="43"/>
      <c r="JOF100" s="43"/>
      <c r="JOG100" s="43"/>
      <c r="JOH100" s="43"/>
      <c r="JOI100" s="43"/>
      <c r="JOJ100" s="43"/>
      <c r="JOK100" s="43"/>
      <c r="JOL100" s="43"/>
      <c r="JOM100" s="43"/>
      <c r="JON100" s="43"/>
      <c r="JOO100" s="43"/>
      <c r="JOP100" s="43"/>
      <c r="JOQ100" s="43"/>
      <c r="JOR100" s="43"/>
      <c r="JOS100" s="43"/>
      <c r="JOT100" s="43"/>
      <c r="JOU100" s="43"/>
      <c r="JOV100" s="43"/>
      <c r="JOW100" s="43"/>
      <c r="JOX100" s="43"/>
      <c r="JOY100" s="43"/>
      <c r="JOZ100" s="43"/>
      <c r="JPA100" s="43"/>
      <c r="JPB100" s="43"/>
      <c r="JPC100" s="43"/>
      <c r="JPD100" s="43"/>
      <c r="JPE100" s="43"/>
      <c r="JPF100" s="43"/>
      <c r="JPG100" s="43"/>
      <c r="JPH100" s="43"/>
      <c r="JPI100" s="43"/>
      <c r="JPJ100" s="43"/>
      <c r="JPK100" s="43"/>
      <c r="JPL100" s="43"/>
      <c r="JPM100" s="43"/>
      <c r="JPN100" s="43"/>
      <c r="JPO100" s="43"/>
      <c r="JPP100" s="43"/>
      <c r="JPQ100" s="43"/>
      <c r="JPR100" s="43"/>
      <c r="JPS100" s="43"/>
      <c r="JPT100" s="43"/>
      <c r="JPU100" s="43"/>
      <c r="JPV100" s="43"/>
      <c r="JPW100" s="43"/>
      <c r="JPX100" s="43"/>
      <c r="JPY100" s="43"/>
      <c r="JPZ100" s="43"/>
      <c r="JQA100" s="43"/>
      <c r="JQB100" s="43"/>
      <c r="JQC100" s="43"/>
      <c r="JQD100" s="43"/>
      <c r="JQE100" s="43"/>
      <c r="JQF100" s="43"/>
      <c r="JQG100" s="43"/>
      <c r="JQH100" s="43"/>
      <c r="JQI100" s="43"/>
      <c r="JQJ100" s="43"/>
      <c r="JQK100" s="43"/>
      <c r="JQL100" s="43"/>
      <c r="JQM100" s="43"/>
      <c r="JQN100" s="43"/>
      <c r="JQO100" s="43"/>
      <c r="JQP100" s="43"/>
      <c r="JQQ100" s="43"/>
      <c r="JQR100" s="43"/>
      <c r="JQS100" s="43"/>
      <c r="JQT100" s="43"/>
      <c r="JQU100" s="43"/>
      <c r="JQV100" s="43"/>
      <c r="JQW100" s="43"/>
      <c r="JQX100" s="43"/>
      <c r="JQY100" s="43"/>
      <c r="JQZ100" s="43"/>
      <c r="JRA100" s="43"/>
      <c r="JRB100" s="43"/>
      <c r="JRC100" s="43"/>
      <c r="JRD100" s="43"/>
      <c r="JRE100" s="43"/>
      <c r="JRF100" s="43"/>
      <c r="JRG100" s="43"/>
      <c r="JRH100" s="43"/>
      <c r="JRI100" s="43"/>
      <c r="JRJ100" s="43"/>
      <c r="JRK100" s="43"/>
      <c r="JRL100" s="43"/>
      <c r="JRM100" s="43"/>
      <c r="JRN100" s="43"/>
      <c r="JRO100" s="43"/>
      <c r="JRP100" s="43"/>
      <c r="JRQ100" s="43"/>
      <c r="JRR100" s="43"/>
      <c r="JRS100" s="43"/>
      <c r="JRT100" s="43"/>
      <c r="JRU100" s="43"/>
      <c r="JRV100" s="43"/>
      <c r="JRW100" s="43"/>
      <c r="JRX100" s="43"/>
      <c r="JRY100" s="43"/>
      <c r="JRZ100" s="43"/>
      <c r="JSA100" s="43"/>
      <c r="JSB100" s="43"/>
      <c r="JSC100" s="43"/>
      <c r="JSD100" s="43"/>
      <c r="JSE100" s="43"/>
      <c r="JSF100" s="43"/>
      <c r="JSG100" s="43"/>
      <c r="JSH100" s="43"/>
      <c r="JSI100" s="43"/>
      <c r="JSJ100" s="43"/>
      <c r="JSK100" s="43"/>
      <c r="JSL100" s="43"/>
      <c r="JSM100" s="43"/>
      <c r="JSN100" s="43"/>
      <c r="JSO100" s="43"/>
      <c r="JSP100" s="43"/>
      <c r="JSQ100" s="43"/>
      <c r="JSR100" s="43"/>
      <c r="JSS100" s="43"/>
      <c r="JST100" s="43"/>
      <c r="JSU100" s="43"/>
      <c r="JSV100" s="43"/>
      <c r="JSW100" s="43"/>
      <c r="JSX100" s="43"/>
      <c r="JSY100" s="43"/>
      <c r="JSZ100" s="43"/>
      <c r="JTA100" s="43"/>
      <c r="JTB100" s="43"/>
      <c r="JTC100" s="43"/>
      <c r="JTD100" s="43"/>
      <c r="JTE100" s="43"/>
      <c r="JTF100" s="43"/>
      <c r="JTG100" s="43"/>
      <c r="JTH100" s="43"/>
      <c r="JTI100" s="43"/>
      <c r="JTJ100" s="43"/>
      <c r="JTK100" s="43"/>
      <c r="JTL100" s="43"/>
      <c r="JTM100" s="43"/>
      <c r="JTN100" s="43"/>
      <c r="JTO100" s="43"/>
      <c r="JTP100" s="43"/>
      <c r="JTQ100" s="43"/>
      <c r="JTR100" s="43"/>
      <c r="JTS100" s="43"/>
      <c r="JTT100" s="43"/>
      <c r="JTU100" s="43"/>
      <c r="JTV100" s="43"/>
      <c r="JTW100" s="43"/>
      <c r="JTX100" s="43"/>
      <c r="JTY100" s="43"/>
      <c r="JTZ100" s="43"/>
      <c r="JUA100" s="43"/>
      <c r="JUB100" s="43"/>
      <c r="JUC100" s="43"/>
      <c r="JUD100" s="43"/>
      <c r="JUF100" s="43"/>
      <c r="JUG100" s="43"/>
      <c r="JUH100" s="43"/>
      <c r="JUI100" s="43"/>
      <c r="JUJ100" s="43"/>
      <c r="JUK100" s="43"/>
      <c r="JUL100" s="43"/>
      <c r="JUM100" s="43"/>
      <c r="JUN100" s="43"/>
      <c r="JUO100" s="43"/>
      <c r="JUP100" s="43"/>
      <c r="JUQ100" s="43"/>
      <c r="JUR100" s="43"/>
      <c r="JUS100" s="43"/>
      <c r="JUT100" s="43"/>
      <c r="JUU100" s="43"/>
      <c r="JUV100" s="43"/>
      <c r="JUW100" s="43"/>
      <c r="JUX100" s="43"/>
      <c r="JUY100" s="43"/>
      <c r="JUZ100" s="43"/>
      <c r="JVA100" s="43"/>
      <c r="JVB100" s="43"/>
      <c r="JVC100" s="43"/>
      <c r="JVD100" s="43"/>
      <c r="JVE100" s="43"/>
      <c r="JVF100" s="43"/>
      <c r="JVG100" s="43"/>
      <c r="JVH100" s="43"/>
      <c r="JVI100" s="43"/>
      <c r="JVJ100" s="43"/>
      <c r="JVK100" s="43"/>
      <c r="JVL100" s="43"/>
      <c r="JVM100" s="43"/>
      <c r="JVN100" s="43"/>
      <c r="JVO100" s="43"/>
      <c r="JVP100" s="43"/>
      <c r="JVQ100" s="43"/>
      <c r="JVR100" s="43"/>
      <c r="JVS100" s="43"/>
      <c r="JVT100" s="43"/>
      <c r="JVU100" s="43"/>
      <c r="JVV100" s="43"/>
      <c r="JVW100" s="43"/>
      <c r="JVX100" s="43"/>
      <c r="JVY100" s="43"/>
      <c r="JVZ100" s="43"/>
      <c r="JWA100" s="43"/>
      <c r="JWB100" s="43"/>
      <c r="JWC100" s="43"/>
      <c r="JWD100" s="43"/>
      <c r="JWE100" s="43"/>
      <c r="JWF100" s="43"/>
      <c r="JWG100" s="43"/>
      <c r="JWH100" s="43"/>
      <c r="JWI100" s="43"/>
      <c r="JWJ100" s="43"/>
      <c r="JWK100" s="43"/>
      <c r="JWL100" s="43"/>
      <c r="JWM100" s="43"/>
      <c r="JWN100" s="43"/>
      <c r="JWO100" s="43"/>
      <c r="JWP100" s="43"/>
      <c r="JWQ100" s="43"/>
      <c r="JWR100" s="43"/>
      <c r="JWS100" s="43"/>
      <c r="JWT100" s="43"/>
      <c r="JWU100" s="43"/>
      <c r="JWV100" s="43"/>
      <c r="JWW100" s="43"/>
      <c r="JWX100" s="43"/>
      <c r="JWY100" s="43"/>
      <c r="JWZ100" s="43"/>
      <c r="JXA100" s="43"/>
      <c r="JXB100" s="43"/>
      <c r="JXC100" s="43"/>
      <c r="JXD100" s="43"/>
      <c r="JXE100" s="43"/>
      <c r="JXF100" s="43"/>
      <c r="JXG100" s="43"/>
      <c r="JXH100" s="43"/>
      <c r="JXI100" s="43"/>
      <c r="JXJ100" s="43"/>
      <c r="JXK100" s="43"/>
      <c r="JXL100" s="43"/>
      <c r="JXM100" s="43"/>
      <c r="JXN100" s="43"/>
      <c r="JXO100" s="43"/>
      <c r="JXP100" s="43"/>
      <c r="JXQ100" s="43"/>
      <c r="JXR100" s="43"/>
      <c r="JXS100" s="43"/>
      <c r="JXT100" s="43"/>
      <c r="JXU100" s="43"/>
      <c r="JXV100" s="43"/>
      <c r="JXW100" s="43"/>
      <c r="JXX100" s="43"/>
      <c r="JXY100" s="43"/>
      <c r="JXZ100" s="43"/>
      <c r="JYA100" s="43"/>
      <c r="JYB100" s="43"/>
      <c r="JYC100" s="43"/>
      <c r="JYD100" s="43"/>
      <c r="JYE100" s="43"/>
      <c r="JYF100" s="43"/>
      <c r="JYG100" s="43"/>
      <c r="JYH100" s="43"/>
      <c r="JYI100" s="43"/>
      <c r="JYJ100" s="43"/>
      <c r="JYK100" s="43"/>
      <c r="JYL100" s="43"/>
      <c r="JYM100" s="43"/>
      <c r="JYN100" s="43"/>
      <c r="JYO100" s="43"/>
      <c r="JYP100" s="43"/>
      <c r="JYQ100" s="43"/>
      <c r="JYR100" s="43"/>
      <c r="JYS100" s="43"/>
      <c r="JYT100" s="43"/>
      <c r="JYU100" s="43"/>
      <c r="JYV100" s="43"/>
      <c r="JYW100" s="43"/>
      <c r="JYX100" s="43"/>
      <c r="JYY100" s="43"/>
      <c r="JYZ100" s="43"/>
      <c r="JZA100" s="43"/>
      <c r="JZB100" s="43"/>
      <c r="JZC100" s="43"/>
      <c r="JZD100" s="43"/>
      <c r="JZE100" s="43"/>
      <c r="JZF100" s="43"/>
      <c r="JZG100" s="43"/>
      <c r="JZH100" s="43"/>
      <c r="JZI100" s="43"/>
      <c r="JZJ100" s="43"/>
      <c r="JZK100" s="43"/>
      <c r="JZL100" s="43"/>
      <c r="JZM100" s="43"/>
      <c r="JZN100" s="43"/>
      <c r="JZO100" s="43"/>
      <c r="JZP100" s="43"/>
      <c r="JZQ100" s="43"/>
      <c r="JZR100" s="43"/>
      <c r="JZS100" s="43"/>
      <c r="JZT100" s="43"/>
      <c r="JZU100" s="43"/>
      <c r="JZV100" s="43"/>
      <c r="JZW100" s="43"/>
      <c r="JZX100" s="43"/>
      <c r="JZY100" s="43"/>
      <c r="JZZ100" s="43"/>
      <c r="KAA100" s="43"/>
      <c r="KAB100" s="43"/>
      <c r="KAC100" s="43"/>
      <c r="KAD100" s="43"/>
      <c r="KAE100" s="43"/>
      <c r="KAF100" s="43"/>
      <c r="KAG100" s="43"/>
      <c r="KAH100" s="43"/>
      <c r="KAI100" s="43"/>
      <c r="KAJ100" s="43"/>
      <c r="KAK100" s="43"/>
      <c r="KAL100" s="43"/>
      <c r="KAM100" s="43"/>
      <c r="KAN100" s="43"/>
      <c r="KAO100" s="43"/>
      <c r="KAP100" s="43"/>
      <c r="KAQ100" s="43"/>
      <c r="KAR100" s="43"/>
      <c r="KAS100" s="43"/>
      <c r="KAT100" s="43"/>
      <c r="KAU100" s="43"/>
      <c r="KAV100" s="43"/>
      <c r="KAW100" s="43"/>
      <c r="KAX100" s="43"/>
      <c r="KAY100" s="43"/>
      <c r="KAZ100" s="43"/>
      <c r="KBA100" s="43"/>
      <c r="KBB100" s="43"/>
      <c r="KBC100" s="43"/>
      <c r="KBD100" s="43"/>
      <c r="KBE100" s="43"/>
      <c r="KBF100" s="43"/>
      <c r="KBG100" s="43"/>
      <c r="KBH100" s="43"/>
      <c r="KBI100" s="43"/>
      <c r="KBJ100" s="43"/>
      <c r="KBK100" s="43"/>
      <c r="KBL100" s="43"/>
      <c r="KBM100" s="43"/>
      <c r="KBN100" s="43"/>
      <c r="KBO100" s="43"/>
      <c r="KBP100" s="43"/>
      <c r="KBQ100" s="43"/>
      <c r="KBR100" s="43"/>
      <c r="KBS100" s="43"/>
      <c r="KBT100" s="43"/>
      <c r="KBU100" s="43"/>
      <c r="KBV100" s="43"/>
      <c r="KBW100" s="43"/>
      <c r="KBX100" s="43"/>
      <c r="KBY100" s="43"/>
      <c r="KBZ100" s="43"/>
      <c r="KCA100" s="43"/>
      <c r="KCB100" s="43"/>
      <c r="KCC100" s="43"/>
      <c r="KCD100" s="43"/>
      <c r="KCE100" s="43"/>
      <c r="KCF100" s="43"/>
      <c r="KCG100" s="43"/>
      <c r="KCH100" s="43"/>
      <c r="KCI100" s="43"/>
      <c r="KCJ100" s="43"/>
      <c r="KCK100" s="43"/>
      <c r="KCL100" s="43"/>
      <c r="KCM100" s="43"/>
      <c r="KCN100" s="43"/>
      <c r="KCO100" s="43"/>
      <c r="KCP100" s="43"/>
      <c r="KCQ100" s="43"/>
      <c r="KCR100" s="43"/>
      <c r="KCS100" s="43"/>
      <c r="KCT100" s="43"/>
      <c r="KCU100" s="43"/>
      <c r="KCV100" s="43"/>
      <c r="KCW100" s="43"/>
      <c r="KCX100" s="43"/>
      <c r="KCY100" s="43"/>
      <c r="KCZ100" s="43"/>
      <c r="KDA100" s="43"/>
      <c r="KDB100" s="43"/>
      <c r="KDC100" s="43"/>
      <c r="KDD100" s="43"/>
      <c r="KDE100" s="43"/>
      <c r="KDF100" s="43"/>
      <c r="KDG100" s="43"/>
      <c r="KDH100" s="43"/>
      <c r="KDI100" s="43"/>
      <c r="KDJ100" s="43"/>
      <c r="KDK100" s="43"/>
      <c r="KDL100" s="43"/>
      <c r="KDM100" s="43"/>
      <c r="KDN100" s="43"/>
      <c r="KDO100" s="43"/>
      <c r="KDP100" s="43"/>
      <c r="KDQ100" s="43"/>
      <c r="KDR100" s="43"/>
      <c r="KDS100" s="43"/>
      <c r="KDT100" s="43"/>
      <c r="KDU100" s="43"/>
      <c r="KDV100" s="43"/>
      <c r="KDW100" s="43"/>
      <c r="KDX100" s="43"/>
      <c r="KDY100" s="43"/>
      <c r="KDZ100" s="43"/>
      <c r="KEB100" s="43"/>
      <c r="KEC100" s="43"/>
      <c r="KED100" s="43"/>
      <c r="KEE100" s="43"/>
      <c r="KEF100" s="43"/>
      <c r="KEG100" s="43"/>
      <c r="KEH100" s="43"/>
      <c r="KEI100" s="43"/>
      <c r="KEJ100" s="43"/>
      <c r="KEK100" s="43"/>
      <c r="KEL100" s="43"/>
      <c r="KEM100" s="43"/>
      <c r="KEN100" s="43"/>
      <c r="KEO100" s="43"/>
      <c r="KEP100" s="43"/>
      <c r="KEQ100" s="43"/>
      <c r="KER100" s="43"/>
      <c r="KES100" s="43"/>
      <c r="KET100" s="43"/>
      <c r="KEU100" s="43"/>
      <c r="KEV100" s="43"/>
      <c r="KEW100" s="43"/>
      <c r="KEX100" s="43"/>
      <c r="KEY100" s="43"/>
      <c r="KEZ100" s="43"/>
      <c r="KFA100" s="43"/>
      <c r="KFB100" s="43"/>
      <c r="KFC100" s="43"/>
      <c r="KFD100" s="43"/>
      <c r="KFE100" s="43"/>
      <c r="KFF100" s="43"/>
      <c r="KFG100" s="43"/>
      <c r="KFH100" s="43"/>
      <c r="KFI100" s="43"/>
      <c r="KFJ100" s="43"/>
      <c r="KFK100" s="43"/>
      <c r="KFL100" s="43"/>
      <c r="KFM100" s="43"/>
      <c r="KFN100" s="43"/>
      <c r="KFO100" s="43"/>
      <c r="KFP100" s="43"/>
      <c r="KFQ100" s="43"/>
      <c r="KFR100" s="43"/>
      <c r="KFS100" s="43"/>
      <c r="KFT100" s="43"/>
      <c r="KFU100" s="43"/>
      <c r="KFV100" s="43"/>
      <c r="KFW100" s="43"/>
      <c r="KFX100" s="43"/>
      <c r="KFY100" s="43"/>
      <c r="KFZ100" s="43"/>
      <c r="KGA100" s="43"/>
      <c r="KGB100" s="43"/>
      <c r="KGC100" s="43"/>
      <c r="KGD100" s="43"/>
      <c r="KGE100" s="43"/>
      <c r="KGF100" s="43"/>
      <c r="KGG100" s="43"/>
      <c r="KGH100" s="43"/>
      <c r="KGI100" s="43"/>
      <c r="KGJ100" s="43"/>
      <c r="KGK100" s="43"/>
      <c r="KGL100" s="43"/>
      <c r="KGM100" s="43"/>
      <c r="KGN100" s="43"/>
      <c r="KGO100" s="43"/>
      <c r="KGP100" s="43"/>
      <c r="KGQ100" s="43"/>
      <c r="KGR100" s="43"/>
      <c r="KGS100" s="43"/>
      <c r="KGT100" s="43"/>
      <c r="KGU100" s="43"/>
      <c r="KGV100" s="43"/>
      <c r="KGW100" s="43"/>
      <c r="KGX100" s="43"/>
      <c r="KGY100" s="43"/>
      <c r="KGZ100" s="43"/>
      <c r="KHA100" s="43"/>
      <c r="KHB100" s="43"/>
      <c r="KHC100" s="43"/>
      <c r="KHD100" s="43"/>
      <c r="KHE100" s="43"/>
      <c r="KHF100" s="43"/>
      <c r="KHG100" s="43"/>
      <c r="KHH100" s="43"/>
      <c r="KHI100" s="43"/>
      <c r="KHJ100" s="43"/>
      <c r="KHK100" s="43"/>
      <c r="KHL100" s="43"/>
      <c r="KHM100" s="43"/>
      <c r="KHN100" s="43"/>
      <c r="KHO100" s="43"/>
      <c r="KHP100" s="43"/>
      <c r="KHQ100" s="43"/>
      <c r="KHR100" s="43"/>
      <c r="KHS100" s="43"/>
      <c r="KHT100" s="43"/>
      <c r="KHU100" s="43"/>
      <c r="KHV100" s="43"/>
      <c r="KHW100" s="43"/>
      <c r="KHX100" s="43"/>
      <c r="KHY100" s="43"/>
      <c r="KHZ100" s="43"/>
      <c r="KIA100" s="43"/>
      <c r="KIB100" s="43"/>
      <c r="KIC100" s="43"/>
      <c r="KID100" s="43"/>
      <c r="KIE100" s="43"/>
      <c r="KIF100" s="43"/>
      <c r="KIG100" s="43"/>
      <c r="KIH100" s="43"/>
      <c r="KII100" s="43"/>
      <c r="KIJ100" s="43"/>
      <c r="KIK100" s="43"/>
      <c r="KIL100" s="43"/>
      <c r="KIM100" s="43"/>
      <c r="KIN100" s="43"/>
      <c r="KIO100" s="43"/>
      <c r="KIP100" s="43"/>
      <c r="KIQ100" s="43"/>
      <c r="KIR100" s="43"/>
      <c r="KIS100" s="43"/>
      <c r="KIT100" s="43"/>
      <c r="KIU100" s="43"/>
      <c r="KIV100" s="43"/>
      <c r="KIW100" s="43"/>
      <c r="KIX100" s="43"/>
      <c r="KIY100" s="43"/>
      <c r="KIZ100" s="43"/>
      <c r="KJA100" s="43"/>
      <c r="KJB100" s="43"/>
      <c r="KJC100" s="43"/>
      <c r="KJD100" s="43"/>
      <c r="KJE100" s="43"/>
      <c r="KJF100" s="43"/>
      <c r="KJG100" s="43"/>
      <c r="KJH100" s="43"/>
      <c r="KJI100" s="43"/>
      <c r="KJJ100" s="43"/>
      <c r="KJK100" s="43"/>
      <c r="KJL100" s="43"/>
      <c r="KJM100" s="43"/>
      <c r="KJN100" s="43"/>
      <c r="KJO100" s="43"/>
      <c r="KJP100" s="43"/>
      <c r="KJQ100" s="43"/>
      <c r="KJR100" s="43"/>
      <c r="KJS100" s="43"/>
      <c r="KJT100" s="43"/>
      <c r="KJU100" s="43"/>
      <c r="KJV100" s="43"/>
      <c r="KJW100" s="43"/>
      <c r="KJX100" s="43"/>
      <c r="KJY100" s="43"/>
      <c r="KJZ100" s="43"/>
      <c r="KKA100" s="43"/>
      <c r="KKB100" s="43"/>
      <c r="KKC100" s="43"/>
      <c r="KKD100" s="43"/>
      <c r="KKE100" s="43"/>
      <c r="KKF100" s="43"/>
      <c r="KKG100" s="43"/>
      <c r="KKH100" s="43"/>
      <c r="KKI100" s="43"/>
      <c r="KKJ100" s="43"/>
      <c r="KKK100" s="43"/>
      <c r="KKL100" s="43"/>
      <c r="KKM100" s="43"/>
      <c r="KKN100" s="43"/>
      <c r="KKO100" s="43"/>
      <c r="KKP100" s="43"/>
      <c r="KKQ100" s="43"/>
      <c r="KKR100" s="43"/>
      <c r="KKS100" s="43"/>
      <c r="KKT100" s="43"/>
      <c r="KKU100" s="43"/>
      <c r="KKV100" s="43"/>
      <c r="KKW100" s="43"/>
      <c r="KKX100" s="43"/>
      <c r="KKY100" s="43"/>
      <c r="KKZ100" s="43"/>
      <c r="KLA100" s="43"/>
      <c r="KLB100" s="43"/>
      <c r="KLC100" s="43"/>
      <c r="KLD100" s="43"/>
      <c r="KLE100" s="43"/>
      <c r="KLF100" s="43"/>
      <c r="KLG100" s="43"/>
      <c r="KLH100" s="43"/>
      <c r="KLI100" s="43"/>
      <c r="KLJ100" s="43"/>
      <c r="KLK100" s="43"/>
      <c r="KLL100" s="43"/>
      <c r="KLM100" s="43"/>
      <c r="KLN100" s="43"/>
      <c r="KLO100" s="43"/>
      <c r="KLP100" s="43"/>
      <c r="KLQ100" s="43"/>
      <c r="KLR100" s="43"/>
      <c r="KLS100" s="43"/>
      <c r="KLT100" s="43"/>
      <c r="KLU100" s="43"/>
      <c r="KLV100" s="43"/>
      <c r="KLW100" s="43"/>
      <c r="KLX100" s="43"/>
      <c r="KLY100" s="43"/>
      <c r="KLZ100" s="43"/>
      <c r="KMA100" s="43"/>
      <c r="KMB100" s="43"/>
      <c r="KMC100" s="43"/>
      <c r="KMD100" s="43"/>
      <c r="KME100" s="43"/>
      <c r="KMF100" s="43"/>
      <c r="KMG100" s="43"/>
      <c r="KMH100" s="43"/>
      <c r="KMI100" s="43"/>
      <c r="KMJ100" s="43"/>
      <c r="KMK100" s="43"/>
      <c r="KML100" s="43"/>
      <c r="KMM100" s="43"/>
      <c r="KMN100" s="43"/>
      <c r="KMO100" s="43"/>
      <c r="KMP100" s="43"/>
      <c r="KMQ100" s="43"/>
      <c r="KMR100" s="43"/>
      <c r="KMS100" s="43"/>
      <c r="KMT100" s="43"/>
      <c r="KMU100" s="43"/>
      <c r="KMV100" s="43"/>
      <c r="KMW100" s="43"/>
      <c r="KMX100" s="43"/>
      <c r="KMY100" s="43"/>
      <c r="KMZ100" s="43"/>
      <c r="KNA100" s="43"/>
      <c r="KNB100" s="43"/>
      <c r="KNC100" s="43"/>
      <c r="KND100" s="43"/>
      <c r="KNE100" s="43"/>
      <c r="KNF100" s="43"/>
      <c r="KNG100" s="43"/>
      <c r="KNH100" s="43"/>
      <c r="KNI100" s="43"/>
      <c r="KNJ100" s="43"/>
      <c r="KNK100" s="43"/>
      <c r="KNL100" s="43"/>
      <c r="KNM100" s="43"/>
      <c r="KNN100" s="43"/>
      <c r="KNO100" s="43"/>
      <c r="KNP100" s="43"/>
      <c r="KNQ100" s="43"/>
      <c r="KNR100" s="43"/>
      <c r="KNS100" s="43"/>
      <c r="KNT100" s="43"/>
      <c r="KNU100" s="43"/>
      <c r="KNV100" s="43"/>
      <c r="KNX100" s="43"/>
      <c r="KNY100" s="43"/>
      <c r="KNZ100" s="43"/>
      <c r="KOA100" s="43"/>
      <c r="KOB100" s="43"/>
      <c r="KOC100" s="43"/>
      <c r="KOD100" s="43"/>
      <c r="KOE100" s="43"/>
      <c r="KOF100" s="43"/>
      <c r="KOG100" s="43"/>
      <c r="KOH100" s="43"/>
      <c r="KOI100" s="43"/>
      <c r="KOJ100" s="43"/>
      <c r="KOK100" s="43"/>
      <c r="KOL100" s="43"/>
      <c r="KOM100" s="43"/>
      <c r="KON100" s="43"/>
      <c r="KOO100" s="43"/>
      <c r="KOP100" s="43"/>
      <c r="KOQ100" s="43"/>
      <c r="KOR100" s="43"/>
      <c r="KOS100" s="43"/>
      <c r="KOT100" s="43"/>
      <c r="KOU100" s="43"/>
      <c r="KOV100" s="43"/>
      <c r="KOW100" s="43"/>
      <c r="KOX100" s="43"/>
      <c r="KOY100" s="43"/>
      <c r="KOZ100" s="43"/>
      <c r="KPA100" s="43"/>
      <c r="KPB100" s="43"/>
      <c r="KPC100" s="43"/>
      <c r="KPD100" s="43"/>
      <c r="KPE100" s="43"/>
      <c r="KPF100" s="43"/>
      <c r="KPG100" s="43"/>
      <c r="KPH100" s="43"/>
      <c r="KPI100" s="43"/>
      <c r="KPJ100" s="43"/>
      <c r="KPK100" s="43"/>
      <c r="KPL100" s="43"/>
      <c r="KPM100" s="43"/>
      <c r="KPN100" s="43"/>
      <c r="KPO100" s="43"/>
      <c r="KPP100" s="43"/>
      <c r="KPQ100" s="43"/>
      <c r="KPR100" s="43"/>
      <c r="KPS100" s="43"/>
      <c r="KPT100" s="43"/>
      <c r="KPU100" s="43"/>
      <c r="KPV100" s="43"/>
      <c r="KPW100" s="43"/>
      <c r="KPX100" s="43"/>
      <c r="KPY100" s="43"/>
      <c r="KPZ100" s="43"/>
      <c r="KQA100" s="43"/>
      <c r="KQB100" s="43"/>
      <c r="KQC100" s="43"/>
      <c r="KQD100" s="43"/>
      <c r="KQE100" s="43"/>
      <c r="KQF100" s="43"/>
      <c r="KQG100" s="43"/>
      <c r="KQH100" s="43"/>
      <c r="KQI100" s="43"/>
      <c r="KQJ100" s="43"/>
      <c r="KQK100" s="43"/>
      <c r="KQL100" s="43"/>
      <c r="KQM100" s="43"/>
      <c r="KQN100" s="43"/>
      <c r="KQO100" s="43"/>
      <c r="KQP100" s="43"/>
      <c r="KQQ100" s="43"/>
      <c r="KQR100" s="43"/>
      <c r="KQS100" s="43"/>
      <c r="KQT100" s="43"/>
      <c r="KQU100" s="43"/>
      <c r="KQV100" s="43"/>
      <c r="KQW100" s="43"/>
      <c r="KQX100" s="43"/>
      <c r="KQY100" s="43"/>
      <c r="KQZ100" s="43"/>
      <c r="KRA100" s="43"/>
      <c r="KRB100" s="43"/>
      <c r="KRC100" s="43"/>
      <c r="KRD100" s="43"/>
      <c r="KRE100" s="43"/>
      <c r="KRF100" s="43"/>
      <c r="KRG100" s="43"/>
      <c r="KRH100" s="43"/>
      <c r="KRI100" s="43"/>
      <c r="KRJ100" s="43"/>
      <c r="KRK100" s="43"/>
      <c r="KRL100" s="43"/>
      <c r="KRM100" s="43"/>
      <c r="KRN100" s="43"/>
      <c r="KRO100" s="43"/>
      <c r="KRP100" s="43"/>
      <c r="KRQ100" s="43"/>
      <c r="KRR100" s="43"/>
      <c r="KRS100" s="43"/>
      <c r="KRT100" s="43"/>
      <c r="KRU100" s="43"/>
      <c r="KRV100" s="43"/>
      <c r="KRW100" s="43"/>
      <c r="KRX100" s="43"/>
      <c r="KRY100" s="43"/>
      <c r="KRZ100" s="43"/>
      <c r="KSA100" s="43"/>
      <c r="KSB100" s="43"/>
      <c r="KSC100" s="43"/>
      <c r="KSD100" s="43"/>
      <c r="KSE100" s="43"/>
      <c r="KSF100" s="43"/>
      <c r="KSG100" s="43"/>
      <c r="KSH100" s="43"/>
      <c r="KSI100" s="43"/>
      <c r="KSJ100" s="43"/>
      <c r="KSK100" s="43"/>
      <c r="KSL100" s="43"/>
      <c r="KSM100" s="43"/>
      <c r="KSN100" s="43"/>
      <c r="KSO100" s="43"/>
      <c r="KSP100" s="43"/>
      <c r="KSQ100" s="43"/>
      <c r="KSR100" s="43"/>
      <c r="KSS100" s="43"/>
      <c r="KST100" s="43"/>
      <c r="KSU100" s="43"/>
      <c r="KSV100" s="43"/>
      <c r="KSW100" s="43"/>
      <c r="KSX100" s="43"/>
      <c r="KSY100" s="43"/>
      <c r="KSZ100" s="43"/>
      <c r="KTA100" s="43"/>
      <c r="KTB100" s="43"/>
      <c r="KTC100" s="43"/>
      <c r="KTD100" s="43"/>
      <c r="KTE100" s="43"/>
      <c r="KTF100" s="43"/>
      <c r="KTG100" s="43"/>
      <c r="KTH100" s="43"/>
      <c r="KTI100" s="43"/>
      <c r="KTJ100" s="43"/>
      <c r="KTK100" s="43"/>
      <c r="KTL100" s="43"/>
      <c r="KTM100" s="43"/>
      <c r="KTN100" s="43"/>
      <c r="KTO100" s="43"/>
      <c r="KTP100" s="43"/>
      <c r="KTQ100" s="43"/>
      <c r="KTR100" s="43"/>
      <c r="KTS100" s="43"/>
      <c r="KTT100" s="43"/>
      <c r="KTU100" s="43"/>
      <c r="KTV100" s="43"/>
      <c r="KTW100" s="43"/>
      <c r="KTX100" s="43"/>
      <c r="KTY100" s="43"/>
      <c r="KTZ100" s="43"/>
      <c r="KUA100" s="43"/>
      <c r="KUB100" s="43"/>
      <c r="KUC100" s="43"/>
      <c r="KUD100" s="43"/>
      <c r="KUE100" s="43"/>
      <c r="KUF100" s="43"/>
      <c r="KUG100" s="43"/>
      <c r="KUH100" s="43"/>
      <c r="KUI100" s="43"/>
      <c r="KUJ100" s="43"/>
      <c r="KUK100" s="43"/>
      <c r="KUL100" s="43"/>
      <c r="KUM100" s="43"/>
      <c r="KUN100" s="43"/>
      <c r="KUO100" s="43"/>
      <c r="KUP100" s="43"/>
      <c r="KUQ100" s="43"/>
      <c r="KUR100" s="43"/>
      <c r="KUS100" s="43"/>
      <c r="KUT100" s="43"/>
      <c r="KUU100" s="43"/>
      <c r="KUV100" s="43"/>
      <c r="KUW100" s="43"/>
      <c r="KUX100" s="43"/>
      <c r="KUY100" s="43"/>
      <c r="KUZ100" s="43"/>
      <c r="KVA100" s="43"/>
      <c r="KVB100" s="43"/>
      <c r="KVC100" s="43"/>
      <c r="KVD100" s="43"/>
      <c r="KVE100" s="43"/>
      <c r="KVF100" s="43"/>
      <c r="KVG100" s="43"/>
      <c r="KVH100" s="43"/>
      <c r="KVI100" s="43"/>
      <c r="KVJ100" s="43"/>
      <c r="KVK100" s="43"/>
      <c r="KVL100" s="43"/>
      <c r="KVM100" s="43"/>
      <c r="KVN100" s="43"/>
      <c r="KVO100" s="43"/>
      <c r="KVP100" s="43"/>
      <c r="KVQ100" s="43"/>
      <c r="KVR100" s="43"/>
      <c r="KVS100" s="43"/>
      <c r="KVT100" s="43"/>
      <c r="KVU100" s="43"/>
      <c r="KVV100" s="43"/>
      <c r="KVW100" s="43"/>
      <c r="KVX100" s="43"/>
      <c r="KVY100" s="43"/>
      <c r="KVZ100" s="43"/>
      <c r="KWA100" s="43"/>
      <c r="KWB100" s="43"/>
      <c r="KWC100" s="43"/>
      <c r="KWD100" s="43"/>
      <c r="KWE100" s="43"/>
      <c r="KWF100" s="43"/>
      <c r="KWG100" s="43"/>
      <c r="KWH100" s="43"/>
      <c r="KWI100" s="43"/>
      <c r="KWJ100" s="43"/>
      <c r="KWK100" s="43"/>
      <c r="KWL100" s="43"/>
      <c r="KWM100" s="43"/>
      <c r="KWN100" s="43"/>
      <c r="KWO100" s="43"/>
      <c r="KWP100" s="43"/>
      <c r="KWQ100" s="43"/>
      <c r="KWR100" s="43"/>
      <c r="KWS100" s="43"/>
      <c r="KWT100" s="43"/>
      <c r="KWU100" s="43"/>
      <c r="KWV100" s="43"/>
      <c r="KWW100" s="43"/>
      <c r="KWX100" s="43"/>
      <c r="KWY100" s="43"/>
      <c r="KWZ100" s="43"/>
      <c r="KXA100" s="43"/>
      <c r="KXB100" s="43"/>
      <c r="KXC100" s="43"/>
      <c r="KXD100" s="43"/>
      <c r="KXE100" s="43"/>
      <c r="KXF100" s="43"/>
      <c r="KXG100" s="43"/>
      <c r="KXH100" s="43"/>
      <c r="KXI100" s="43"/>
      <c r="KXJ100" s="43"/>
      <c r="KXK100" s="43"/>
      <c r="KXL100" s="43"/>
      <c r="KXM100" s="43"/>
      <c r="KXN100" s="43"/>
      <c r="KXO100" s="43"/>
      <c r="KXP100" s="43"/>
      <c r="KXQ100" s="43"/>
      <c r="KXR100" s="43"/>
      <c r="KXT100" s="43"/>
      <c r="KXU100" s="43"/>
      <c r="KXV100" s="43"/>
      <c r="KXW100" s="43"/>
      <c r="KXX100" s="43"/>
      <c r="KXY100" s="43"/>
      <c r="KXZ100" s="43"/>
      <c r="KYA100" s="43"/>
      <c r="KYB100" s="43"/>
      <c r="KYC100" s="43"/>
      <c r="KYD100" s="43"/>
      <c r="KYE100" s="43"/>
      <c r="KYF100" s="43"/>
      <c r="KYG100" s="43"/>
      <c r="KYH100" s="43"/>
      <c r="KYI100" s="43"/>
      <c r="KYJ100" s="43"/>
      <c r="KYK100" s="43"/>
      <c r="KYL100" s="43"/>
      <c r="KYM100" s="43"/>
      <c r="KYN100" s="43"/>
      <c r="KYO100" s="43"/>
      <c r="KYP100" s="43"/>
      <c r="KYQ100" s="43"/>
      <c r="KYR100" s="43"/>
      <c r="KYS100" s="43"/>
      <c r="KYT100" s="43"/>
      <c r="KYU100" s="43"/>
      <c r="KYV100" s="43"/>
      <c r="KYW100" s="43"/>
      <c r="KYX100" s="43"/>
      <c r="KYY100" s="43"/>
      <c r="KYZ100" s="43"/>
      <c r="KZA100" s="43"/>
      <c r="KZB100" s="43"/>
      <c r="KZC100" s="43"/>
      <c r="KZD100" s="43"/>
      <c r="KZE100" s="43"/>
      <c r="KZF100" s="43"/>
      <c r="KZG100" s="43"/>
      <c r="KZH100" s="43"/>
      <c r="KZI100" s="43"/>
      <c r="KZJ100" s="43"/>
      <c r="KZK100" s="43"/>
      <c r="KZL100" s="43"/>
      <c r="KZM100" s="43"/>
      <c r="KZN100" s="43"/>
      <c r="KZO100" s="43"/>
      <c r="KZP100" s="43"/>
      <c r="KZQ100" s="43"/>
      <c r="KZR100" s="43"/>
      <c r="KZS100" s="43"/>
      <c r="KZT100" s="43"/>
      <c r="KZU100" s="43"/>
      <c r="KZV100" s="43"/>
      <c r="KZW100" s="43"/>
      <c r="KZX100" s="43"/>
      <c r="KZY100" s="43"/>
      <c r="KZZ100" s="43"/>
      <c r="LAA100" s="43"/>
      <c r="LAB100" s="43"/>
      <c r="LAC100" s="43"/>
      <c r="LAD100" s="43"/>
      <c r="LAE100" s="43"/>
      <c r="LAF100" s="43"/>
      <c r="LAG100" s="43"/>
      <c r="LAH100" s="43"/>
      <c r="LAI100" s="43"/>
      <c r="LAJ100" s="43"/>
      <c r="LAK100" s="43"/>
      <c r="LAL100" s="43"/>
      <c r="LAM100" s="43"/>
      <c r="LAN100" s="43"/>
      <c r="LAO100" s="43"/>
      <c r="LAP100" s="43"/>
      <c r="LAQ100" s="43"/>
      <c r="LAR100" s="43"/>
      <c r="LAS100" s="43"/>
      <c r="LAT100" s="43"/>
      <c r="LAU100" s="43"/>
      <c r="LAV100" s="43"/>
      <c r="LAW100" s="43"/>
      <c r="LAX100" s="43"/>
      <c r="LAY100" s="43"/>
      <c r="LAZ100" s="43"/>
      <c r="LBA100" s="43"/>
      <c r="LBB100" s="43"/>
      <c r="LBC100" s="43"/>
      <c r="LBD100" s="43"/>
      <c r="LBE100" s="43"/>
      <c r="LBF100" s="43"/>
      <c r="LBG100" s="43"/>
      <c r="LBH100" s="43"/>
      <c r="LBI100" s="43"/>
      <c r="LBJ100" s="43"/>
      <c r="LBK100" s="43"/>
      <c r="LBL100" s="43"/>
      <c r="LBM100" s="43"/>
      <c r="LBN100" s="43"/>
      <c r="LBO100" s="43"/>
      <c r="LBP100" s="43"/>
      <c r="LBQ100" s="43"/>
      <c r="LBR100" s="43"/>
      <c r="LBS100" s="43"/>
      <c r="LBT100" s="43"/>
      <c r="LBU100" s="43"/>
      <c r="LBV100" s="43"/>
      <c r="LBW100" s="43"/>
      <c r="LBX100" s="43"/>
      <c r="LBY100" s="43"/>
      <c r="LBZ100" s="43"/>
      <c r="LCA100" s="43"/>
      <c r="LCB100" s="43"/>
      <c r="LCC100" s="43"/>
      <c r="LCD100" s="43"/>
      <c r="LCE100" s="43"/>
      <c r="LCF100" s="43"/>
      <c r="LCG100" s="43"/>
      <c r="LCH100" s="43"/>
      <c r="LCI100" s="43"/>
      <c r="LCJ100" s="43"/>
      <c r="LCK100" s="43"/>
      <c r="LCL100" s="43"/>
      <c r="LCM100" s="43"/>
      <c r="LCN100" s="43"/>
      <c r="LCO100" s="43"/>
      <c r="LCP100" s="43"/>
      <c r="LCQ100" s="43"/>
      <c r="LCR100" s="43"/>
      <c r="LCS100" s="43"/>
      <c r="LCT100" s="43"/>
      <c r="LCU100" s="43"/>
      <c r="LCV100" s="43"/>
      <c r="LCW100" s="43"/>
      <c r="LCX100" s="43"/>
      <c r="LCY100" s="43"/>
      <c r="LCZ100" s="43"/>
      <c r="LDA100" s="43"/>
      <c r="LDB100" s="43"/>
      <c r="LDC100" s="43"/>
      <c r="LDD100" s="43"/>
      <c r="LDE100" s="43"/>
      <c r="LDF100" s="43"/>
      <c r="LDG100" s="43"/>
      <c r="LDH100" s="43"/>
      <c r="LDI100" s="43"/>
      <c r="LDJ100" s="43"/>
      <c r="LDK100" s="43"/>
      <c r="LDL100" s="43"/>
      <c r="LDM100" s="43"/>
      <c r="LDN100" s="43"/>
      <c r="LDO100" s="43"/>
      <c r="LDP100" s="43"/>
      <c r="LDQ100" s="43"/>
      <c r="LDR100" s="43"/>
      <c r="LDS100" s="43"/>
      <c r="LDT100" s="43"/>
      <c r="LDU100" s="43"/>
      <c r="LDV100" s="43"/>
      <c r="LDW100" s="43"/>
      <c r="LDX100" s="43"/>
      <c r="LDY100" s="43"/>
      <c r="LDZ100" s="43"/>
      <c r="LEA100" s="43"/>
      <c r="LEB100" s="43"/>
      <c r="LEC100" s="43"/>
      <c r="LED100" s="43"/>
      <c r="LEE100" s="43"/>
      <c r="LEF100" s="43"/>
      <c r="LEG100" s="43"/>
      <c r="LEH100" s="43"/>
      <c r="LEI100" s="43"/>
      <c r="LEJ100" s="43"/>
      <c r="LEK100" s="43"/>
      <c r="LEL100" s="43"/>
      <c r="LEM100" s="43"/>
      <c r="LEN100" s="43"/>
      <c r="LEO100" s="43"/>
      <c r="LEP100" s="43"/>
      <c r="LEQ100" s="43"/>
      <c r="LER100" s="43"/>
      <c r="LES100" s="43"/>
      <c r="LET100" s="43"/>
      <c r="LEU100" s="43"/>
      <c r="LEV100" s="43"/>
      <c r="LEW100" s="43"/>
      <c r="LEX100" s="43"/>
      <c r="LEY100" s="43"/>
      <c r="LEZ100" s="43"/>
      <c r="LFA100" s="43"/>
      <c r="LFB100" s="43"/>
      <c r="LFC100" s="43"/>
      <c r="LFD100" s="43"/>
      <c r="LFE100" s="43"/>
      <c r="LFF100" s="43"/>
      <c r="LFG100" s="43"/>
      <c r="LFH100" s="43"/>
      <c r="LFI100" s="43"/>
      <c r="LFJ100" s="43"/>
      <c r="LFK100" s="43"/>
      <c r="LFL100" s="43"/>
      <c r="LFM100" s="43"/>
      <c r="LFN100" s="43"/>
      <c r="LFO100" s="43"/>
      <c r="LFP100" s="43"/>
      <c r="LFQ100" s="43"/>
      <c r="LFR100" s="43"/>
      <c r="LFS100" s="43"/>
      <c r="LFT100" s="43"/>
      <c r="LFU100" s="43"/>
      <c r="LFV100" s="43"/>
      <c r="LFW100" s="43"/>
      <c r="LFX100" s="43"/>
      <c r="LFY100" s="43"/>
      <c r="LFZ100" s="43"/>
      <c r="LGA100" s="43"/>
      <c r="LGB100" s="43"/>
      <c r="LGC100" s="43"/>
      <c r="LGD100" s="43"/>
      <c r="LGE100" s="43"/>
      <c r="LGF100" s="43"/>
      <c r="LGG100" s="43"/>
      <c r="LGH100" s="43"/>
      <c r="LGI100" s="43"/>
      <c r="LGJ100" s="43"/>
      <c r="LGK100" s="43"/>
      <c r="LGL100" s="43"/>
      <c r="LGM100" s="43"/>
      <c r="LGN100" s="43"/>
      <c r="LGO100" s="43"/>
      <c r="LGP100" s="43"/>
      <c r="LGQ100" s="43"/>
      <c r="LGR100" s="43"/>
      <c r="LGS100" s="43"/>
      <c r="LGT100" s="43"/>
      <c r="LGU100" s="43"/>
      <c r="LGV100" s="43"/>
      <c r="LGW100" s="43"/>
      <c r="LGX100" s="43"/>
      <c r="LGY100" s="43"/>
      <c r="LGZ100" s="43"/>
      <c r="LHA100" s="43"/>
      <c r="LHB100" s="43"/>
      <c r="LHC100" s="43"/>
      <c r="LHD100" s="43"/>
      <c r="LHE100" s="43"/>
      <c r="LHF100" s="43"/>
      <c r="LHG100" s="43"/>
      <c r="LHH100" s="43"/>
      <c r="LHI100" s="43"/>
      <c r="LHJ100" s="43"/>
      <c r="LHK100" s="43"/>
      <c r="LHL100" s="43"/>
      <c r="LHM100" s="43"/>
      <c r="LHN100" s="43"/>
      <c r="LHP100" s="43"/>
      <c r="LHQ100" s="43"/>
      <c r="LHR100" s="43"/>
      <c r="LHS100" s="43"/>
      <c r="LHT100" s="43"/>
      <c r="LHU100" s="43"/>
      <c r="LHV100" s="43"/>
      <c r="LHW100" s="43"/>
      <c r="LHX100" s="43"/>
      <c r="LHY100" s="43"/>
      <c r="LHZ100" s="43"/>
      <c r="LIA100" s="43"/>
      <c r="LIB100" s="43"/>
      <c r="LIC100" s="43"/>
      <c r="LID100" s="43"/>
      <c r="LIE100" s="43"/>
      <c r="LIF100" s="43"/>
      <c r="LIG100" s="43"/>
      <c r="LIH100" s="43"/>
      <c r="LII100" s="43"/>
      <c r="LIJ100" s="43"/>
      <c r="LIK100" s="43"/>
      <c r="LIL100" s="43"/>
      <c r="LIM100" s="43"/>
      <c r="LIN100" s="43"/>
      <c r="LIO100" s="43"/>
      <c r="LIP100" s="43"/>
      <c r="LIQ100" s="43"/>
      <c r="LIR100" s="43"/>
      <c r="LIS100" s="43"/>
      <c r="LIT100" s="43"/>
      <c r="LIU100" s="43"/>
      <c r="LIV100" s="43"/>
      <c r="LIW100" s="43"/>
      <c r="LIX100" s="43"/>
      <c r="LIY100" s="43"/>
      <c r="LIZ100" s="43"/>
      <c r="LJA100" s="43"/>
      <c r="LJB100" s="43"/>
      <c r="LJC100" s="43"/>
      <c r="LJD100" s="43"/>
      <c r="LJE100" s="43"/>
      <c r="LJF100" s="43"/>
      <c r="LJG100" s="43"/>
      <c r="LJH100" s="43"/>
      <c r="LJI100" s="43"/>
      <c r="LJJ100" s="43"/>
      <c r="LJK100" s="43"/>
      <c r="LJL100" s="43"/>
      <c r="LJM100" s="43"/>
      <c r="LJN100" s="43"/>
      <c r="LJO100" s="43"/>
      <c r="LJP100" s="43"/>
      <c r="LJQ100" s="43"/>
      <c r="LJR100" s="43"/>
      <c r="LJS100" s="43"/>
      <c r="LJT100" s="43"/>
      <c r="LJU100" s="43"/>
      <c r="LJV100" s="43"/>
      <c r="LJW100" s="43"/>
      <c r="LJX100" s="43"/>
      <c r="LJY100" s="43"/>
      <c r="LJZ100" s="43"/>
      <c r="LKA100" s="43"/>
      <c r="LKB100" s="43"/>
      <c r="LKC100" s="43"/>
      <c r="LKD100" s="43"/>
      <c r="LKE100" s="43"/>
      <c r="LKF100" s="43"/>
      <c r="LKG100" s="43"/>
      <c r="LKH100" s="43"/>
      <c r="LKI100" s="43"/>
      <c r="LKJ100" s="43"/>
      <c r="LKK100" s="43"/>
      <c r="LKL100" s="43"/>
      <c r="LKM100" s="43"/>
      <c r="LKN100" s="43"/>
      <c r="LKO100" s="43"/>
      <c r="LKP100" s="43"/>
      <c r="LKQ100" s="43"/>
      <c r="LKR100" s="43"/>
      <c r="LKS100" s="43"/>
      <c r="LKT100" s="43"/>
      <c r="LKU100" s="43"/>
      <c r="LKV100" s="43"/>
      <c r="LKW100" s="43"/>
      <c r="LKX100" s="43"/>
      <c r="LKY100" s="43"/>
      <c r="LKZ100" s="43"/>
      <c r="LLA100" s="43"/>
      <c r="LLB100" s="43"/>
      <c r="LLC100" s="43"/>
      <c r="LLD100" s="43"/>
      <c r="LLE100" s="43"/>
      <c r="LLF100" s="43"/>
      <c r="LLG100" s="43"/>
      <c r="LLH100" s="43"/>
      <c r="LLI100" s="43"/>
      <c r="LLJ100" s="43"/>
      <c r="LLK100" s="43"/>
      <c r="LLL100" s="43"/>
      <c r="LLM100" s="43"/>
      <c r="LLN100" s="43"/>
      <c r="LLO100" s="43"/>
      <c r="LLP100" s="43"/>
      <c r="LLQ100" s="43"/>
      <c r="LLR100" s="43"/>
      <c r="LLS100" s="43"/>
      <c r="LLT100" s="43"/>
      <c r="LLU100" s="43"/>
      <c r="LLV100" s="43"/>
      <c r="LLW100" s="43"/>
      <c r="LLX100" s="43"/>
      <c r="LLY100" s="43"/>
      <c r="LLZ100" s="43"/>
      <c r="LMA100" s="43"/>
      <c r="LMB100" s="43"/>
      <c r="LMC100" s="43"/>
      <c r="LMD100" s="43"/>
      <c r="LME100" s="43"/>
      <c r="LMF100" s="43"/>
      <c r="LMG100" s="43"/>
      <c r="LMH100" s="43"/>
      <c r="LMI100" s="43"/>
      <c r="LMJ100" s="43"/>
      <c r="LMK100" s="43"/>
      <c r="LML100" s="43"/>
      <c r="LMM100" s="43"/>
      <c r="LMN100" s="43"/>
      <c r="LMO100" s="43"/>
      <c r="LMP100" s="43"/>
      <c r="LMQ100" s="43"/>
      <c r="LMR100" s="43"/>
      <c r="LMS100" s="43"/>
      <c r="LMT100" s="43"/>
      <c r="LMU100" s="43"/>
      <c r="LMV100" s="43"/>
      <c r="LMW100" s="43"/>
      <c r="LMX100" s="43"/>
      <c r="LMY100" s="43"/>
      <c r="LMZ100" s="43"/>
      <c r="LNA100" s="43"/>
      <c r="LNB100" s="43"/>
      <c r="LNC100" s="43"/>
      <c r="LND100" s="43"/>
      <c r="LNE100" s="43"/>
      <c r="LNF100" s="43"/>
      <c r="LNG100" s="43"/>
      <c r="LNH100" s="43"/>
      <c r="LNI100" s="43"/>
      <c r="LNJ100" s="43"/>
      <c r="LNK100" s="43"/>
      <c r="LNL100" s="43"/>
      <c r="LNM100" s="43"/>
      <c r="LNN100" s="43"/>
      <c r="LNO100" s="43"/>
      <c r="LNP100" s="43"/>
      <c r="LNQ100" s="43"/>
      <c r="LNR100" s="43"/>
      <c r="LNS100" s="43"/>
      <c r="LNT100" s="43"/>
      <c r="LNU100" s="43"/>
      <c r="LNV100" s="43"/>
      <c r="LNW100" s="43"/>
      <c r="LNX100" s="43"/>
      <c r="LNY100" s="43"/>
      <c r="LNZ100" s="43"/>
      <c r="LOA100" s="43"/>
      <c r="LOB100" s="43"/>
      <c r="LOC100" s="43"/>
      <c r="LOD100" s="43"/>
      <c r="LOE100" s="43"/>
      <c r="LOF100" s="43"/>
      <c r="LOG100" s="43"/>
      <c r="LOH100" s="43"/>
      <c r="LOI100" s="43"/>
      <c r="LOJ100" s="43"/>
      <c r="LOK100" s="43"/>
      <c r="LOL100" s="43"/>
      <c r="LOM100" s="43"/>
      <c r="LON100" s="43"/>
      <c r="LOO100" s="43"/>
      <c r="LOP100" s="43"/>
      <c r="LOQ100" s="43"/>
      <c r="LOR100" s="43"/>
      <c r="LOS100" s="43"/>
      <c r="LOT100" s="43"/>
      <c r="LOU100" s="43"/>
      <c r="LOV100" s="43"/>
      <c r="LOW100" s="43"/>
      <c r="LOX100" s="43"/>
      <c r="LOY100" s="43"/>
      <c r="LOZ100" s="43"/>
      <c r="LPA100" s="43"/>
      <c r="LPB100" s="43"/>
      <c r="LPC100" s="43"/>
      <c r="LPD100" s="43"/>
      <c r="LPE100" s="43"/>
      <c r="LPF100" s="43"/>
      <c r="LPG100" s="43"/>
      <c r="LPH100" s="43"/>
      <c r="LPI100" s="43"/>
      <c r="LPJ100" s="43"/>
      <c r="LPK100" s="43"/>
      <c r="LPL100" s="43"/>
      <c r="LPM100" s="43"/>
      <c r="LPN100" s="43"/>
      <c r="LPO100" s="43"/>
      <c r="LPP100" s="43"/>
      <c r="LPQ100" s="43"/>
      <c r="LPR100" s="43"/>
      <c r="LPS100" s="43"/>
      <c r="LPT100" s="43"/>
      <c r="LPU100" s="43"/>
      <c r="LPV100" s="43"/>
      <c r="LPW100" s="43"/>
      <c r="LPX100" s="43"/>
      <c r="LPY100" s="43"/>
      <c r="LPZ100" s="43"/>
      <c r="LQA100" s="43"/>
      <c r="LQB100" s="43"/>
      <c r="LQC100" s="43"/>
      <c r="LQD100" s="43"/>
      <c r="LQE100" s="43"/>
      <c r="LQF100" s="43"/>
      <c r="LQG100" s="43"/>
      <c r="LQH100" s="43"/>
      <c r="LQI100" s="43"/>
      <c r="LQJ100" s="43"/>
      <c r="LQK100" s="43"/>
      <c r="LQL100" s="43"/>
      <c r="LQM100" s="43"/>
      <c r="LQN100" s="43"/>
      <c r="LQO100" s="43"/>
      <c r="LQP100" s="43"/>
      <c r="LQQ100" s="43"/>
      <c r="LQR100" s="43"/>
      <c r="LQS100" s="43"/>
      <c r="LQT100" s="43"/>
      <c r="LQU100" s="43"/>
      <c r="LQV100" s="43"/>
      <c r="LQW100" s="43"/>
      <c r="LQX100" s="43"/>
      <c r="LQY100" s="43"/>
      <c r="LQZ100" s="43"/>
      <c r="LRA100" s="43"/>
      <c r="LRB100" s="43"/>
      <c r="LRC100" s="43"/>
      <c r="LRD100" s="43"/>
      <c r="LRE100" s="43"/>
      <c r="LRF100" s="43"/>
      <c r="LRG100" s="43"/>
      <c r="LRH100" s="43"/>
      <c r="LRI100" s="43"/>
      <c r="LRJ100" s="43"/>
      <c r="LRL100" s="43"/>
      <c r="LRM100" s="43"/>
      <c r="LRN100" s="43"/>
      <c r="LRO100" s="43"/>
      <c r="LRP100" s="43"/>
      <c r="LRQ100" s="43"/>
      <c r="LRR100" s="43"/>
      <c r="LRS100" s="43"/>
      <c r="LRT100" s="43"/>
      <c r="LRU100" s="43"/>
      <c r="LRV100" s="43"/>
      <c r="LRW100" s="43"/>
      <c r="LRX100" s="43"/>
      <c r="LRY100" s="43"/>
      <c r="LRZ100" s="43"/>
      <c r="LSA100" s="43"/>
      <c r="LSB100" s="43"/>
      <c r="LSC100" s="43"/>
      <c r="LSD100" s="43"/>
      <c r="LSE100" s="43"/>
      <c r="LSF100" s="43"/>
      <c r="LSG100" s="43"/>
      <c r="LSH100" s="43"/>
      <c r="LSI100" s="43"/>
      <c r="LSJ100" s="43"/>
      <c r="LSK100" s="43"/>
      <c r="LSL100" s="43"/>
      <c r="LSM100" s="43"/>
      <c r="LSN100" s="43"/>
      <c r="LSO100" s="43"/>
      <c r="LSP100" s="43"/>
      <c r="LSQ100" s="43"/>
      <c r="LSR100" s="43"/>
      <c r="LSS100" s="43"/>
      <c r="LST100" s="43"/>
      <c r="LSU100" s="43"/>
      <c r="LSV100" s="43"/>
      <c r="LSW100" s="43"/>
      <c r="LSX100" s="43"/>
      <c r="LSY100" s="43"/>
      <c r="LSZ100" s="43"/>
      <c r="LTA100" s="43"/>
      <c r="LTB100" s="43"/>
      <c r="LTC100" s="43"/>
      <c r="LTD100" s="43"/>
      <c r="LTE100" s="43"/>
      <c r="LTF100" s="43"/>
      <c r="LTG100" s="43"/>
      <c r="LTH100" s="43"/>
      <c r="LTI100" s="43"/>
      <c r="LTJ100" s="43"/>
      <c r="LTK100" s="43"/>
      <c r="LTL100" s="43"/>
      <c r="LTM100" s="43"/>
      <c r="LTN100" s="43"/>
      <c r="LTO100" s="43"/>
      <c r="LTP100" s="43"/>
      <c r="LTQ100" s="43"/>
      <c r="LTR100" s="43"/>
      <c r="LTS100" s="43"/>
      <c r="LTT100" s="43"/>
      <c r="LTU100" s="43"/>
      <c r="LTV100" s="43"/>
      <c r="LTW100" s="43"/>
      <c r="LTX100" s="43"/>
      <c r="LTY100" s="43"/>
      <c r="LTZ100" s="43"/>
      <c r="LUA100" s="43"/>
      <c r="LUB100" s="43"/>
      <c r="LUC100" s="43"/>
      <c r="LUD100" s="43"/>
      <c r="LUE100" s="43"/>
      <c r="LUF100" s="43"/>
      <c r="LUG100" s="43"/>
      <c r="LUH100" s="43"/>
      <c r="LUI100" s="43"/>
      <c r="LUJ100" s="43"/>
      <c r="LUK100" s="43"/>
      <c r="LUL100" s="43"/>
      <c r="LUM100" s="43"/>
      <c r="LUN100" s="43"/>
      <c r="LUO100" s="43"/>
      <c r="LUP100" s="43"/>
      <c r="LUQ100" s="43"/>
      <c r="LUR100" s="43"/>
      <c r="LUS100" s="43"/>
      <c r="LUT100" s="43"/>
      <c r="LUU100" s="43"/>
      <c r="LUV100" s="43"/>
      <c r="LUW100" s="43"/>
      <c r="LUX100" s="43"/>
      <c r="LUY100" s="43"/>
      <c r="LUZ100" s="43"/>
      <c r="LVA100" s="43"/>
      <c r="LVB100" s="43"/>
      <c r="LVC100" s="43"/>
      <c r="LVD100" s="43"/>
      <c r="LVE100" s="43"/>
      <c r="LVF100" s="43"/>
      <c r="LVG100" s="43"/>
      <c r="LVH100" s="43"/>
      <c r="LVI100" s="43"/>
      <c r="LVJ100" s="43"/>
      <c r="LVK100" s="43"/>
      <c r="LVL100" s="43"/>
      <c r="LVM100" s="43"/>
      <c r="LVN100" s="43"/>
      <c r="LVO100" s="43"/>
      <c r="LVP100" s="43"/>
      <c r="LVQ100" s="43"/>
      <c r="LVR100" s="43"/>
      <c r="LVS100" s="43"/>
      <c r="LVT100" s="43"/>
      <c r="LVU100" s="43"/>
      <c r="LVV100" s="43"/>
      <c r="LVW100" s="43"/>
      <c r="LVX100" s="43"/>
      <c r="LVY100" s="43"/>
      <c r="LVZ100" s="43"/>
      <c r="LWA100" s="43"/>
      <c r="LWB100" s="43"/>
      <c r="LWC100" s="43"/>
      <c r="LWD100" s="43"/>
      <c r="LWE100" s="43"/>
      <c r="LWF100" s="43"/>
      <c r="LWG100" s="43"/>
      <c r="LWH100" s="43"/>
      <c r="LWI100" s="43"/>
      <c r="LWJ100" s="43"/>
      <c r="LWK100" s="43"/>
      <c r="LWL100" s="43"/>
      <c r="LWM100" s="43"/>
      <c r="LWN100" s="43"/>
      <c r="LWO100" s="43"/>
      <c r="LWP100" s="43"/>
      <c r="LWQ100" s="43"/>
      <c r="LWR100" s="43"/>
      <c r="LWS100" s="43"/>
      <c r="LWT100" s="43"/>
      <c r="LWU100" s="43"/>
      <c r="LWV100" s="43"/>
      <c r="LWW100" s="43"/>
      <c r="LWX100" s="43"/>
      <c r="LWY100" s="43"/>
      <c r="LWZ100" s="43"/>
      <c r="LXA100" s="43"/>
      <c r="LXB100" s="43"/>
      <c r="LXC100" s="43"/>
      <c r="LXD100" s="43"/>
      <c r="LXE100" s="43"/>
      <c r="LXF100" s="43"/>
      <c r="LXG100" s="43"/>
      <c r="LXH100" s="43"/>
      <c r="LXI100" s="43"/>
      <c r="LXJ100" s="43"/>
      <c r="LXK100" s="43"/>
      <c r="LXL100" s="43"/>
      <c r="LXM100" s="43"/>
      <c r="LXN100" s="43"/>
      <c r="LXO100" s="43"/>
      <c r="LXP100" s="43"/>
      <c r="LXQ100" s="43"/>
      <c r="LXR100" s="43"/>
      <c r="LXS100" s="43"/>
      <c r="LXT100" s="43"/>
      <c r="LXU100" s="43"/>
      <c r="LXV100" s="43"/>
      <c r="LXW100" s="43"/>
      <c r="LXX100" s="43"/>
      <c r="LXY100" s="43"/>
      <c r="LXZ100" s="43"/>
      <c r="LYA100" s="43"/>
      <c r="LYB100" s="43"/>
      <c r="LYC100" s="43"/>
      <c r="LYD100" s="43"/>
      <c r="LYE100" s="43"/>
      <c r="LYF100" s="43"/>
      <c r="LYG100" s="43"/>
      <c r="LYH100" s="43"/>
      <c r="LYI100" s="43"/>
      <c r="LYJ100" s="43"/>
      <c r="LYK100" s="43"/>
      <c r="LYL100" s="43"/>
      <c r="LYM100" s="43"/>
      <c r="LYN100" s="43"/>
      <c r="LYO100" s="43"/>
      <c r="LYP100" s="43"/>
      <c r="LYQ100" s="43"/>
      <c r="LYR100" s="43"/>
      <c r="LYS100" s="43"/>
      <c r="LYT100" s="43"/>
      <c r="LYU100" s="43"/>
      <c r="LYV100" s="43"/>
      <c r="LYW100" s="43"/>
      <c r="LYX100" s="43"/>
      <c r="LYY100" s="43"/>
      <c r="LYZ100" s="43"/>
      <c r="LZA100" s="43"/>
      <c r="LZB100" s="43"/>
      <c r="LZC100" s="43"/>
      <c r="LZD100" s="43"/>
      <c r="LZE100" s="43"/>
      <c r="LZF100" s="43"/>
      <c r="LZG100" s="43"/>
      <c r="LZH100" s="43"/>
      <c r="LZI100" s="43"/>
      <c r="LZJ100" s="43"/>
      <c r="LZK100" s="43"/>
      <c r="LZL100" s="43"/>
      <c r="LZM100" s="43"/>
      <c r="LZN100" s="43"/>
      <c r="LZO100" s="43"/>
      <c r="LZP100" s="43"/>
      <c r="LZQ100" s="43"/>
      <c r="LZR100" s="43"/>
      <c r="LZS100" s="43"/>
      <c r="LZT100" s="43"/>
      <c r="LZU100" s="43"/>
      <c r="LZV100" s="43"/>
      <c r="LZW100" s="43"/>
      <c r="LZX100" s="43"/>
      <c r="LZY100" s="43"/>
      <c r="LZZ100" s="43"/>
      <c r="MAA100" s="43"/>
      <c r="MAB100" s="43"/>
      <c r="MAC100" s="43"/>
      <c r="MAD100" s="43"/>
      <c r="MAE100" s="43"/>
      <c r="MAF100" s="43"/>
      <c r="MAG100" s="43"/>
      <c r="MAH100" s="43"/>
      <c r="MAI100" s="43"/>
      <c r="MAJ100" s="43"/>
      <c r="MAK100" s="43"/>
      <c r="MAL100" s="43"/>
      <c r="MAM100" s="43"/>
      <c r="MAN100" s="43"/>
      <c r="MAO100" s="43"/>
      <c r="MAP100" s="43"/>
      <c r="MAQ100" s="43"/>
      <c r="MAR100" s="43"/>
      <c r="MAS100" s="43"/>
      <c r="MAT100" s="43"/>
      <c r="MAU100" s="43"/>
      <c r="MAV100" s="43"/>
      <c r="MAW100" s="43"/>
      <c r="MAX100" s="43"/>
      <c r="MAY100" s="43"/>
      <c r="MAZ100" s="43"/>
      <c r="MBA100" s="43"/>
      <c r="MBB100" s="43"/>
      <c r="MBC100" s="43"/>
      <c r="MBD100" s="43"/>
      <c r="MBE100" s="43"/>
      <c r="MBF100" s="43"/>
      <c r="MBH100" s="43"/>
      <c r="MBI100" s="43"/>
      <c r="MBJ100" s="43"/>
      <c r="MBK100" s="43"/>
      <c r="MBL100" s="43"/>
      <c r="MBM100" s="43"/>
      <c r="MBN100" s="43"/>
      <c r="MBO100" s="43"/>
      <c r="MBP100" s="43"/>
      <c r="MBQ100" s="43"/>
      <c r="MBR100" s="43"/>
      <c r="MBS100" s="43"/>
      <c r="MBT100" s="43"/>
      <c r="MBU100" s="43"/>
      <c r="MBV100" s="43"/>
      <c r="MBW100" s="43"/>
      <c r="MBX100" s="43"/>
      <c r="MBY100" s="43"/>
      <c r="MBZ100" s="43"/>
      <c r="MCA100" s="43"/>
      <c r="MCB100" s="43"/>
      <c r="MCC100" s="43"/>
      <c r="MCD100" s="43"/>
      <c r="MCE100" s="43"/>
      <c r="MCF100" s="43"/>
      <c r="MCG100" s="43"/>
      <c r="MCH100" s="43"/>
      <c r="MCI100" s="43"/>
      <c r="MCJ100" s="43"/>
      <c r="MCK100" s="43"/>
      <c r="MCL100" s="43"/>
      <c r="MCM100" s="43"/>
      <c r="MCN100" s="43"/>
      <c r="MCO100" s="43"/>
      <c r="MCP100" s="43"/>
      <c r="MCQ100" s="43"/>
      <c r="MCR100" s="43"/>
      <c r="MCS100" s="43"/>
      <c r="MCT100" s="43"/>
      <c r="MCU100" s="43"/>
      <c r="MCV100" s="43"/>
      <c r="MCW100" s="43"/>
      <c r="MCX100" s="43"/>
      <c r="MCY100" s="43"/>
      <c r="MCZ100" s="43"/>
      <c r="MDA100" s="43"/>
      <c r="MDB100" s="43"/>
      <c r="MDC100" s="43"/>
      <c r="MDD100" s="43"/>
      <c r="MDE100" s="43"/>
      <c r="MDF100" s="43"/>
      <c r="MDG100" s="43"/>
      <c r="MDH100" s="43"/>
      <c r="MDI100" s="43"/>
      <c r="MDJ100" s="43"/>
      <c r="MDK100" s="43"/>
      <c r="MDL100" s="43"/>
      <c r="MDM100" s="43"/>
      <c r="MDN100" s="43"/>
      <c r="MDO100" s="43"/>
      <c r="MDP100" s="43"/>
      <c r="MDQ100" s="43"/>
      <c r="MDR100" s="43"/>
      <c r="MDS100" s="43"/>
      <c r="MDT100" s="43"/>
      <c r="MDU100" s="43"/>
      <c r="MDV100" s="43"/>
      <c r="MDW100" s="43"/>
      <c r="MDX100" s="43"/>
      <c r="MDY100" s="43"/>
      <c r="MDZ100" s="43"/>
      <c r="MEA100" s="43"/>
      <c r="MEB100" s="43"/>
      <c r="MEC100" s="43"/>
      <c r="MED100" s="43"/>
      <c r="MEE100" s="43"/>
      <c r="MEF100" s="43"/>
      <c r="MEG100" s="43"/>
      <c r="MEH100" s="43"/>
      <c r="MEI100" s="43"/>
      <c r="MEJ100" s="43"/>
      <c r="MEK100" s="43"/>
      <c r="MEL100" s="43"/>
      <c r="MEM100" s="43"/>
      <c r="MEN100" s="43"/>
      <c r="MEO100" s="43"/>
      <c r="MEP100" s="43"/>
      <c r="MEQ100" s="43"/>
      <c r="MER100" s="43"/>
      <c r="MES100" s="43"/>
      <c r="MET100" s="43"/>
      <c r="MEU100" s="43"/>
      <c r="MEV100" s="43"/>
      <c r="MEW100" s="43"/>
      <c r="MEX100" s="43"/>
      <c r="MEY100" s="43"/>
      <c r="MEZ100" s="43"/>
      <c r="MFA100" s="43"/>
      <c r="MFB100" s="43"/>
      <c r="MFC100" s="43"/>
      <c r="MFD100" s="43"/>
      <c r="MFE100" s="43"/>
      <c r="MFF100" s="43"/>
      <c r="MFG100" s="43"/>
      <c r="MFH100" s="43"/>
      <c r="MFI100" s="43"/>
      <c r="MFJ100" s="43"/>
      <c r="MFK100" s="43"/>
      <c r="MFL100" s="43"/>
      <c r="MFM100" s="43"/>
      <c r="MFN100" s="43"/>
      <c r="MFO100" s="43"/>
      <c r="MFP100" s="43"/>
      <c r="MFQ100" s="43"/>
      <c r="MFR100" s="43"/>
      <c r="MFS100" s="43"/>
      <c r="MFT100" s="43"/>
      <c r="MFU100" s="43"/>
      <c r="MFV100" s="43"/>
      <c r="MFW100" s="43"/>
      <c r="MFX100" s="43"/>
      <c r="MFY100" s="43"/>
      <c r="MFZ100" s="43"/>
      <c r="MGA100" s="43"/>
      <c r="MGB100" s="43"/>
      <c r="MGC100" s="43"/>
      <c r="MGD100" s="43"/>
      <c r="MGE100" s="43"/>
      <c r="MGF100" s="43"/>
      <c r="MGG100" s="43"/>
      <c r="MGH100" s="43"/>
      <c r="MGI100" s="43"/>
      <c r="MGJ100" s="43"/>
      <c r="MGK100" s="43"/>
      <c r="MGL100" s="43"/>
      <c r="MGM100" s="43"/>
      <c r="MGN100" s="43"/>
      <c r="MGO100" s="43"/>
      <c r="MGP100" s="43"/>
      <c r="MGQ100" s="43"/>
      <c r="MGR100" s="43"/>
      <c r="MGS100" s="43"/>
      <c r="MGT100" s="43"/>
      <c r="MGU100" s="43"/>
      <c r="MGV100" s="43"/>
      <c r="MGW100" s="43"/>
      <c r="MGX100" s="43"/>
      <c r="MGY100" s="43"/>
      <c r="MGZ100" s="43"/>
      <c r="MHA100" s="43"/>
      <c r="MHB100" s="43"/>
      <c r="MHC100" s="43"/>
      <c r="MHD100" s="43"/>
      <c r="MHE100" s="43"/>
      <c r="MHF100" s="43"/>
      <c r="MHG100" s="43"/>
      <c r="MHH100" s="43"/>
      <c r="MHI100" s="43"/>
      <c r="MHJ100" s="43"/>
      <c r="MHK100" s="43"/>
      <c r="MHL100" s="43"/>
      <c r="MHM100" s="43"/>
      <c r="MHN100" s="43"/>
      <c r="MHO100" s="43"/>
      <c r="MHP100" s="43"/>
      <c r="MHQ100" s="43"/>
      <c r="MHR100" s="43"/>
      <c r="MHS100" s="43"/>
      <c r="MHT100" s="43"/>
      <c r="MHU100" s="43"/>
      <c r="MHV100" s="43"/>
      <c r="MHW100" s="43"/>
      <c r="MHX100" s="43"/>
      <c r="MHY100" s="43"/>
      <c r="MHZ100" s="43"/>
      <c r="MIA100" s="43"/>
      <c r="MIB100" s="43"/>
      <c r="MIC100" s="43"/>
      <c r="MID100" s="43"/>
      <c r="MIE100" s="43"/>
      <c r="MIF100" s="43"/>
      <c r="MIG100" s="43"/>
      <c r="MIH100" s="43"/>
      <c r="MII100" s="43"/>
      <c r="MIJ100" s="43"/>
      <c r="MIK100" s="43"/>
      <c r="MIL100" s="43"/>
      <c r="MIM100" s="43"/>
      <c r="MIN100" s="43"/>
      <c r="MIO100" s="43"/>
      <c r="MIP100" s="43"/>
      <c r="MIQ100" s="43"/>
      <c r="MIR100" s="43"/>
      <c r="MIS100" s="43"/>
      <c r="MIT100" s="43"/>
      <c r="MIU100" s="43"/>
      <c r="MIV100" s="43"/>
      <c r="MIW100" s="43"/>
      <c r="MIX100" s="43"/>
      <c r="MIY100" s="43"/>
      <c r="MIZ100" s="43"/>
      <c r="MJA100" s="43"/>
      <c r="MJB100" s="43"/>
      <c r="MJC100" s="43"/>
      <c r="MJD100" s="43"/>
      <c r="MJE100" s="43"/>
      <c r="MJF100" s="43"/>
      <c r="MJG100" s="43"/>
      <c r="MJH100" s="43"/>
      <c r="MJI100" s="43"/>
      <c r="MJJ100" s="43"/>
      <c r="MJK100" s="43"/>
      <c r="MJL100" s="43"/>
      <c r="MJM100" s="43"/>
      <c r="MJN100" s="43"/>
      <c r="MJO100" s="43"/>
      <c r="MJP100" s="43"/>
      <c r="MJQ100" s="43"/>
      <c r="MJR100" s="43"/>
      <c r="MJS100" s="43"/>
      <c r="MJT100" s="43"/>
      <c r="MJU100" s="43"/>
      <c r="MJV100" s="43"/>
      <c r="MJW100" s="43"/>
      <c r="MJX100" s="43"/>
      <c r="MJY100" s="43"/>
      <c r="MJZ100" s="43"/>
      <c r="MKA100" s="43"/>
      <c r="MKB100" s="43"/>
      <c r="MKC100" s="43"/>
      <c r="MKD100" s="43"/>
      <c r="MKE100" s="43"/>
      <c r="MKF100" s="43"/>
      <c r="MKG100" s="43"/>
      <c r="MKH100" s="43"/>
      <c r="MKI100" s="43"/>
      <c r="MKJ100" s="43"/>
      <c r="MKK100" s="43"/>
      <c r="MKL100" s="43"/>
      <c r="MKM100" s="43"/>
      <c r="MKN100" s="43"/>
      <c r="MKO100" s="43"/>
      <c r="MKP100" s="43"/>
      <c r="MKQ100" s="43"/>
      <c r="MKR100" s="43"/>
      <c r="MKS100" s="43"/>
      <c r="MKT100" s="43"/>
      <c r="MKU100" s="43"/>
      <c r="MKV100" s="43"/>
      <c r="MKW100" s="43"/>
      <c r="MKX100" s="43"/>
      <c r="MKY100" s="43"/>
      <c r="MKZ100" s="43"/>
      <c r="MLA100" s="43"/>
      <c r="MLB100" s="43"/>
      <c r="MLD100" s="43"/>
      <c r="MLE100" s="43"/>
      <c r="MLF100" s="43"/>
      <c r="MLG100" s="43"/>
      <c r="MLH100" s="43"/>
      <c r="MLI100" s="43"/>
      <c r="MLJ100" s="43"/>
      <c r="MLK100" s="43"/>
      <c r="MLL100" s="43"/>
      <c r="MLM100" s="43"/>
      <c r="MLN100" s="43"/>
      <c r="MLO100" s="43"/>
      <c r="MLP100" s="43"/>
      <c r="MLQ100" s="43"/>
      <c r="MLR100" s="43"/>
      <c r="MLS100" s="43"/>
      <c r="MLT100" s="43"/>
      <c r="MLU100" s="43"/>
      <c r="MLV100" s="43"/>
      <c r="MLW100" s="43"/>
      <c r="MLX100" s="43"/>
      <c r="MLY100" s="43"/>
      <c r="MLZ100" s="43"/>
      <c r="MMA100" s="43"/>
      <c r="MMB100" s="43"/>
      <c r="MMC100" s="43"/>
      <c r="MMD100" s="43"/>
      <c r="MME100" s="43"/>
      <c r="MMF100" s="43"/>
      <c r="MMG100" s="43"/>
      <c r="MMH100" s="43"/>
      <c r="MMI100" s="43"/>
      <c r="MMJ100" s="43"/>
      <c r="MMK100" s="43"/>
      <c r="MML100" s="43"/>
      <c r="MMM100" s="43"/>
      <c r="MMN100" s="43"/>
      <c r="MMO100" s="43"/>
      <c r="MMP100" s="43"/>
      <c r="MMQ100" s="43"/>
      <c r="MMR100" s="43"/>
      <c r="MMS100" s="43"/>
      <c r="MMT100" s="43"/>
      <c r="MMU100" s="43"/>
      <c r="MMV100" s="43"/>
      <c r="MMW100" s="43"/>
      <c r="MMX100" s="43"/>
      <c r="MMY100" s="43"/>
      <c r="MMZ100" s="43"/>
      <c r="MNA100" s="43"/>
      <c r="MNB100" s="43"/>
      <c r="MNC100" s="43"/>
      <c r="MND100" s="43"/>
      <c r="MNE100" s="43"/>
      <c r="MNF100" s="43"/>
      <c r="MNG100" s="43"/>
      <c r="MNH100" s="43"/>
      <c r="MNI100" s="43"/>
      <c r="MNJ100" s="43"/>
      <c r="MNK100" s="43"/>
      <c r="MNL100" s="43"/>
      <c r="MNM100" s="43"/>
      <c r="MNN100" s="43"/>
      <c r="MNO100" s="43"/>
      <c r="MNP100" s="43"/>
      <c r="MNQ100" s="43"/>
      <c r="MNR100" s="43"/>
      <c r="MNS100" s="43"/>
      <c r="MNT100" s="43"/>
      <c r="MNU100" s="43"/>
      <c r="MNV100" s="43"/>
      <c r="MNW100" s="43"/>
      <c r="MNX100" s="43"/>
      <c r="MNY100" s="43"/>
      <c r="MNZ100" s="43"/>
      <c r="MOA100" s="43"/>
      <c r="MOB100" s="43"/>
      <c r="MOC100" s="43"/>
      <c r="MOD100" s="43"/>
      <c r="MOE100" s="43"/>
      <c r="MOF100" s="43"/>
      <c r="MOG100" s="43"/>
      <c r="MOH100" s="43"/>
      <c r="MOI100" s="43"/>
      <c r="MOJ100" s="43"/>
      <c r="MOK100" s="43"/>
      <c r="MOL100" s="43"/>
      <c r="MOM100" s="43"/>
      <c r="MON100" s="43"/>
      <c r="MOO100" s="43"/>
      <c r="MOP100" s="43"/>
      <c r="MOQ100" s="43"/>
      <c r="MOR100" s="43"/>
      <c r="MOS100" s="43"/>
      <c r="MOT100" s="43"/>
      <c r="MOU100" s="43"/>
      <c r="MOV100" s="43"/>
      <c r="MOW100" s="43"/>
      <c r="MOX100" s="43"/>
      <c r="MOY100" s="43"/>
      <c r="MOZ100" s="43"/>
      <c r="MPA100" s="43"/>
      <c r="MPB100" s="43"/>
      <c r="MPC100" s="43"/>
      <c r="MPD100" s="43"/>
      <c r="MPE100" s="43"/>
      <c r="MPF100" s="43"/>
      <c r="MPG100" s="43"/>
      <c r="MPH100" s="43"/>
      <c r="MPI100" s="43"/>
      <c r="MPJ100" s="43"/>
      <c r="MPK100" s="43"/>
      <c r="MPL100" s="43"/>
      <c r="MPM100" s="43"/>
      <c r="MPN100" s="43"/>
      <c r="MPO100" s="43"/>
      <c r="MPP100" s="43"/>
      <c r="MPQ100" s="43"/>
      <c r="MPR100" s="43"/>
      <c r="MPS100" s="43"/>
      <c r="MPT100" s="43"/>
      <c r="MPU100" s="43"/>
      <c r="MPV100" s="43"/>
      <c r="MPW100" s="43"/>
      <c r="MPX100" s="43"/>
      <c r="MPY100" s="43"/>
      <c r="MPZ100" s="43"/>
      <c r="MQA100" s="43"/>
      <c r="MQB100" s="43"/>
      <c r="MQC100" s="43"/>
      <c r="MQD100" s="43"/>
      <c r="MQE100" s="43"/>
      <c r="MQF100" s="43"/>
      <c r="MQG100" s="43"/>
      <c r="MQH100" s="43"/>
      <c r="MQI100" s="43"/>
      <c r="MQJ100" s="43"/>
      <c r="MQK100" s="43"/>
      <c r="MQL100" s="43"/>
      <c r="MQM100" s="43"/>
      <c r="MQN100" s="43"/>
      <c r="MQO100" s="43"/>
      <c r="MQP100" s="43"/>
      <c r="MQQ100" s="43"/>
      <c r="MQR100" s="43"/>
      <c r="MQS100" s="43"/>
      <c r="MQT100" s="43"/>
      <c r="MQU100" s="43"/>
      <c r="MQV100" s="43"/>
      <c r="MQW100" s="43"/>
      <c r="MQX100" s="43"/>
      <c r="MQY100" s="43"/>
      <c r="MQZ100" s="43"/>
      <c r="MRA100" s="43"/>
      <c r="MRB100" s="43"/>
      <c r="MRC100" s="43"/>
      <c r="MRD100" s="43"/>
      <c r="MRE100" s="43"/>
      <c r="MRF100" s="43"/>
      <c r="MRG100" s="43"/>
      <c r="MRH100" s="43"/>
      <c r="MRI100" s="43"/>
      <c r="MRJ100" s="43"/>
      <c r="MRK100" s="43"/>
      <c r="MRL100" s="43"/>
      <c r="MRM100" s="43"/>
      <c r="MRN100" s="43"/>
      <c r="MRO100" s="43"/>
      <c r="MRP100" s="43"/>
      <c r="MRQ100" s="43"/>
      <c r="MRR100" s="43"/>
      <c r="MRS100" s="43"/>
      <c r="MRT100" s="43"/>
      <c r="MRU100" s="43"/>
      <c r="MRV100" s="43"/>
      <c r="MRW100" s="43"/>
      <c r="MRX100" s="43"/>
      <c r="MRY100" s="43"/>
      <c r="MRZ100" s="43"/>
      <c r="MSA100" s="43"/>
      <c r="MSB100" s="43"/>
      <c r="MSC100" s="43"/>
      <c r="MSD100" s="43"/>
      <c r="MSE100" s="43"/>
      <c r="MSF100" s="43"/>
      <c r="MSG100" s="43"/>
      <c r="MSH100" s="43"/>
      <c r="MSI100" s="43"/>
      <c r="MSJ100" s="43"/>
      <c r="MSK100" s="43"/>
      <c r="MSL100" s="43"/>
      <c r="MSM100" s="43"/>
      <c r="MSN100" s="43"/>
      <c r="MSO100" s="43"/>
      <c r="MSP100" s="43"/>
      <c r="MSQ100" s="43"/>
      <c r="MSR100" s="43"/>
      <c r="MSS100" s="43"/>
      <c r="MST100" s="43"/>
      <c r="MSU100" s="43"/>
      <c r="MSV100" s="43"/>
      <c r="MSW100" s="43"/>
      <c r="MSX100" s="43"/>
      <c r="MSY100" s="43"/>
      <c r="MSZ100" s="43"/>
      <c r="MTA100" s="43"/>
      <c r="MTB100" s="43"/>
      <c r="MTC100" s="43"/>
      <c r="MTD100" s="43"/>
      <c r="MTE100" s="43"/>
      <c r="MTF100" s="43"/>
      <c r="MTG100" s="43"/>
      <c r="MTH100" s="43"/>
      <c r="MTI100" s="43"/>
      <c r="MTJ100" s="43"/>
      <c r="MTK100" s="43"/>
      <c r="MTL100" s="43"/>
      <c r="MTM100" s="43"/>
      <c r="MTN100" s="43"/>
      <c r="MTO100" s="43"/>
      <c r="MTP100" s="43"/>
      <c r="MTQ100" s="43"/>
      <c r="MTR100" s="43"/>
      <c r="MTS100" s="43"/>
      <c r="MTT100" s="43"/>
      <c r="MTU100" s="43"/>
      <c r="MTV100" s="43"/>
      <c r="MTW100" s="43"/>
      <c r="MTX100" s="43"/>
      <c r="MTY100" s="43"/>
      <c r="MTZ100" s="43"/>
      <c r="MUA100" s="43"/>
      <c r="MUB100" s="43"/>
      <c r="MUC100" s="43"/>
      <c r="MUD100" s="43"/>
      <c r="MUE100" s="43"/>
      <c r="MUF100" s="43"/>
      <c r="MUG100" s="43"/>
      <c r="MUH100" s="43"/>
      <c r="MUI100" s="43"/>
      <c r="MUJ100" s="43"/>
      <c r="MUK100" s="43"/>
      <c r="MUL100" s="43"/>
      <c r="MUM100" s="43"/>
      <c r="MUN100" s="43"/>
      <c r="MUO100" s="43"/>
      <c r="MUP100" s="43"/>
      <c r="MUQ100" s="43"/>
      <c r="MUR100" s="43"/>
      <c r="MUS100" s="43"/>
      <c r="MUT100" s="43"/>
      <c r="MUU100" s="43"/>
      <c r="MUV100" s="43"/>
      <c r="MUW100" s="43"/>
      <c r="MUX100" s="43"/>
      <c r="MUZ100" s="43"/>
      <c r="MVA100" s="43"/>
      <c r="MVB100" s="43"/>
      <c r="MVC100" s="43"/>
      <c r="MVD100" s="43"/>
      <c r="MVE100" s="43"/>
      <c r="MVF100" s="43"/>
      <c r="MVG100" s="43"/>
      <c r="MVH100" s="43"/>
      <c r="MVI100" s="43"/>
      <c r="MVJ100" s="43"/>
      <c r="MVK100" s="43"/>
      <c r="MVL100" s="43"/>
      <c r="MVM100" s="43"/>
      <c r="MVN100" s="43"/>
      <c r="MVO100" s="43"/>
      <c r="MVP100" s="43"/>
      <c r="MVQ100" s="43"/>
      <c r="MVR100" s="43"/>
      <c r="MVS100" s="43"/>
      <c r="MVT100" s="43"/>
      <c r="MVU100" s="43"/>
      <c r="MVV100" s="43"/>
      <c r="MVW100" s="43"/>
      <c r="MVX100" s="43"/>
      <c r="MVY100" s="43"/>
      <c r="MVZ100" s="43"/>
      <c r="MWA100" s="43"/>
      <c r="MWB100" s="43"/>
      <c r="MWC100" s="43"/>
      <c r="MWD100" s="43"/>
      <c r="MWE100" s="43"/>
      <c r="MWF100" s="43"/>
      <c r="MWG100" s="43"/>
      <c r="MWH100" s="43"/>
      <c r="MWI100" s="43"/>
      <c r="MWJ100" s="43"/>
      <c r="MWK100" s="43"/>
      <c r="MWL100" s="43"/>
      <c r="MWM100" s="43"/>
      <c r="MWN100" s="43"/>
      <c r="MWO100" s="43"/>
      <c r="MWP100" s="43"/>
      <c r="MWQ100" s="43"/>
      <c r="MWR100" s="43"/>
      <c r="MWS100" s="43"/>
      <c r="MWT100" s="43"/>
      <c r="MWU100" s="43"/>
      <c r="MWV100" s="43"/>
      <c r="MWW100" s="43"/>
      <c r="MWX100" s="43"/>
      <c r="MWY100" s="43"/>
      <c r="MWZ100" s="43"/>
      <c r="MXA100" s="43"/>
      <c r="MXB100" s="43"/>
      <c r="MXC100" s="43"/>
      <c r="MXD100" s="43"/>
      <c r="MXE100" s="43"/>
      <c r="MXF100" s="43"/>
      <c r="MXG100" s="43"/>
      <c r="MXH100" s="43"/>
      <c r="MXI100" s="43"/>
      <c r="MXJ100" s="43"/>
      <c r="MXK100" s="43"/>
      <c r="MXL100" s="43"/>
      <c r="MXM100" s="43"/>
      <c r="MXN100" s="43"/>
      <c r="MXO100" s="43"/>
      <c r="MXP100" s="43"/>
      <c r="MXQ100" s="43"/>
      <c r="MXR100" s="43"/>
      <c r="MXS100" s="43"/>
      <c r="MXT100" s="43"/>
      <c r="MXU100" s="43"/>
      <c r="MXV100" s="43"/>
      <c r="MXW100" s="43"/>
      <c r="MXX100" s="43"/>
      <c r="MXY100" s="43"/>
      <c r="MXZ100" s="43"/>
      <c r="MYA100" s="43"/>
      <c r="MYB100" s="43"/>
      <c r="MYC100" s="43"/>
      <c r="MYD100" s="43"/>
      <c r="MYE100" s="43"/>
      <c r="MYF100" s="43"/>
      <c r="MYG100" s="43"/>
      <c r="MYH100" s="43"/>
      <c r="MYI100" s="43"/>
      <c r="MYJ100" s="43"/>
      <c r="MYK100" s="43"/>
      <c r="MYL100" s="43"/>
      <c r="MYM100" s="43"/>
      <c r="MYN100" s="43"/>
      <c r="MYO100" s="43"/>
      <c r="MYP100" s="43"/>
      <c r="MYQ100" s="43"/>
      <c r="MYR100" s="43"/>
      <c r="MYS100" s="43"/>
      <c r="MYT100" s="43"/>
      <c r="MYU100" s="43"/>
      <c r="MYV100" s="43"/>
      <c r="MYW100" s="43"/>
      <c r="MYX100" s="43"/>
      <c r="MYY100" s="43"/>
      <c r="MYZ100" s="43"/>
      <c r="MZA100" s="43"/>
      <c r="MZB100" s="43"/>
      <c r="MZC100" s="43"/>
      <c r="MZD100" s="43"/>
      <c r="MZE100" s="43"/>
      <c r="MZF100" s="43"/>
      <c r="MZG100" s="43"/>
      <c r="MZH100" s="43"/>
      <c r="MZI100" s="43"/>
      <c r="MZJ100" s="43"/>
      <c r="MZK100" s="43"/>
      <c r="MZL100" s="43"/>
      <c r="MZM100" s="43"/>
      <c r="MZN100" s="43"/>
      <c r="MZO100" s="43"/>
      <c r="MZP100" s="43"/>
      <c r="MZQ100" s="43"/>
      <c r="MZR100" s="43"/>
      <c r="MZS100" s="43"/>
      <c r="MZT100" s="43"/>
      <c r="MZU100" s="43"/>
      <c r="MZV100" s="43"/>
      <c r="MZW100" s="43"/>
      <c r="MZX100" s="43"/>
      <c r="MZY100" s="43"/>
      <c r="MZZ100" s="43"/>
      <c r="NAA100" s="43"/>
      <c r="NAB100" s="43"/>
      <c r="NAC100" s="43"/>
      <c r="NAD100" s="43"/>
      <c r="NAE100" s="43"/>
      <c r="NAF100" s="43"/>
      <c r="NAG100" s="43"/>
      <c r="NAH100" s="43"/>
      <c r="NAI100" s="43"/>
      <c r="NAJ100" s="43"/>
      <c r="NAK100" s="43"/>
      <c r="NAL100" s="43"/>
      <c r="NAM100" s="43"/>
      <c r="NAN100" s="43"/>
      <c r="NAO100" s="43"/>
      <c r="NAP100" s="43"/>
      <c r="NAQ100" s="43"/>
      <c r="NAR100" s="43"/>
      <c r="NAS100" s="43"/>
      <c r="NAT100" s="43"/>
      <c r="NAU100" s="43"/>
      <c r="NAV100" s="43"/>
      <c r="NAW100" s="43"/>
      <c r="NAX100" s="43"/>
      <c r="NAY100" s="43"/>
      <c r="NAZ100" s="43"/>
      <c r="NBA100" s="43"/>
      <c r="NBB100" s="43"/>
      <c r="NBC100" s="43"/>
      <c r="NBD100" s="43"/>
      <c r="NBE100" s="43"/>
      <c r="NBF100" s="43"/>
      <c r="NBG100" s="43"/>
      <c r="NBH100" s="43"/>
      <c r="NBI100" s="43"/>
      <c r="NBJ100" s="43"/>
      <c r="NBK100" s="43"/>
      <c r="NBL100" s="43"/>
      <c r="NBM100" s="43"/>
      <c r="NBN100" s="43"/>
      <c r="NBO100" s="43"/>
      <c r="NBP100" s="43"/>
      <c r="NBQ100" s="43"/>
      <c r="NBR100" s="43"/>
      <c r="NBS100" s="43"/>
      <c r="NBT100" s="43"/>
      <c r="NBU100" s="43"/>
      <c r="NBV100" s="43"/>
      <c r="NBW100" s="43"/>
      <c r="NBX100" s="43"/>
      <c r="NBY100" s="43"/>
      <c r="NBZ100" s="43"/>
      <c r="NCA100" s="43"/>
      <c r="NCB100" s="43"/>
      <c r="NCC100" s="43"/>
      <c r="NCD100" s="43"/>
      <c r="NCE100" s="43"/>
      <c r="NCF100" s="43"/>
      <c r="NCG100" s="43"/>
      <c r="NCH100" s="43"/>
      <c r="NCI100" s="43"/>
      <c r="NCJ100" s="43"/>
      <c r="NCK100" s="43"/>
      <c r="NCL100" s="43"/>
      <c r="NCM100" s="43"/>
      <c r="NCN100" s="43"/>
      <c r="NCO100" s="43"/>
      <c r="NCP100" s="43"/>
      <c r="NCQ100" s="43"/>
      <c r="NCR100" s="43"/>
      <c r="NCS100" s="43"/>
      <c r="NCT100" s="43"/>
      <c r="NCU100" s="43"/>
      <c r="NCV100" s="43"/>
      <c r="NCW100" s="43"/>
      <c r="NCX100" s="43"/>
      <c r="NCY100" s="43"/>
      <c r="NCZ100" s="43"/>
      <c r="NDA100" s="43"/>
      <c r="NDB100" s="43"/>
      <c r="NDC100" s="43"/>
      <c r="NDD100" s="43"/>
      <c r="NDE100" s="43"/>
      <c r="NDF100" s="43"/>
      <c r="NDG100" s="43"/>
      <c r="NDH100" s="43"/>
      <c r="NDI100" s="43"/>
      <c r="NDJ100" s="43"/>
      <c r="NDK100" s="43"/>
      <c r="NDL100" s="43"/>
      <c r="NDM100" s="43"/>
      <c r="NDN100" s="43"/>
      <c r="NDO100" s="43"/>
      <c r="NDP100" s="43"/>
      <c r="NDQ100" s="43"/>
      <c r="NDR100" s="43"/>
      <c r="NDS100" s="43"/>
      <c r="NDT100" s="43"/>
      <c r="NDU100" s="43"/>
      <c r="NDV100" s="43"/>
      <c r="NDW100" s="43"/>
      <c r="NDX100" s="43"/>
      <c r="NDY100" s="43"/>
      <c r="NDZ100" s="43"/>
      <c r="NEA100" s="43"/>
      <c r="NEB100" s="43"/>
      <c r="NEC100" s="43"/>
      <c r="NED100" s="43"/>
      <c r="NEE100" s="43"/>
      <c r="NEF100" s="43"/>
      <c r="NEG100" s="43"/>
      <c r="NEH100" s="43"/>
      <c r="NEI100" s="43"/>
      <c r="NEJ100" s="43"/>
      <c r="NEK100" s="43"/>
      <c r="NEL100" s="43"/>
      <c r="NEM100" s="43"/>
      <c r="NEN100" s="43"/>
      <c r="NEO100" s="43"/>
      <c r="NEP100" s="43"/>
      <c r="NEQ100" s="43"/>
      <c r="NER100" s="43"/>
      <c r="NES100" s="43"/>
      <c r="NET100" s="43"/>
      <c r="NEV100" s="43"/>
      <c r="NEW100" s="43"/>
      <c r="NEX100" s="43"/>
      <c r="NEY100" s="43"/>
      <c r="NEZ100" s="43"/>
      <c r="NFA100" s="43"/>
      <c r="NFB100" s="43"/>
      <c r="NFC100" s="43"/>
      <c r="NFD100" s="43"/>
      <c r="NFE100" s="43"/>
      <c r="NFF100" s="43"/>
      <c r="NFG100" s="43"/>
      <c r="NFH100" s="43"/>
      <c r="NFI100" s="43"/>
      <c r="NFJ100" s="43"/>
      <c r="NFK100" s="43"/>
      <c r="NFL100" s="43"/>
      <c r="NFM100" s="43"/>
      <c r="NFN100" s="43"/>
      <c r="NFO100" s="43"/>
      <c r="NFP100" s="43"/>
      <c r="NFQ100" s="43"/>
      <c r="NFR100" s="43"/>
      <c r="NFS100" s="43"/>
      <c r="NFT100" s="43"/>
      <c r="NFU100" s="43"/>
      <c r="NFV100" s="43"/>
      <c r="NFW100" s="43"/>
      <c r="NFX100" s="43"/>
      <c r="NFY100" s="43"/>
      <c r="NFZ100" s="43"/>
      <c r="NGA100" s="43"/>
      <c r="NGB100" s="43"/>
      <c r="NGC100" s="43"/>
      <c r="NGD100" s="43"/>
      <c r="NGE100" s="43"/>
      <c r="NGF100" s="43"/>
      <c r="NGG100" s="43"/>
      <c r="NGH100" s="43"/>
      <c r="NGI100" s="43"/>
      <c r="NGJ100" s="43"/>
      <c r="NGK100" s="43"/>
      <c r="NGL100" s="43"/>
      <c r="NGM100" s="43"/>
      <c r="NGN100" s="43"/>
      <c r="NGO100" s="43"/>
      <c r="NGP100" s="43"/>
      <c r="NGQ100" s="43"/>
      <c r="NGR100" s="43"/>
      <c r="NGS100" s="43"/>
      <c r="NGT100" s="43"/>
      <c r="NGU100" s="43"/>
      <c r="NGV100" s="43"/>
      <c r="NGW100" s="43"/>
      <c r="NGX100" s="43"/>
      <c r="NGY100" s="43"/>
      <c r="NGZ100" s="43"/>
      <c r="NHA100" s="43"/>
      <c r="NHB100" s="43"/>
      <c r="NHC100" s="43"/>
      <c r="NHD100" s="43"/>
      <c r="NHE100" s="43"/>
      <c r="NHF100" s="43"/>
      <c r="NHG100" s="43"/>
      <c r="NHH100" s="43"/>
      <c r="NHI100" s="43"/>
      <c r="NHJ100" s="43"/>
      <c r="NHK100" s="43"/>
      <c r="NHL100" s="43"/>
      <c r="NHM100" s="43"/>
      <c r="NHN100" s="43"/>
      <c r="NHO100" s="43"/>
      <c r="NHP100" s="43"/>
      <c r="NHQ100" s="43"/>
      <c r="NHR100" s="43"/>
      <c r="NHS100" s="43"/>
      <c r="NHT100" s="43"/>
      <c r="NHU100" s="43"/>
      <c r="NHV100" s="43"/>
      <c r="NHW100" s="43"/>
      <c r="NHX100" s="43"/>
      <c r="NHY100" s="43"/>
      <c r="NHZ100" s="43"/>
      <c r="NIA100" s="43"/>
      <c r="NIB100" s="43"/>
      <c r="NIC100" s="43"/>
      <c r="NID100" s="43"/>
      <c r="NIE100" s="43"/>
      <c r="NIF100" s="43"/>
      <c r="NIG100" s="43"/>
      <c r="NIH100" s="43"/>
      <c r="NII100" s="43"/>
      <c r="NIJ100" s="43"/>
      <c r="NIK100" s="43"/>
      <c r="NIL100" s="43"/>
      <c r="NIM100" s="43"/>
      <c r="NIN100" s="43"/>
      <c r="NIO100" s="43"/>
      <c r="NIP100" s="43"/>
      <c r="NIQ100" s="43"/>
      <c r="NIR100" s="43"/>
      <c r="NIS100" s="43"/>
      <c r="NIT100" s="43"/>
      <c r="NIU100" s="43"/>
      <c r="NIV100" s="43"/>
      <c r="NIW100" s="43"/>
      <c r="NIX100" s="43"/>
      <c r="NIY100" s="43"/>
      <c r="NIZ100" s="43"/>
      <c r="NJA100" s="43"/>
      <c r="NJB100" s="43"/>
      <c r="NJC100" s="43"/>
      <c r="NJD100" s="43"/>
      <c r="NJE100" s="43"/>
      <c r="NJF100" s="43"/>
      <c r="NJG100" s="43"/>
      <c r="NJH100" s="43"/>
      <c r="NJI100" s="43"/>
      <c r="NJJ100" s="43"/>
      <c r="NJK100" s="43"/>
      <c r="NJL100" s="43"/>
      <c r="NJM100" s="43"/>
      <c r="NJN100" s="43"/>
      <c r="NJO100" s="43"/>
      <c r="NJP100" s="43"/>
      <c r="NJQ100" s="43"/>
      <c r="NJR100" s="43"/>
      <c r="NJS100" s="43"/>
      <c r="NJT100" s="43"/>
      <c r="NJU100" s="43"/>
      <c r="NJV100" s="43"/>
      <c r="NJW100" s="43"/>
      <c r="NJX100" s="43"/>
      <c r="NJY100" s="43"/>
      <c r="NJZ100" s="43"/>
      <c r="NKA100" s="43"/>
      <c r="NKB100" s="43"/>
      <c r="NKC100" s="43"/>
      <c r="NKD100" s="43"/>
      <c r="NKE100" s="43"/>
      <c r="NKF100" s="43"/>
      <c r="NKG100" s="43"/>
      <c r="NKH100" s="43"/>
      <c r="NKI100" s="43"/>
      <c r="NKJ100" s="43"/>
      <c r="NKK100" s="43"/>
      <c r="NKL100" s="43"/>
      <c r="NKM100" s="43"/>
      <c r="NKN100" s="43"/>
      <c r="NKO100" s="43"/>
      <c r="NKP100" s="43"/>
      <c r="NKQ100" s="43"/>
      <c r="NKR100" s="43"/>
      <c r="NKS100" s="43"/>
      <c r="NKT100" s="43"/>
      <c r="NKU100" s="43"/>
      <c r="NKV100" s="43"/>
      <c r="NKW100" s="43"/>
      <c r="NKX100" s="43"/>
      <c r="NKY100" s="43"/>
      <c r="NKZ100" s="43"/>
      <c r="NLA100" s="43"/>
      <c r="NLB100" s="43"/>
      <c r="NLC100" s="43"/>
      <c r="NLD100" s="43"/>
      <c r="NLE100" s="43"/>
      <c r="NLF100" s="43"/>
      <c r="NLG100" s="43"/>
      <c r="NLH100" s="43"/>
      <c r="NLI100" s="43"/>
      <c r="NLJ100" s="43"/>
      <c r="NLK100" s="43"/>
      <c r="NLL100" s="43"/>
      <c r="NLM100" s="43"/>
      <c r="NLN100" s="43"/>
      <c r="NLO100" s="43"/>
      <c r="NLP100" s="43"/>
      <c r="NLQ100" s="43"/>
      <c r="NLR100" s="43"/>
      <c r="NLS100" s="43"/>
      <c r="NLT100" s="43"/>
      <c r="NLU100" s="43"/>
      <c r="NLV100" s="43"/>
      <c r="NLW100" s="43"/>
      <c r="NLX100" s="43"/>
      <c r="NLY100" s="43"/>
      <c r="NLZ100" s="43"/>
      <c r="NMA100" s="43"/>
      <c r="NMB100" s="43"/>
      <c r="NMC100" s="43"/>
      <c r="NMD100" s="43"/>
      <c r="NME100" s="43"/>
      <c r="NMF100" s="43"/>
      <c r="NMG100" s="43"/>
      <c r="NMH100" s="43"/>
      <c r="NMI100" s="43"/>
      <c r="NMJ100" s="43"/>
      <c r="NMK100" s="43"/>
      <c r="NML100" s="43"/>
      <c r="NMM100" s="43"/>
      <c r="NMN100" s="43"/>
      <c r="NMO100" s="43"/>
      <c r="NMP100" s="43"/>
      <c r="NMQ100" s="43"/>
      <c r="NMR100" s="43"/>
      <c r="NMS100" s="43"/>
      <c r="NMT100" s="43"/>
      <c r="NMU100" s="43"/>
      <c r="NMV100" s="43"/>
      <c r="NMW100" s="43"/>
      <c r="NMX100" s="43"/>
      <c r="NMY100" s="43"/>
      <c r="NMZ100" s="43"/>
      <c r="NNA100" s="43"/>
      <c r="NNB100" s="43"/>
      <c r="NNC100" s="43"/>
      <c r="NND100" s="43"/>
      <c r="NNE100" s="43"/>
      <c r="NNF100" s="43"/>
      <c r="NNG100" s="43"/>
      <c r="NNH100" s="43"/>
      <c r="NNI100" s="43"/>
      <c r="NNJ100" s="43"/>
      <c r="NNK100" s="43"/>
      <c r="NNL100" s="43"/>
      <c r="NNM100" s="43"/>
      <c r="NNN100" s="43"/>
      <c r="NNO100" s="43"/>
      <c r="NNP100" s="43"/>
      <c r="NNQ100" s="43"/>
      <c r="NNR100" s="43"/>
      <c r="NNS100" s="43"/>
      <c r="NNT100" s="43"/>
      <c r="NNU100" s="43"/>
      <c r="NNV100" s="43"/>
      <c r="NNW100" s="43"/>
      <c r="NNX100" s="43"/>
      <c r="NNY100" s="43"/>
      <c r="NNZ100" s="43"/>
      <c r="NOA100" s="43"/>
      <c r="NOB100" s="43"/>
      <c r="NOC100" s="43"/>
      <c r="NOD100" s="43"/>
      <c r="NOE100" s="43"/>
      <c r="NOF100" s="43"/>
      <c r="NOG100" s="43"/>
      <c r="NOH100" s="43"/>
      <c r="NOI100" s="43"/>
      <c r="NOJ100" s="43"/>
      <c r="NOK100" s="43"/>
      <c r="NOL100" s="43"/>
      <c r="NOM100" s="43"/>
      <c r="NON100" s="43"/>
      <c r="NOO100" s="43"/>
      <c r="NOP100" s="43"/>
      <c r="NOR100" s="43"/>
      <c r="NOS100" s="43"/>
      <c r="NOT100" s="43"/>
      <c r="NOU100" s="43"/>
      <c r="NOV100" s="43"/>
      <c r="NOW100" s="43"/>
      <c r="NOX100" s="43"/>
      <c r="NOY100" s="43"/>
      <c r="NOZ100" s="43"/>
      <c r="NPA100" s="43"/>
      <c r="NPB100" s="43"/>
      <c r="NPC100" s="43"/>
      <c r="NPD100" s="43"/>
      <c r="NPE100" s="43"/>
      <c r="NPF100" s="43"/>
      <c r="NPG100" s="43"/>
      <c r="NPH100" s="43"/>
      <c r="NPI100" s="43"/>
      <c r="NPJ100" s="43"/>
      <c r="NPK100" s="43"/>
      <c r="NPL100" s="43"/>
      <c r="NPM100" s="43"/>
      <c r="NPN100" s="43"/>
      <c r="NPO100" s="43"/>
      <c r="NPP100" s="43"/>
      <c r="NPQ100" s="43"/>
      <c r="NPR100" s="43"/>
      <c r="NPS100" s="43"/>
      <c r="NPT100" s="43"/>
      <c r="NPU100" s="43"/>
      <c r="NPV100" s="43"/>
      <c r="NPW100" s="43"/>
      <c r="NPX100" s="43"/>
      <c r="NPY100" s="43"/>
      <c r="NPZ100" s="43"/>
      <c r="NQA100" s="43"/>
      <c r="NQB100" s="43"/>
      <c r="NQC100" s="43"/>
      <c r="NQD100" s="43"/>
      <c r="NQE100" s="43"/>
      <c r="NQF100" s="43"/>
      <c r="NQG100" s="43"/>
      <c r="NQH100" s="43"/>
      <c r="NQI100" s="43"/>
      <c r="NQJ100" s="43"/>
      <c r="NQK100" s="43"/>
      <c r="NQL100" s="43"/>
      <c r="NQM100" s="43"/>
      <c r="NQN100" s="43"/>
      <c r="NQO100" s="43"/>
      <c r="NQP100" s="43"/>
      <c r="NQQ100" s="43"/>
      <c r="NQR100" s="43"/>
      <c r="NQS100" s="43"/>
      <c r="NQT100" s="43"/>
      <c r="NQU100" s="43"/>
      <c r="NQV100" s="43"/>
      <c r="NQW100" s="43"/>
      <c r="NQX100" s="43"/>
      <c r="NQY100" s="43"/>
      <c r="NQZ100" s="43"/>
      <c r="NRA100" s="43"/>
      <c r="NRB100" s="43"/>
      <c r="NRC100" s="43"/>
      <c r="NRD100" s="43"/>
      <c r="NRE100" s="43"/>
      <c r="NRF100" s="43"/>
      <c r="NRG100" s="43"/>
      <c r="NRH100" s="43"/>
      <c r="NRI100" s="43"/>
      <c r="NRJ100" s="43"/>
      <c r="NRK100" s="43"/>
      <c r="NRL100" s="43"/>
      <c r="NRM100" s="43"/>
      <c r="NRN100" s="43"/>
      <c r="NRO100" s="43"/>
      <c r="NRP100" s="43"/>
      <c r="NRQ100" s="43"/>
      <c r="NRR100" s="43"/>
      <c r="NRS100" s="43"/>
      <c r="NRT100" s="43"/>
      <c r="NRU100" s="43"/>
      <c r="NRV100" s="43"/>
      <c r="NRW100" s="43"/>
      <c r="NRX100" s="43"/>
      <c r="NRY100" s="43"/>
      <c r="NRZ100" s="43"/>
      <c r="NSA100" s="43"/>
      <c r="NSB100" s="43"/>
      <c r="NSC100" s="43"/>
      <c r="NSD100" s="43"/>
      <c r="NSE100" s="43"/>
      <c r="NSF100" s="43"/>
      <c r="NSG100" s="43"/>
      <c r="NSH100" s="43"/>
      <c r="NSI100" s="43"/>
      <c r="NSJ100" s="43"/>
      <c r="NSK100" s="43"/>
      <c r="NSL100" s="43"/>
      <c r="NSM100" s="43"/>
      <c r="NSN100" s="43"/>
      <c r="NSO100" s="43"/>
      <c r="NSP100" s="43"/>
      <c r="NSQ100" s="43"/>
      <c r="NSR100" s="43"/>
      <c r="NSS100" s="43"/>
      <c r="NST100" s="43"/>
      <c r="NSU100" s="43"/>
      <c r="NSV100" s="43"/>
      <c r="NSW100" s="43"/>
      <c r="NSX100" s="43"/>
      <c r="NSY100" s="43"/>
      <c r="NSZ100" s="43"/>
      <c r="NTA100" s="43"/>
      <c r="NTB100" s="43"/>
      <c r="NTC100" s="43"/>
      <c r="NTD100" s="43"/>
      <c r="NTE100" s="43"/>
      <c r="NTF100" s="43"/>
      <c r="NTG100" s="43"/>
      <c r="NTH100" s="43"/>
      <c r="NTI100" s="43"/>
      <c r="NTJ100" s="43"/>
      <c r="NTK100" s="43"/>
      <c r="NTL100" s="43"/>
      <c r="NTM100" s="43"/>
      <c r="NTN100" s="43"/>
      <c r="NTO100" s="43"/>
      <c r="NTP100" s="43"/>
      <c r="NTQ100" s="43"/>
      <c r="NTR100" s="43"/>
      <c r="NTS100" s="43"/>
      <c r="NTT100" s="43"/>
      <c r="NTU100" s="43"/>
      <c r="NTV100" s="43"/>
      <c r="NTW100" s="43"/>
      <c r="NTX100" s="43"/>
      <c r="NTY100" s="43"/>
      <c r="NTZ100" s="43"/>
      <c r="NUA100" s="43"/>
      <c r="NUB100" s="43"/>
      <c r="NUC100" s="43"/>
      <c r="NUD100" s="43"/>
      <c r="NUE100" s="43"/>
      <c r="NUF100" s="43"/>
      <c r="NUG100" s="43"/>
      <c r="NUH100" s="43"/>
      <c r="NUI100" s="43"/>
      <c r="NUJ100" s="43"/>
      <c r="NUK100" s="43"/>
      <c r="NUL100" s="43"/>
      <c r="NUM100" s="43"/>
      <c r="NUN100" s="43"/>
      <c r="NUO100" s="43"/>
      <c r="NUP100" s="43"/>
      <c r="NUQ100" s="43"/>
      <c r="NUR100" s="43"/>
      <c r="NUS100" s="43"/>
      <c r="NUT100" s="43"/>
      <c r="NUU100" s="43"/>
      <c r="NUV100" s="43"/>
      <c r="NUW100" s="43"/>
      <c r="NUX100" s="43"/>
      <c r="NUY100" s="43"/>
      <c r="NUZ100" s="43"/>
      <c r="NVA100" s="43"/>
      <c r="NVB100" s="43"/>
      <c r="NVC100" s="43"/>
      <c r="NVD100" s="43"/>
      <c r="NVE100" s="43"/>
      <c r="NVF100" s="43"/>
      <c r="NVG100" s="43"/>
      <c r="NVH100" s="43"/>
      <c r="NVI100" s="43"/>
      <c r="NVJ100" s="43"/>
      <c r="NVK100" s="43"/>
      <c r="NVL100" s="43"/>
      <c r="NVM100" s="43"/>
      <c r="NVN100" s="43"/>
      <c r="NVO100" s="43"/>
      <c r="NVP100" s="43"/>
      <c r="NVQ100" s="43"/>
      <c r="NVR100" s="43"/>
      <c r="NVS100" s="43"/>
      <c r="NVT100" s="43"/>
      <c r="NVU100" s="43"/>
      <c r="NVV100" s="43"/>
      <c r="NVW100" s="43"/>
      <c r="NVX100" s="43"/>
      <c r="NVY100" s="43"/>
      <c r="NVZ100" s="43"/>
      <c r="NWA100" s="43"/>
      <c r="NWB100" s="43"/>
      <c r="NWC100" s="43"/>
      <c r="NWD100" s="43"/>
      <c r="NWE100" s="43"/>
      <c r="NWF100" s="43"/>
      <c r="NWG100" s="43"/>
      <c r="NWH100" s="43"/>
      <c r="NWI100" s="43"/>
      <c r="NWJ100" s="43"/>
      <c r="NWK100" s="43"/>
      <c r="NWL100" s="43"/>
      <c r="NWM100" s="43"/>
      <c r="NWN100" s="43"/>
      <c r="NWO100" s="43"/>
      <c r="NWP100" s="43"/>
      <c r="NWQ100" s="43"/>
      <c r="NWR100" s="43"/>
      <c r="NWS100" s="43"/>
      <c r="NWT100" s="43"/>
      <c r="NWU100" s="43"/>
      <c r="NWV100" s="43"/>
      <c r="NWW100" s="43"/>
      <c r="NWX100" s="43"/>
      <c r="NWY100" s="43"/>
      <c r="NWZ100" s="43"/>
      <c r="NXA100" s="43"/>
      <c r="NXB100" s="43"/>
      <c r="NXC100" s="43"/>
      <c r="NXD100" s="43"/>
      <c r="NXE100" s="43"/>
      <c r="NXF100" s="43"/>
      <c r="NXG100" s="43"/>
      <c r="NXH100" s="43"/>
      <c r="NXI100" s="43"/>
      <c r="NXJ100" s="43"/>
      <c r="NXK100" s="43"/>
      <c r="NXL100" s="43"/>
      <c r="NXM100" s="43"/>
      <c r="NXN100" s="43"/>
      <c r="NXO100" s="43"/>
      <c r="NXP100" s="43"/>
      <c r="NXQ100" s="43"/>
      <c r="NXR100" s="43"/>
      <c r="NXS100" s="43"/>
      <c r="NXT100" s="43"/>
      <c r="NXU100" s="43"/>
      <c r="NXV100" s="43"/>
      <c r="NXW100" s="43"/>
      <c r="NXX100" s="43"/>
      <c r="NXY100" s="43"/>
      <c r="NXZ100" s="43"/>
      <c r="NYA100" s="43"/>
      <c r="NYB100" s="43"/>
      <c r="NYC100" s="43"/>
      <c r="NYD100" s="43"/>
      <c r="NYE100" s="43"/>
      <c r="NYF100" s="43"/>
      <c r="NYG100" s="43"/>
      <c r="NYH100" s="43"/>
      <c r="NYI100" s="43"/>
      <c r="NYJ100" s="43"/>
      <c r="NYK100" s="43"/>
      <c r="NYL100" s="43"/>
      <c r="NYN100" s="43"/>
      <c r="NYO100" s="43"/>
      <c r="NYP100" s="43"/>
      <c r="NYQ100" s="43"/>
      <c r="NYR100" s="43"/>
      <c r="NYS100" s="43"/>
      <c r="NYT100" s="43"/>
      <c r="NYU100" s="43"/>
      <c r="NYV100" s="43"/>
      <c r="NYW100" s="43"/>
      <c r="NYX100" s="43"/>
      <c r="NYY100" s="43"/>
      <c r="NYZ100" s="43"/>
      <c r="NZA100" s="43"/>
      <c r="NZB100" s="43"/>
      <c r="NZC100" s="43"/>
      <c r="NZD100" s="43"/>
      <c r="NZE100" s="43"/>
      <c r="NZF100" s="43"/>
      <c r="NZG100" s="43"/>
      <c r="NZH100" s="43"/>
      <c r="NZI100" s="43"/>
      <c r="NZJ100" s="43"/>
      <c r="NZK100" s="43"/>
      <c r="NZL100" s="43"/>
      <c r="NZM100" s="43"/>
      <c r="NZN100" s="43"/>
      <c r="NZO100" s="43"/>
      <c r="NZP100" s="43"/>
      <c r="NZQ100" s="43"/>
      <c r="NZR100" s="43"/>
      <c r="NZS100" s="43"/>
      <c r="NZT100" s="43"/>
      <c r="NZU100" s="43"/>
      <c r="NZV100" s="43"/>
      <c r="NZW100" s="43"/>
      <c r="NZX100" s="43"/>
      <c r="NZY100" s="43"/>
      <c r="NZZ100" s="43"/>
      <c r="OAA100" s="43"/>
      <c r="OAB100" s="43"/>
      <c r="OAC100" s="43"/>
      <c r="OAD100" s="43"/>
      <c r="OAE100" s="43"/>
      <c r="OAF100" s="43"/>
      <c r="OAG100" s="43"/>
      <c r="OAH100" s="43"/>
      <c r="OAI100" s="43"/>
      <c r="OAJ100" s="43"/>
      <c r="OAK100" s="43"/>
      <c r="OAL100" s="43"/>
      <c r="OAM100" s="43"/>
      <c r="OAN100" s="43"/>
      <c r="OAO100" s="43"/>
      <c r="OAP100" s="43"/>
      <c r="OAQ100" s="43"/>
      <c r="OAR100" s="43"/>
      <c r="OAS100" s="43"/>
      <c r="OAT100" s="43"/>
      <c r="OAU100" s="43"/>
      <c r="OAV100" s="43"/>
      <c r="OAW100" s="43"/>
      <c r="OAX100" s="43"/>
      <c r="OAY100" s="43"/>
      <c r="OAZ100" s="43"/>
      <c r="OBA100" s="43"/>
      <c r="OBB100" s="43"/>
      <c r="OBC100" s="43"/>
      <c r="OBD100" s="43"/>
      <c r="OBE100" s="43"/>
      <c r="OBF100" s="43"/>
      <c r="OBG100" s="43"/>
      <c r="OBH100" s="43"/>
      <c r="OBI100" s="43"/>
      <c r="OBJ100" s="43"/>
      <c r="OBK100" s="43"/>
      <c r="OBL100" s="43"/>
      <c r="OBM100" s="43"/>
      <c r="OBN100" s="43"/>
      <c r="OBO100" s="43"/>
      <c r="OBP100" s="43"/>
      <c r="OBQ100" s="43"/>
      <c r="OBR100" s="43"/>
      <c r="OBS100" s="43"/>
      <c r="OBT100" s="43"/>
      <c r="OBU100" s="43"/>
      <c r="OBV100" s="43"/>
      <c r="OBW100" s="43"/>
      <c r="OBX100" s="43"/>
      <c r="OBY100" s="43"/>
      <c r="OBZ100" s="43"/>
      <c r="OCA100" s="43"/>
      <c r="OCB100" s="43"/>
      <c r="OCC100" s="43"/>
      <c r="OCD100" s="43"/>
      <c r="OCE100" s="43"/>
      <c r="OCF100" s="43"/>
      <c r="OCG100" s="43"/>
      <c r="OCH100" s="43"/>
      <c r="OCI100" s="43"/>
      <c r="OCJ100" s="43"/>
      <c r="OCK100" s="43"/>
      <c r="OCL100" s="43"/>
      <c r="OCM100" s="43"/>
      <c r="OCN100" s="43"/>
      <c r="OCO100" s="43"/>
      <c r="OCP100" s="43"/>
      <c r="OCQ100" s="43"/>
      <c r="OCR100" s="43"/>
      <c r="OCS100" s="43"/>
      <c r="OCT100" s="43"/>
      <c r="OCU100" s="43"/>
      <c r="OCV100" s="43"/>
      <c r="OCW100" s="43"/>
      <c r="OCX100" s="43"/>
      <c r="OCY100" s="43"/>
      <c r="OCZ100" s="43"/>
      <c r="ODA100" s="43"/>
      <c r="ODB100" s="43"/>
      <c r="ODC100" s="43"/>
      <c r="ODD100" s="43"/>
      <c r="ODE100" s="43"/>
      <c r="ODF100" s="43"/>
      <c r="ODG100" s="43"/>
      <c r="ODH100" s="43"/>
      <c r="ODI100" s="43"/>
      <c r="ODJ100" s="43"/>
      <c r="ODK100" s="43"/>
      <c r="ODL100" s="43"/>
      <c r="ODM100" s="43"/>
      <c r="ODN100" s="43"/>
      <c r="ODO100" s="43"/>
      <c r="ODP100" s="43"/>
      <c r="ODQ100" s="43"/>
      <c r="ODR100" s="43"/>
      <c r="ODS100" s="43"/>
      <c r="ODT100" s="43"/>
      <c r="ODU100" s="43"/>
      <c r="ODV100" s="43"/>
      <c r="ODW100" s="43"/>
      <c r="ODX100" s="43"/>
      <c r="ODY100" s="43"/>
      <c r="ODZ100" s="43"/>
      <c r="OEA100" s="43"/>
      <c r="OEB100" s="43"/>
      <c r="OEC100" s="43"/>
      <c r="OED100" s="43"/>
      <c r="OEE100" s="43"/>
      <c r="OEF100" s="43"/>
      <c r="OEG100" s="43"/>
      <c r="OEH100" s="43"/>
      <c r="OEI100" s="43"/>
      <c r="OEJ100" s="43"/>
      <c r="OEK100" s="43"/>
      <c r="OEL100" s="43"/>
      <c r="OEM100" s="43"/>
      <c r="OEN100" s="43"/>
      <c r="OEO100" s="43"/>
      <c r="OEP100" s="43"/>
      <c r="OEQ100" s="43"/>
      <c r="OER100" s="43"/>
      <c r="OES100" s="43"/>
      <c r="OET100" s="43"/>
      <c r="OEU100" s="43"/>
      <c r="OEV100" s="43"/>
      <c r="OEW100" s="43"/>
      <c r="OEX100" s="43"/>
      <c r="OEY100" s="43"/>
      <c r="OEZ100" s="43"/>
      <c r="OFA100" s="43"/>
      <c r="OFB100" s="43"/>
      <c r="OFC100" s="43"/>
      <c r="OFD100" s="43"/>
      <c r="OFE100" s="43"/>
      <c r="OFF100" s="43"/>
      <c r="OFG100" s="43"/>
      <c r="OFH100" s="43"/>
      <c r="OFI100" s="43"/>
      <c r="OFJ100" s="43"/>
      <c r="OFK100" s="43"/>
      <c r="OFL100" s="43"/>
      <c r="OFM100" s="43"/>
      <c r="OFN100" s="43"/>
      <c r="OFO100" s="43"/>
      <c r="OFP100" s="43"/>
      <c r="OFQ100" s="43"/>
      <c r="OFR100" s="43"/>
      <c r="OFS100" s="43"/>
      <c r="OFT100" s="43"/>
      <c r="OFU100" s="43"/>
      <c r="OFV100" s="43"/>
      <c r="OFW100" s="43"/>
      <c r="OFX100" s="43"/>
      <c r="OFY100" s="43"/>
      <c r="OFZ100" s="43"/>
      <c r="OGA100" s="43"/>
      <c r="OGB100" s="43"/>
      <c r="OGC100" s="43"/>
      <c r="OGD100" s="43"/>
      <c r="OGE100" s="43"/>
      <c r="OGF100" s="43"/>
      <c r="OGG100" s="43"/>
      <c r="OGH100" s="43"/>
      <c r="OGI100" s="43"/>
      <c r="OGJ100" s="43"/>
      <c r="OGK100" s="43"/>
      <c r="OGL100" s="43"/>
      <c r="OGM100" s="43"/>
      <c r="OGN100" s="43"/>
      <c r="OGO100" s="43"/>
      <c r="OGP100" s="43"/>
      <c r="OGQ100" s="43"/>
      <c r="OGR100" s="43"/>
      <c r="OGS100" s="43"/>
      <c r="OGT100" s="43"/>
      <c r="OGU100" s="43"/>
      <c r="OGV100" s="43"/>
      <c r="OGW100" s="43"/>
      <c r="OGX100" s="43"/>
      <c r="OGY100" s="43"/>
      <c r="OGZ100" s="43"/>
      <c r="OHA100" s="43"/>
      <c r="OHB100" s="43"/>
      <c r="OHC100" s="43"/>
      <c r="OHD100" s="43"/>
      <c r="OHE100" s="43"/>
      <c r="OHF100" s="43"/>
      <c r="OHG100" s="43"/>
      <c r="OHH100" s="43"/>
      <c r="OHI100" s="43"/>
      <c r="OHJ100" s="43"/>
      <c r="OHK100" s="43"/>
      <c r="OHL100" s="43"/>
      <c r="OHM100" s="43"/>
      <c r="OHN100" s="43"/>
      <c r="OHO100" s="43"/>
      <c r="OHP100" s="43"/>
      <c r="OHQ100" s="43"/>
      <c r="OHR100" s="43"/>
      <c r="OHS100" s="43"/>
      <c r="OHT100" s="43"/>
      <c r="OHU100" s="43"/>
      <c r="OHV100" s="43"/>
      <c r="OHW100" s="43"/>
      <c r="OHX100" s="43"/>
      <c r="OHY100" s="43"/>
      <c r="OHZ100" s="43"/>
      <c r="OIA100" s="43"/>
      <c r="OIB100" s="43"/>
      <c r="OIC100" s="43"/>
      <c r="OID100" s="43"/>
      <c r="OIE100" s="43"/>
      <c r="OIF100" s="43"/>
      <c r="OIG100" s="43"/>
      <c r="OIH100" s="43"/>
      <c r="OIJ100" s="43"/>
      <c r="OIK100" s="43"/>
      <c r="OIL100" s="43"/>
      <c r="OIM100" s="43"/>
      <c r="OIN100" s="43"/>
      <c r="OIO100" s="43"/>
      <c r="OIP100" s="43"/>
      <c r="OIQ100" s="43"/>
      <c r="OIR100" s="43"/>
      <c r="OIS100" s="43"/>
      <c r="OIT100" s="43"/>
      <c r="OIU100" s="43"/>
      <c r="OIV100" s="43"/>
      <c r="OIW100" s="43"/>
      <c r="OIX100" s="43"/>
      <c r="OIY100" s="43"/>
      <c r="OIZ100" s="43"/>
      <c r="OJA100" s="43"/>
      <c r="OJB100" s="43"/>
      <c r="OJC100" s="43"/>
      <c r="OJD100" s="43"/>
      <c r="OJE100" s="43"/>
      <c r="OJF100" s="43"/>
      <c r="OJG100" s="43"/>
      <c r="OJH100" s="43"/>
      <c r="OJI100" s="43"/>
      <c r="OJJ100" s="43"/>
      <c r="OJK100" s="43"/>
      <c r="OJL100" s="43"/>
      <c r="OJM100" s="43"/>
      <c r="OJN100" s="43"/>
      <c r="OJO100" s="43"/>
      <c r="OJP100" s="43"/>
      <c r="OJQ100" s="43"/>
      <c r="OJR100" s="43"/>
      <c r="OJS100" s="43"/>
      <c r="OJT100" s="43"/>
      <c r="OJU100" s="43"/>
      <c r="OJV100" s="43"/>
      <c r="OJW100" s="43"/>
      <c r="OJX100" s="43"/>
      <c r="OJY100" s="43"/>
      <c r="OJZ100" s="43"/>
      <c r="OKA100" s="43"/>
      <c r="OKB100" s="43"/>
      <c r="OKC100" s="43"/>
      <c r="OKD100" s="43"/>
      <c r="OKE100" s="43"/>
      <c r="OKF100" s="43"/>
      <c r="OKG100" s="43"/>
      <c r="OKH100" s="43"/>
      <c r="OKI100" s="43"/>
      <c r="OKJ100" s="43"/>
      <c r="OKK100" s="43"/>
      <c r="OKL100" s="43"/>
      <c r="OKM100" s="43"/>
      <c r="OKN100" s="43"/>
      <c r="OKO100" s="43"/>
      <c r="OKP100" s="43"/>
      <c r="OKQ100" s="43"/>
      <c r="OKR100" s="43"/>
      <c r="OKS100" s="43"/>
      <c r="OKT100" s="43"/>
      <c r="OKU100" s="43"/>
      <c r="OKV100" s="43"/>
      <c r="OKW100" s="43"/>
      <c r="OKX100" s="43"/>
      <c r="OKY100" s="43"/>
      <c r="OKZ100" s="43"/>
      <c r="OLA100" s="43"/>
      <c r="OLB100" s="43"/>
      <c r="OLC100" s="43"/>
      <c r="OLD100" s="43"/>
      <c r="OLE100" s="43"/>
      <c r="OLF100" s="43"/>
      <c r="OLG100" s="43"/>
      <c r="OLH100" s="43"/>
      <c r="OLI100" s="43"/>
      <c r="OLJ100" s="43"/>
      <c r="OLK100" s="43"/>
      <c r="OLL100" s="43"/>
      <c r="OLM100" s="43"/>
      <c r="OLN100" s="43"/>
      <c r="OLO100" s="43"/>
      <c r="OLP100" s="43"/>
      <c r="OLQ100" s="43"/>
      <c r="OLR100" s="43"/>
      <c r="OLS100" s="43"/>
      <c r="OLT100" s="43"/>
      <c r="OLU100" s="43"/>
      <c r="OLV100" s="43"/>
      <c r="OLW100" s="43"/>
      <c r="OLX100" s="43"/>
      <c r="OLY100" s="43"/>
      <c r="OLZ100" s="43"/>
      <c r="OMA100" s="43"/>
      <c r="OMB100" s="43"/>
      <c r="OMC100" s="43"/>
      <c r="OMD100" s="43"/>
      <c r="OME100" s="43"/>
      <c r="OMF100" s="43"/>
      <c r="OMG100" s="43"/>
      <c r="OMH100" s="43"/>
      <c r="OMI100" s="43"/>
      <c r="OMJ100" s="43"/>
      <c r="OMK100" s="43"/>
      <c r="OML100" s="43"/>
      <c r="OMM100" s="43"/>
      <c r="OMN100" s="43"/>
      <c r="OMO100" s="43"/>
      <c r="OMP100" s="43"/>
      <c r="OMQ100" s="43"/>
      <c r="OMR100" s="43"/>
      <c r="OMS100" s="43"/>
      <c r="OMT100" s="43"/>
      <c r="OMU100" s="43"/>
      <c r="OMV100" s="43"/>
      <c r="OMW100" s="43"/>
      <c r="OMX100" s="43"/>
      <c r="OMY100" s="43"/>
      <c r="OMZ100" s="43"/>
      <c r="ONA100" s="43"/>
      <c r="ONB100" s="43"/>
      <c r="ONC100" s="43"/>
      <c r="OND100" s="43"/>
      <c r="ONE100" s="43"/>
      <c r="ONF100" s="43"/>
      <c r="ONG100" s="43"/>
      <c r="ONH100" s="43"/>
      <c r="ONI100" s="43"/>
      <c r="ONJ100" s="43"/>
      <c r="ONK100" s="43"/>
      <c r="ONL100" s="43"/>
      <c r="ONM100" s="43"/>
      <c r="ONN100" s="43"/>
      <c r="ONO100" s="43"/>
      <c r="ONP100" s="43"/>
      <c r="ONQ100" s="43"/>
      <c r="ONR100" s="43"/>
      <c r="ONS100" s="43"/>
      <c r="ONT100" s="43"/>
      <c r="ONU100" s="43"/>
      <c r="ONV100" s="43"/>
      <c r="ONW100" s="43"/>
      <c r="ONX100" s="43"/>
      <c r="ONY100" s="43"/>
      <c r="ONZ100" s="43"/>
      <c r="OOA100" s="43"/>
      <c r="OOB100" s="43"/>
      <c r="OOC100" s="43"/>
      <c r="OOD100" s="43"/>
      <c r="OOE100" s="43"/>
      <c r="OOF100" s="43"/>
      <c r="OOG100" s="43"/>
      <c r="OOH100" s="43"/>
      <c r="OOI100" s="43"/>
      <c r="OOJ100" s="43"/>
      <c r="OOK100" s="43"/>
      <c r="OOL100" s="43"/>
      <c r="OOM100" s="43"/>
      <c r="OON100" s="43"/>
      <c r="OOO100" s="43"/>
      <c r="OOP100" s="43"/>
      <c r="OOQ100" s="43"/>
      <c r="OOR100" s="43"/>
      <c r="OOS100" s="43"/>
      <c r="OOT100" s="43"/>
      <c r="OOU100" s="43"/>
      <c r="OOV100" s="43"/>
      <c r="OOW100" s="43"/>
      <c r="OOX100" s="43"/>
      <c r="OOY100" s="43"/>
      <c r="OOZ100" s="43"/>
      <c r="OPA100" s="43"/>
      <c r="OPB100" s="43"/>
      <c r="OPC100" s="43"/>
      <c r="OPD100" s="43"/>
      <c r="OPE100" s="43"/>
      <c r="OPF100" s="43"/>
      <c r="OPG100" s="43"/>
      <c r="OPH100" s="43"/>
      <c r="OPI100" s="43"/>
      <c r="OPJ100" s="43"/>
      <c r="OPK100" s="43"/>
      <c r="OPL100" s="43"/>
      <c r="OPM100" s="43"/>
      <c r="OPN100" s="43"/>
      <c r="OPO100" s="43"/>
      <c r="OPP100" s="43"/>
      <c r="OPQ100" s="43"/>
      <c r="OPR100" s="43"/>
      <c r="OPS100" s="43"/>
      <c r="OPT100" s="43"/>
      <c r="OPU100" s="43"/>
      <c r="OPV100" s="43"/>
      <c r="OPW100" s="43"/>
      <c r="OPX100" s="43"/>
      <c r="OPY100" s="43"/>
      <c r="OPZ100" s="43"/>
      <c r="OQA100" s="43"/>
      <c r="OQB100" s="43"/>
      <c r="OQC100" s="43"/>
      <c r="OQD100" s="43"/>
      <c r="OQE100" s="43"/>
      <c r="OQF100" s="43"/>
      <c r="OQG100" s="43"/>
      <c r="OQH100" s="43"/>
      <c r="OQI100" s="43"/>
      <c r="OQJ100" s="43"/>
      <c r="OQK100" s="43"/>
      <c r="OQL100" s="43"/>
      <c r="OQM100" s="43"/>
      <c r="OQN100" s="43"/>
      <c r="OQO100" s="43"/>
      <c r="OQP100" s="43"/>
      <c r="OQQ100" s="43"/>
      <c r="OQR100" s="43"/>
      <c r="OQS100" s="43"/>
      <c r="OQT100" s="43"/>
      <c r="OQU100" s="43"/>
      <c r="OQV100" s="43"/>
      <c r="OQW100" s="43"/>
      <c r="OQX100" s="43"/>
      <c r="OQY100" s="43"/>
      <c r="OQZ100" s="43"/>
      <c r="ORA100" s="43"/>
      <c r="ORB100" s="43"/>
      <c r="ORC100" s="43"/>
      <c r="ORD100" s="43"/>
      <c r="ORE100" s="43"/>
      <c r="ORF100" s="43"/>
      <c r="ORG100" s="43"/>
      <c r="ORH100" s="43"/>
      <c r="ORI100" s="43"/>
      <c r="ORJ100" s="43"/>
      <c r="ORK100" s="43"/>
      <c r="ORL100" s="43"/>
      <c r="ORM100" s="43"/>
      <c r="ORN100" s="43"/>
      <c r="ORO100" s="43"/>
      <c r="ORP100" s="43"/>
      <c r="ORQ100" s="43"/>
      <c r="ORR100" s="43"/>
      <c r="ORS100" s="43"/>
      <c r="ORT100" s="43"/>
      <c r="ORU100" s="43"/>
      <c r="ORV100" s="43"/>
      <c r="ORW100" s="43"/>
      <c r="ORX100" s="43"/>
      <c r="ORY100" s="43"/>
      <c r="ORZ100" s="43"/>
      <c r="OSA100" s="43"/>
      <c r="OSB100" s="43"/>
      <c r="OSC100" s="43"/>
      <c r="OSD100" s="43"/>
      <c r="OSF100" s="43"/>
      <c r="OSG100" s="43"/>
      <c r="OSH100" s="43"/>
      <c r="OSI100" s="43"/>
      <c r="OSJ100" s="43"/>
      <c r="OSK100" s="43"/>
      <c r="OSL100" s="43"/>
      <c r="OSM100" s="43"/>
      <c r="OSN100" s="43"/>
      <c r="OSO100" s="43"/>
      <c r="OSP100" s="43"/>
      <c r="OSQ100" s="43"/>
      <c r="OSR100" s="43"/>
      <c r="OSS100" s="43"/>
      <c r="OST100" s="43"/>
      <c r="OSU100" s="43"/>
      <c r="OSV100" s="43"/>
      <c r="OSW100" s="43"/>
      <c r="OSX100" s="43"/>
      <c r="OSY100" s="43"/>
      <c r="OSZ100" s="43"/>
      <c r="OTA100" s="43"/>
      <c r="OTB100" s="43"/>
      <c r="OTC100" s="43"/>
      <c r="OTD100" s="43"/>
      <c r="OTE100" s="43"/>
      <c r="OTF100" s="43"/>
      <c r="OTG100" s="43"/>
      <c r="OTH100" s="43"/>
      <c r="OTI100" s="43"/>
      <c r="OTJ100" s="43"/>
      <c r="OTK100" s="43"/>
      <c r="OTL100" s="43"/>
      <c r="OTM100" s="43"/>
      <c r="OTN100" s="43"/>
      <c r="OTO100" s="43"/>
      <c r="OTP100" s="43"/>
      <c r="OTQ100" s="43"/>
      <c r="OTR100" s="43"/>
      <c r="OTS100" s="43"/>
      <c r="OTT100" s="43"/>
      <c r="OTU100" s="43"/>
      <c r="OTV100" s="43"/>
      <c r="OTW100" s="43"/>
      <c r="OTX100" s="43"/>
      <c r="OTY100" s="43"/>
      <c r="OTZ100" s="43"/>
      <c r="OUA100" s="43"/>
      <c r="OUB100" s="43"/>
      <c r="OUC100" s="43"/>
      <c r="OUD100" s="43"/>
      <c r="OUE100" s="43"/>
      <c r="OUF100" s="43"/>
      <c r="OUG100" s="43"/>
      <c r="OUH100" s="43"/>
      <c r="OUI100" s="43"/>
      <c r="OUJ100" s="43"/>
      <c r="OUK100" s="43"/>
      <c r="OUL100" s="43"/>
      <c r="OUM100" s="43"/>
      <c r="OUN100" s="43"/>
      <c r="OUO100" s="43"/>
      <c r="OUP100" s="43"/>
      <c r="OUQ100" s="43"/>
      <c r="OUR100" s="43"/>
      <c r="OUS100" s="43"/>
      <c r="OUT100" s="43"/>
      <c r="OUU100" s="43"/>
      <c r="OUV100" s="43"/>
      <c r="OUW100" s="43"/>
      <c r="OUX100" s="43"/>
      <c r="OUY100" s="43"/>
      <c r="OUZ100" s="43"/>
      <c r="OVA100" s="43"/>
      <c r="OVB100" s="43"/>
      <c r="OVC100" s="43"/>
      <c r="OVD100" s="43"/>
      <c r="OVE100" s="43"/>
      <c r="OVF100" s="43"/>
      <c r="OVG100" s="43"/>
      <c r="OVH100" s="43"/>
      <c r="OVI100" s="43"/>
      <c r="OVJ100" s="43"/>
      <c r="OVK100" s="43"/>
      <c r="OVL100" s="43"/>
      <c r="OVM100" s="43"/>
      <c r="OVN100" s="43"/>
      <c r="OVO100" s="43"/>
      <c r="OVP100" s="43"/>
      <c r="OVQ100" s="43"/>
      <c r="OVR100" s="43"/>
      <c r="OVS100" s="43"/>
      <c r="OVT100" s="43"/>
      <c r="OVU100" s="43"/>
      <c r="OVV100" s="43"/>
      <c r="OVW100" s="43"/>
      <c r="OVX100" s="43"/>
      <c r="OVY100" s="43"/>
      <c r="OVZ100" s="43"/>
      <c r="OWA100" s="43"/>
      <c r="OWB100" s="43"/>
      <c r="OWC100" s="43"/>
      <c r="OWD100" s="43"/>
      <c r="OWE100" s="43"/>
      <c r="OWF100" s="43"/>
      <c r="OWG100" s="43"/>
      <c r="OWH100" s="43"/>
      <c r="OWI100" s="43"/>
      <c r="OWJ100" s="43"/>
      <c r="OWK100" s="43"/>
      <c r="OWL100" s="43"/>
      <c r="OWM100" s="43"/>
      <c r="OWN100" s="43"/>
      <c r="OWO100" s="43"/>
      <c r="OWP100" s="43"/>
      <c r="OWQ100" s="43"/>
      <c r="OWR100" s="43"/>
      <c r="OWS100" s="43"/>
      <c r="OWT100" s="43"/>
      <c r="OWU100" s="43"/>
      <c r="OWV100" s="43"/>
      <c r="OWW100" s="43"/>
      <c r="OWX100" s="43"/>
      <c r="OWY100" s="43"/>
      <c r="OWZ100" s="43"/>
      <c r="OXA100" s="43"/>
      <c r="OXB100" s="43"/>
      <c r="OXC100" s="43"/>
      <c r="OXD100" s="43"/>
      <c r="OXE100" s="43"/>
      <c r="OXF100" s="43"/>
      <c r="OXG100" s="43"/>
      <c r="OXH100" s="43"/>
      <c r="OXI100" s="43"/>
      <c r="OXJ100" s="43"/>
      <c r="OXK100" s="43"/>
      <c r="OXL100" s="43"/>
      <c r="OXM100" s="43"/>
      <c r="OXN100" s="43"/>
      <c r="OXO100" s="43"/>
      <c r="OXP100" s="43"/>
      <c r="OXQ100" s="43"/>
      <c r="OXR100" s="43"/>
      <c r="OXS100" s="43"/>
      <c r="OXT100" s="43"/>
      <c r="OXU100" s="43"/>
      <c r="OXV100" s="43"/>
      <c r="OXW100" s="43"/>
      <c r="OXX100" s="43"/>
      <c r="OXY100" s="43"/>
      <c r="OXZ100" s="43"/>
      <c r="OYA100" s="43"/>
      <c r="OYB100" s="43"/>
      <c r="OYC100" s="43"/>
      <c r="OYD100" s="43"/>
      <c r="OYE100" s="43"/>
      <c r="OYF100" s="43"/>
      <c r="OYG100" s="43"/>
      <c r="OYH100" s="43"/>
      <c r="OYI100" s="43"/>
      <c r="OYJ100" s="43"/>
      <c r="OYK100" s="43"/>
      <c r="OYL100" s="43"/>
      <c r="OYM100" s="43"/>
      <c r="OYN100" s="43"/>
      <c r="OYO100" s="43"/>
      <c r="OYP100" s="43"/>
      <c r="OYQ100" s="43"/>
      <c r="OYR100" s="43"/>
      <c r="OYS100" s="43"/>
      <c r="OYT100" s="43"/>
      <c r="OYU100" s="43"/>
      <c r="OYV100" s="43"/>
      <c r="OYW100" s="43"/>
      <c r="OYX100" s="43"/>
      <c r="OYY100" s="43"/>
      <c r="OYZ100" s="43"/>
      <c r="OZA100" s="43"/>
      <c r="OZB100" s="43"/>
      <c r="OZC100" s="43"/>
      <c r="OZD100" s="43"/>
      <c r="OZE100" s="43"/>
      <c r="OZF100" s="43"/>
      <c r="OZG100" s="43"/>
      <c r="OZH100" s="43"/>
      <c r="OZI100" s="43"/>
      <c r="OZJ100" s="43"/>
      <c r="OZK100" s="43"/>
      <c r="OZL100" s="43"/>
      <c r="OZM100" s="43"/>
      <c r="OZN100" s="43"/>
      <c r="OZO100" s="43"/>
      <c r="OZP100" s="43"/>
      <c r="OZQ100" s="43"/>
      <c r="OZR100" s="43"/>
      <c r="OZS100" s="43"/>
      <c r="OZT100" s="43"/>
      <c r="OZU100" s="43"/>
      <c r="OZV100" s="43"/>
      <c r="OZW100" s="43"/>
      <c r="OZX100" s="43"/>
      <c r="OZY100" s="43"/>
      <c r="OZZ100" s="43"/>
      <c r="PAA100" s="43"/>
      <c r="PAB100" s="43"/>
      <c r="PAC100" s="43"/>
      <c r="PAD100" s="43"/>
      <c r="PAE100" s="43"/>
      <c r="PAF100" s="43"/>
      <c r="PAG100" s="43"/>
      <c r="PAH100" s="43"/>
      <c r="PAI100" s="43"/>
      <c r="PAJ100" s="43"/>
      <c r="PAK100" s="43"/>
      <c r="PAL100" s="43"/>
      <c r="PAM100" s="43"/>
      <c r="PAN100" s="43"/>
      <c r="PAO100" s="43"/>
      <c r="PAP100" s="43"/>
      <c r="PAQ100" s="43"/>
      <c r="PAR100" s="43"/>
      <c r="PAS100" s="43"/>
      <c r="PAT100" s="43"/>
      <c r="PAU100" s="43"/>
      <c r="PAV100" s="43"/>
      <c r="PAW100" s="43"/>
      <c r="PAX100" s="43"/>
      <c r="PAY100" s="43"/>
      <c r="PAZ100" s="43"/>
      <c r="PBA100" s="43"/>
      <c r="PBB100" s="43"/>
      <c r="PBC100" s="43"/>
      <c r="PBD100" s="43"/>
      <c r="PBE100" s="43"/>
      <c r="PBF100" s="43"/>
      <c r="PBG100" s="43"/>
      <c r="PBH100" s="43"/>
      <c r="PBI100" s="43"/>
      <c r="PBJ100" s="43"/>
      <c r="PBK100" s="43"/>
      <c r="PBL100" s="43"/>
      <c r="PBM100" s="43"/>
      <c r="PBN100" s="43"/>
      <c r="PBO100" s="43"/>
      <c r="PBP100" s="43"/>
      <c r="PBQ100" s="43"/>
      <c r="PBR100" s="43"/>
      <c r="PBS100" s="43"/>
      <c r="PBT100" s="43"/>
      <c r="PBU100" s="43"/>
      <c r="PBV100" s="43"/>
      <c r="PBW100" s="43"/>
      <c r="PBX100" s="43"/>
      <c r="PBY100" s="43"/>
      <c r="PBZ100" s="43"/>
      <c r="PCB100" s="43"/>
      <c r="PCC100" s="43"/>
      <c r="PCD100" s="43"/>
      <c r="PCE100" s="43"/>
      <c r="PCF100" s="43"/>
      <c r="PCG100" s="43"/>
      <c r="PCH100" s="43"/>
      <c r="PCI100" s="43"/>
      <c r="PCJ100" s="43"/>
      <c r="PCK100" s="43"/>
      <c r="PCL100" s="43"/>
      <c r="PCM100" s="43"/>
      <c r="PCN100" s="43"/>
      <c r="PCO100" s="43"/>
      <c r="PCP100" s="43"/>
      <c r="PCQ100" s="43"/>
      <c r="PCR100" s="43"/>
      <c r="PCS100" s="43"/>
      <c r="PCT100" s="43"/>
      <c r="PCU100" s="43"/>
      <c r="PCV100" s="43"/>
      <c r="PCW100" s="43"/>
      <c r="PCX100" s="43"/>
      <c r="PCY100" s="43"/>
      <c r="PCZ100" s="43"/>
      <c r="PDA100" s="43"/>
      <c r="PDB100" s="43"/>
      <c r="PDC100" s="43"/>
      <c r="PDD100" s="43"/>
      <c r="PDE100" s="43"/>
      <c r="PDF100" s="43"/>
      <c r="PDG100" s="43"/>
      <c r="PDH100" s="43"/>
      <c r="PDI100" s="43"/>
      <c r="PDJ100" s="43"/>
      <c r="PDK100" s="43"/>
      <c r="PDL100" s="43"/>
      <c r="PDM100" s="43"/>
      <c r="PDN100" s="43"/>
      <c r="PDO100" s="43"/>
      <c r="PDP100" s="43"/>
      <c r="PDQ100" s="43"/>
      <c r="PDR100" s="43"/>
      <c r="PDS100" s="43"/>
      <c r="PDT100" s="43"/>
      <c r="PDU100" s="43"/>
      <c r="PDV100" s="43"/>
      <c r="PDW100" s="43"/>
      <c r="PDX100" s="43"/>
      <c r="PDY100" s="43"/>
      <c r="PDZ100" s="43"/>
      <c r="PEA100" s="43"/>
      <c r="PEB100" s="43"/>
      <c r="PEC100" s="43"/>
      <c r="PED100" s="43"/>
      <c r="PEE100" s="43"/>
      <c r="PEF100" s="43"/>
      <c r="PEG100" s="43"/>
      <c r="PEH100" s="43"/>
      <c r="PEI100" s="43"/>
      <c r="PEJ100" s="43"/>
      <c r="PEK100" s="43"/>
      <c r="PEL100" s="43"/>
      <c r="PEM100" s="43"/>
      <c r="PEN100" s="43"/>
      <c r="PEO100" s="43"/>
      <c r="PEP100" s="43"/>
      <c r="PEQ100" s="43"/>
      <c r="PER100" s="43"/>
      <c r="PES100" s="43"/>
      <c r="PET100" s="43"/>
      <c r="PEU100" s="43"/>
      <c r="PEV100" s="43"/>
      <c r="PEW100" s="43"/>
      <c r="PEX100" s="43"/>
      <c r="PEY100" s="43"/>
      <c r="PEZ100" s="43"/>
      <c r="PFA100" s="43"/>
      <c r="PFB100" s="43"/>
      <c r="PFC100" s="43"/>
      <c r="PFD100" s="43"/>
      <c r="PFE100" s="43"/>
      <c r="PFF100" s="43"/>
      <c r="PFG100" s="43"/>
      <c r="PFH100" s="43"/>
      <c r="PFI100" s="43"/>
      <c r="PFJ100" s="43"/>
      <c r="PFK100" s="43"/>
      <c r="PFL100" s="43"/>
      <c r="PFM100" s="43"/>
      <c r="PFN100" s="43"/>
      <c r="PFO100" s="43"/>
      <c r="PFP100" s="43"/>
      <c r="PFQ100" s="43"/>
      <c r="PFR100" s="43"/>
      <c r="PFS100" s="43"/>
      <c r="PFT100" s="43"/>
      <c r="PFU100" s="43"/>
      <c r="PFV100" s="43"/>
      <c r="PFW100" s="43"/>
      <c r="PFX100" s="43"/>
      <c r="PFY100" s="43"/>
      <c r="PFZ100" s="43"/>
      <c r="PGA100" s="43"/>
      <c r="PGB100" s="43"/>
      <c r="PGC100" s="43"/>
      <c r="PGD100" s="43"/>
      <c r="PGE100" s="43"/>
      <c r="PGF100" s="43"/>
      <c r="PGG100" s="43"/>
      <c r="PGH100" s="43"/>
      <c r="PGI100" s="43"/>
      <c r="PGJ100" s="43"/>
      <c r="PGK100" s="43"/>
      <c r="PGL100" s="43"/>
      <c r="PGM100" s="43"/>
      <c r="PGN100" s="43"/>
      <c r="PGO100" s="43"/>
      <c r="PGP100" s="43"/>
      <c r="PGQ100" s="43"/>
      <c r="PGR100" s="43"/>
      <c r="PGS100" s="43"/>
      <c r="PGT100" s="43"/>
      <c r="PGU100" s="43"/>
      <c r="PGV100" s="43"/>
      <c r="PGW100" s="43"/>
      <c r="PGX100" s="43"/>
      <c r="PGY100" s="43"/>
      <c r="PGZ100" s="43"/>
      <c r="PHA100" s="43"/>
      <c r="PHB100" s="43"/>
      <c r="PHC100" s="43"/>
      <c r="PHD100" s="43"/>
      <c r="PHE100" s="43"/>
      <c r="PHF100" s="43"/>
      <c r="PHG100" s="43"/>
      <c r="PHH100" s="43"/>
      <c r="PHI100" s="43"/>
      <c r="PHJ100" s="43"/>
      <c r="PHK100" s="43"/>
      <c r="PHL100" s="43"/>
      <c r="PHM100" s="43"/>
      <c r="PHN100" s="43"/>
      <c r="PHO100" s="43"/>
      <c r="PHP100" s="43"/>
      <c r="PHQ100" s="43"/>
      <c r="PHR100" s="43"/>
      <c r="PHS100" s="43"/>
      <c r="PHT100" s="43"/>
      <c r="PHU100" s="43"/>
      <c r="PHV100" s="43"/>
      <c r="PHW100" s="43"/>
      <c r="PHX100" s="43"/>
      <c r="PHY100" s="43"/>
      <c r="PHZ100" s="43"/>
      <c r="PIA100" s="43"/>
      <c r="PIB100" s="43"/>
      <c r="PIC100" s="43"/>
      <c r="PID100" s="43"/>
      <c r="PIE100" s="43"/>
      <c r="PIF100" s="43"/>
      <c r="PIG100" s="43"/>
      <c r="PIH100" s="43"/>
      <c r="PII100" s="43"/>
      <c r="PIJ100" s="43"/>
      <c r="PIK100" s="43"/>
      <c r="PIL100" s="43"/>
      <c r="PIM100" s="43"/>
      <c r="PIN100" s="43"/>
      <c r="PIO100" s="43"/>
      <c r="PIP100" s="43"/>
      <c r="PIQ100" s="43"/>
      <c r="PIR100" s="43"/>
      <c r="PIS100" s="43"/>
      <c r="PIT100" s="43"/>
      <c r="PIU100" s="43"/>
      <c r="PIV100" s="43"/>
      <c r="PIW100" s="43"/>
      <c r="PIX100" s="43"/>
      <c r="PIY100" s="43"/>
      <c r="PIZ100" s="43"/>
      <c r="PJA100" s="43"/>
      <c r="PJB100" s="43"/>
      <c r="PJC100" s="43"/>
      <c r="PJD100" s="43"/>
      <c r="PJE100" s="43"/>
      <c r="PJF100" s="43"/>
      <c r="PJG100" s="43"/>
      <c r="PJH100" s="43"/>
      <c r="PJI100" s="43"/>
      <c r="PJJ100" s="43"/>
      <c r="PJK100" s="43"/>
      <c r="PJL100" s="43"/>
      <c r="PJM100" s="43"/>
      <c r="PJN100" s="43"/>
      <c r="PJO100" s="43"/>
      <c r="PJP100" s="43"/>
      <c r="PJQ100" s="43"/>
      <c r="PJR100" s="43"/>
      <c r="PJS100" s="43"/>
      <c r="PJT100" s="43"/>
      <c r="PJU100" s="43"/>
      <c r="PJV100" s="43"/>
      <c r="PJW100" s="43"/>
      <c r="PJX100" s="43"/>
      <c r="PJY100" s="43"/>
      <c r="PJZ100" s="43"/>
      <c r="PKA100" s="43"/>
      <c r="PKB100" s="43"/>
      <c r="PKC100" s="43"/>
      <c r="PKD100" s="43"/>
      <c r="PKE100" s="43"/>
      <c r="PKF100" s="43"/>
      <c r="PKG100" s="43"/>
      <c r="PKH100" s="43"/>
      <c r="PKI100" s="43"/>
      <c r="PKJ100" s="43"/>
      <c r="PKK100" s="43"/>
      <c r="PKL100" s="43"/>
      <c r="PKM100" s="43"/>
      <c r="PKN100" s="43"/>
      <c r="PKO100" s="43"/>
      <c r="PKP100" s="43"/>
      <c r="PKQ100" s="43"/>
      <c r="PKR100" s="43"/>
      <c r="PKS100" s="43"/>
      <c r="PKT100" s="43"/>
      <c r="PKU100" s="43"/>
      <c r="PKV100" s="43"/>
      <c r="PKW100" s="43"/>
      <c r="PKX100" s="43"/>
      <c r="PKY100" s="43"/>
      <c r="PKZ100" s="43"/>
      <c r="PLA100" s="43"/>
      <c r="PLB100" s="43"/>
      <c r="PLC100" s="43"/>
      <c r="PLD100" s="43"/>
      <c r="PLE100" s="43"/>
      <c r="PLF100" s="43"/>
      <c r="PLG100" s="43"/>
      <c r="PLH100" s="43"/>
      <c r="PLI100" s="43"/>
      <c r="PLJ100" s="43"/>
      <c r="PLK100" s="43"/>
      <c r="PLL100" s="43"/>
      <c r="PLM100" s="43"/>
      <c r="PLN100" s="43"/>
      <c r="PLO100" s="43"/>
      <c r="PLP100" s="43"/>
      <c r="PLQ100" s="43"/>
      <c r="PLR100" s="43"/>
      <c r="PLS100" s="43"/>
      <c r="PLT100" s="43"/>
      <c r="PLU100" s="43"/>
      <c r="PLV100" s="43"/>
      <c r="PLX100" s="43"/>
      <c r="PLY100" s="43"/>
      <c r="PLZ100" s="43"/>
      <c r="PMA100" s="43"/>
      <c r="PMB100" s="43"/>
      <c r="PMC100" s="43"/>
      <c r="PMD100" s="43"/>
      <c r="PME100" s="43"/>
      <c r="PMF100" s="43"/>
      <c r="PMG100" s="43"/>
      <c r="PMH100" s="43"/>
      <c r="PMI100" s="43"/>
      <c r="PMJ100" s="43"/>
      <c r="PMK100" s="43"/>
      <c r="PML100" s="43"/>
      <c r="PMM100" s="43"/>
      <c r="PMN100" s="43"/>
      <c r="PMO100" s="43"/>
      <c r="PMP100" s="43"/>
      <c r="PMQ100" s="43"/>
      <c r="PMR100" s="43"/>
      <c r="PMS100" s="43"/>
      <c r="PMT100" s="43"/>
      <c r="PMU100" s="43"/>
      <c r="PMV100" s="43"/>
      <c r="PMW100" s="43"/>
      <c r="PMX100" s="43"/>
      <c r="PMY100" s="43"/>
      <c r="PMZ100" s="43"/>
      <c r="PNA100" s="43"/>
      <c r="PNB100" s="43"/>
      <c r="PNC100" s="43"/>
      <c r="PND100" s="43"/>
      <c r="PNE100" s="43"/>
      <c r="PNF100" s="43"/>
      <c r="PNG100" s="43"/>
      <c r="PNH100" s="43"/>
      <c r="PNI100" s="43"/>
      <c r="PNJ100" s="43"/>
      <c r="PNK100" s="43"/>
      <c r="PNL100" s="43"/>
      <c r="PNM100" s="43"/>
      <c r="PNN100" s="43"/>
      <c r="PNO100" s="43"/>
      <c r="PNP100" s="43"/>
      <c r="PNQ100" s="43"/>
      <c r="PNR100" s="43"/>
      <c r="PNS100" s="43"/>
      <c r="PNT100" s="43"/>
      <c r="PNU100" s="43"/>
      <c r="PNV100" s="43"/>
      <c r="PNW100" s="43"/>
      <c r="PNX100" s="43"/>
      <c r="PNY100" s="43"/>
      <c r="PNZ100" s="43"/>
      <c r="POA100" s="43"/>
      <c r="POB100" s="43"/>
      <c r="POC100" s="43"/>
      <c r="POD100" s="43"/>
      <c r="POE100" s="43"/>
      <c r="POF100" s="43"/>
      <c r="POG100" s="43"/>
      <c r="POH100" s="43"/>
      <c r="POI100" s="43"/>
      <c r="POJ100" s="43"/>
      <c r="POK100" s="43"/>
      <c r="POL100" s="43"/>
      <c r="POM100" s="43"/>
      <c r="PON100" s="43"/>
      <c r="POO100" s="43"/>
      <c r="POP100" s="43"/>
      <c r="POQ100" s="43"/>
      <c r="POR100" s="43"/>
      <c r="POS100" s="43"/>
      <c r="POT100" s="43"/>
      <c r="POU100" s="43"/>
      <c r="POV100" s="43"/>
      <c r="POW100" s="43"/>
      <c r="POX100" s="43"/>
      <c r="POY100" s="43"/>
      <c r="POZ100" s="43"/>
      <c r="PPA100" s="43"/>
      <c r="PPB100" s="43"/>
      <c r="PPC100" s="43"/>
      <c r="PPD100" s="43"/>
      <c r="PPE100" s="43"/>
      <c r="PPF100" s="43"/>
      <c r="PPG100" s="43"/>
      <c r="PPH100" s="43"/>
      <c r="PPI100" s="43"/>
      <c r="PPJ100" s="43"/>
      <c r="PPK100" s="43"/>
      <c r="PPL100" s="43"/>
      <c r="PPM100" s="43"/>
      <c r="PPN100" s="43"/>
      <c r="PPO100" s="43"/>
      <c r="PPP100" s="43"/>
      <c r="PPQ100" s="43"/>
      <c r="PPR100" s="43"/>
      <c r="PPS100" s="43"/>
      <c r="PPT100" s="43"/>
      <c r="PPU100" s="43"/>
      <c r="PPV100" s="43"/>
      <c r="PPW100" s="43"/>
      <c r="PPX100" s="43"/>
      <c r="PPY100" s="43"/>
      <c r="PPZ100" s="43"/>
      <c r="PQA100" s="43"/>
      <c r="PQB100" s="43"/>
      <c r="PQC100" s="43"/>
      <c r="PQD100" s="43"/>
      <c r="PQE100" s="43"/>
      <c r="PQF100" s="43"/>
      <c r="PQG100" s="43"/>
      <c r="PQH100" s="43"/>
      <c r="PQI100" s="43"/>
      <c r="PQJ100" s="43"/>
      <c r="PQK100" s="43"/>
      <c r="PQL100" s="43"/>
      <c r="PQM100" s="43"/>
      <c r="PQN100" s="43"/>
      <c r="PQO100" s="43"/>
      <c r="PQP100" s="43"/>
      <c r="PQQ100" s="43"/>
      <c r="PQR100" s="43"/>
      <c r="PQS100" s="43"/>
      <c r="PQT100" s="43"/>
      <c r="PQU100" s="43"/>
      <c r="PQV100" s="43"/>
      <c r="PQW100" s="43"/>
      <c r="PQX100" s="43"/>
      <c r="PQY100" s="43"/>
      <c r="PQZ100" s="43"/>
      <c r="PRA100" s="43"/>
      <c r="PRB100" s="43"/>
      <c r="PRC100" s="43"/>
      <c r="PRD100" s="43"/>
      <c r="PRE100" s="43"/>
      <c r="PRF100" s="43"/>
      <c r="PRG100" s="43"/>
      <c r="PRH100" s="43"/>
      <c r="PRI100" s="43"/>
      <c r="PRJ100" s="43"/>
      <c r="PRK100" s="43"/>
      <c r="PRL100" s="43"/>
      <c r="PRM100" s="43"/>
      <c r="PRN100" s="43"/>
      <c r="PRO100" s="43"/>
      <c r="PRP100" s="43"/>
      <c r="PRQ100" s="43"/>
      <c r="PRR100" s="43"/>
      <c r="PRS100" s="43"/>
      <c r="PRT100" s="43"/>
      <c r="PRU100" s="43"/>
      <c r="PRV100" s="43"/>
      <c r="PRW100" s="43"/>
      <c r="PRX100" s="43"/>
      <c r="PRY100" s="43"/>
      <c r="PRZ100" s="43"/>
      <c r="PSA100" s="43"/>
      <c r="PSB100" s="43"/>
      <c r="PSC100" s="43"/>
      <c r="PSD100" s="43"/>
      <c r="PSE100" s="43"/>
      <c r="PSF100" s="43"/>
      <c r="PSG100" s="43"/>
      <c r="PSH100" s="43"/>
      <c r="PSI100" s="43"/>
      <c r="PSJ100" s="43"/>
      <c r="PSK100" s="43"/>
      <c r="PSL100" s="43"/>
      <c r="PSM100" s="43"/>
      <c r="PSN100" s="43"/>
      <c r="PSO100" s="43"/>
      <c r="PSP100" s="43"/>
      <c r="PSQ100" s="43"/>
      <c r="PSR100" s="43"/>
      <c r="PSS100" s="43"/>
      <c r="PST100" s="43"/>
      <c r="PSU100" s="43"/>
      <c r="PSV100" s="43"/>
      <c r="PSW100" s="43"/>
      <c r="PSX100" s="43"/>
      <c r="PSY100" s="43"/>
      <c r="PSZ100" s="43"/>
      <c r="PTA100" s="43"/>
      <c r="PTB100" s="43"/>
      <c r="PTC100" s="43"/>
      <c r="PTD100" s="43"/>
      <c r="PTE100" s="43"/>
      <c r="PTF100" s="43"/>
      <c r="PTG100" s="43"/>
      <c r="PTH100" s="43"/>
      <c r="PTI100" s="43"/>
      <c r="PTJ100" s="43"/>
      <c r="PTK100" s="43"/>
      <c r="PTL100" s="43"/>
      <c r="PTM100" s="43"/>
      <c r="PTN100" s="43"/>
      <c r="PTO100" s="43"/>
      <c r="PTP100" s="43"/>
      <c r="PTQ100" s="43"/>
      <c r="PTR100" s="43"/>
      <c r="PTS100" s="43"/>
      <c r="PTT100" s="43"/>
      <c r="PTU100" s="43"/>
      <c r="PTV100" s="43"/>
      <c r="PTW100" s="43"/>
      <c r="PTX100" s="43"/>
      <c r="PTY100" s="43"/>
      <c r="PTZ100" s="43"/>
      <c r="PUA100" s="43"/>
      <c r="PUB100" s="43"/>
      <c r="PUC100" s="43"/>
      <c r="PUD100" s="43"/>
      <c r="PUE100" s="43"/>
      <c r="PUF100" s="43"/>
      <c r="PUG100" s="43"/>
      <c r="PUH100" s="43"/>
      <c r="PUI100" s="43"/>
      <c r="PUJ100" s="43"/>
      <c r="PUK100" s="43"/>
      <c r="PUL100" s="43"/>
      <c r="PUM100" s="43"/>
      <c r="PUN100" s="43"/>
      <c r="PUO100" s="43"/>
      <c r="PUP100" s="43"/>
      <c r="PUQ100" s="43"/>
      <c r="PUR100" s="43"/>
      <c r="PUS100" s="43"/>
      <c r="PUT100" s="43"/>
      <c r="PUU100" s="43"/>
      <c r="PUV100" s="43"/>
      <c r="PUW100" s="43"/>
      <c r="PUX100" s="43"/>
      <c r="PUY100" s="43"/>
      <c r="PUZ100" s="43"/>
      <c r="PVA100" s="43"/>
      <c r="PVB100" s="43"/>
      <c r="PVC100" s="43"/>
      <c r="PVD100" s="43"/>
      <c r="PVE100" s="43"/>
      <c r="PVF100" s="43"/>
      <c r="PVG100" s="43"/>
      <c r="PVH100" s="43"/>
      <c r="PVI100" s="43"/>
      <c r="PVJ100" s="43"/>
      <c r="PVK100" s="43"/>
      <c r="PVL100" s="43"/>
      <c r="PVM100" s="43"/>
      <c r="PVN100" s="43"/>
      <c r="PVO100" s="43"/>
      <c r="PVP100" s="43"/>
      <c r="PVQ100" s="43"/>
      <c r="PVR100" s="43"/>
      <c r="PVT100" s="43"/>
      <c r="PVU100" s="43"/>
      <c r="PVV100" s="43"/>
      <c r="PVW100" s="43"/>
      <c r="PVX100" s="43"/>
      <c r="PVY100" s="43"/>
      <c r="PVZ100" s="43"/>
      <c r="PWA100" s="43"/>
      <c r="PWB100" s="43"/>
      <c r="PWC100" s="43"/>
      <c r="PWD100" s="43"/>
      <c r="PWE100" s="43"/>
      <c r="PWF100" s="43"/>
      <c r="PWG100" s="43"/>
      <c r="PWH100" s="43"/>
      <c r="PWI100" s="43"/>
      <c r="PWJ100" s="43"/>
      <c r="PWK100" s="43"/>
      <c r="PWL100" s="43"/>
      <c r="PWM100" s="43"/>
      <c r="PWN100" s="43"/>
      <c r="PWO100" s="43"/>
      <c r="PWP100" s="43"/>
      <c r="PWQ100" s="43"/>
      <c r="PWR100" s="43"/>
      <c r="PWS100" s="43"/>
      <c r="PWT100" s="43"/>
      <c r="PWU100" s="43"/>
      <c r="PWV100" s="43"/>
      <c r="PWW100" s="43"/>
      <c r="PWX100" s="43"/>
      <c r="PWY100" s="43"/>
      <c r="PWZ100" s="43"/>
      <c r="PXA100" s="43"/>
      <c r="PXB100" s="43"/>
      <c r="PXC100" s="43"/>
      <c r="PXD100" s="43"/>
      <c r="PXE100" s="43"/>
      <c r="PXF100" s="43"/>
      <c r="PXG100" s="43"/>
      <c r="PXH100" s="43"/>
      <c r="PXI100" s="43"/>
      <c r="PXJ100" s="43"/>
      <c r="PXK100" s="43"/>
      <c r="PXL100" s="43"/>
      <c r="PXM100" s="43"/>
      <c r="PXN100" s="43"/>
      <c r="PXO100" s="43"/>
      <c r="PXP100" s="43"/>
      <c r="PXQ100" s="43"/>
      <c r="PXR100" s="43"/>
      <c r="PXS100" s="43"/>
      <c r="PXT100" s="43"/>
      <c r="PXU100" s="43"/>
      <c r="PXV100" s="43"/>
      <c r="PXW100" s="43"/>
      <c r="PXX100" s="43"/>
      <c r="PXY100" s="43"/>
      <c r="PXZ100" s="43"/>
      <c r="PYA100" s="43"/>
      <c r="PYB100" s="43"/>
      <c r="PYC100" s="43"/>
      <c r="PYD100" s="43"/>
      <c r="PYE100" s="43"/>
      <c r="PYF100" s="43"/>
      <c r="PYG100" s="43"/>
      <c r="PYH100" s="43"/>
      <c r="PYI100" s="43"/>
      <c r="PYJ100" s="43"/>
      <c r="PYK100" s="43"/>
      <c r="PYL100" s="43"/>
      <c r="PYM100" s="43"/>
      <c r="PYN100" s="43"/>
      <c r="PYO100" s="43"/>
      <c r="PYP100" s="43"/>
      <c r="PYQ100" s="43"/>
      <c r="PYR100" s="43"/>
      <c r="PYS100" s="43"/>
      <c r="PYT100" s="43"/>
      <c r="PYU100" s="43"/>
      <c r="PYV100" s="43"/>
      <c r="PYW100" s="43"/>
      <c r="PYX100" s="43"/>
      <c r="PYY100" s="43"/>
      <c r="PYZ100" s="43"/>
      <c r="PZA100" s="43"/>
      <c r="PZB100" s="43"/>
      <c r="PZC100" s="43"/>
      <c r="PZD100" s="43"/>
      <c r="PZE100" s="43"/>
      <c r="PZF100" s="43"/>
      <c r="PZG100" s="43"/>
      <c r="PZH100" s="43"/>
      <c r="PZI100" s="43"/>
      <c r="PZJ100" s="43"/>
      <c r="PZK100" s="43"/>
      <c r="PZL100" s="43"/>
      <c r="PZM100" s="43"/>
      <c r="PZN100" s="43"/>
      <c r="PZO100" s="43"/>
      <c r="PZP100" s="43"/>
      <c r="PZQ100" s="43"/>
      <c r="PZR100" s="43"/>
      <c r="PZS100" s="43"/>
      <c r="PZT100" s="43"/>
      <c r="PZU100" s="43"/>
      <c r="PZV100" s="43"/>
      <c r="PZW100" s="43"/>
      <c r="PZX100" s="43"/>
      <c r="PZY100" s="43"/>
      <c r="PZZ100" s="43"/>
      <c r="QAA100" s="43"/>
      <c r="QAB100" s="43"/>
      <c r="QAC100" s="43"/>
      <c r="QAD100" s="43"/>
      <c r="QAE100" s="43"/>
      <c r="QAF100" s="43"/>
      <c r="QAG100" s="43"/>
      <c r="QAH100" s="43"/>
      <c r="QAI100" s="43"/>
      <c r="QAJ100" s="43"/>
      <c r="QAK100" s="43"/>
      <c r="QAL100" s="43"/>
      <c r="QAM100" s="43"/>
      <c r="QAN100" s="43"/>
      <c r="QAO100" s="43"/>
      <c r="QAP100" s="43"/>
      <c r="QAQ100" s="43"/>
      <c r="QAR100" s="43"/>
      <c r="QAS100" s="43"/>
      <c r="QAT100" s="43"/>
      <c r="QAU100" s="43"/>
      <c r="QAV100" s="43"/>
      <c r="QAW100" s="43"/>
      <c r="QAX100" s="43"/>
      <c r="QAY100" s="43"/>
      <c r="QAZ100" s="43"/>
      <c r="QBA100" s="43"/>
      <c r="QBB100" s="43"/>
      <c r="QBC100" s="43"/>
      <c r="QBD100" s="43"/>
      <c r="QBE100" s="43"/>
      <c r="QBF100" s="43"/>
      <c r="QBG100" s="43"/>
      <c r="QBH100" s="43"/>
      <c r="QBI100" s="43"/>
      <c r="QBJ100" s="43"/>
      <c r="QBK100" s="43"/>
      <c r="QBL100" s="43"/>
      <c r="QBM100" s="43"/>
      <c r="QBN100" s="43"/>
      <c r="QBO100" s="43"/>
      <c r="QBP100" s="43"/>
      <c r="QBQ100" s="43"/>
      <c r="QBR100" s="43"/>
      <c r="QBS100" s="43"/>
      <c r="QBT100" s="43"/>
      <c r="QBU100" s="43"/>
      <c r="QBV100" s="43"/>
      <c r="QBW100" s="43"/>
      <c r="QBX100" s="43"/>
      <c r="QBY100" s="43"/>
      <c r="QBZ100" s="43"/>
      <c r="QCA100" s="43"/>
      <c r="QCB100" s="43"/>
      <c r="QCC100" s="43"/>
      <c r="QCD100" s="43"/>
      <c r="QCE100" s="43"/>
      <c r="QCF100" s="43"/>
      <c r="QCG100" s="43"/>
      <c r="QCH100" s="43"/>
      <c r="QCI100" s="43"/>
      <c r="QCJ100" s="43"/>
      <c r="QCK100" s="43"/>
      <c r="QCL100" s="43"/>
      <c r="QCM100" s="43"/>
      <c r="QCN100" s="43"/>
      <c r="QCO100" s="43"/>
      <c r="QCP100" s="43"/>
      <c r="QCQ100" s="43"/>
      <c r="QCR100" s="43"/>
      <c r="QCS100" s="43"/>
      <c r="QCT100" s="43"/>
      <c r="QCU100" s="43"/>
      <c r="QCV100" s="43"/>
      <c r="QCW100" s="43"/>
      <c r="QCX100" s="43"/>
      <c r="QCY100" s="43"/>
      <c r="QCZ100" s="43"/>
      <c r="QDA100" s="43"/>
      <c r="QDB100" s="43"/>
      <c r="QDC100" s="43"/>
      <c r="QDD100" s="43"/>
      <c r="QDE100" s="43"/>
      <c r="QDF100" s="43"/>
      <c r="QDG100" s="43"/>
      <c r="QDH100" s="43"/>
      <c r="QDI100" s="43"/>
      <c r="QDJ100" s="43"/>
      <c r="QDK100" s="43"/>
      <c r="QDL100" s="43"/>
      <c r="QDM100" s="43"/>
      <c r="QDN100" s="43"/>
      <c r="QDO100" s="43"/>
      <c r="QDP100" s="43"/>
      <c r="QDQ100" s="43"/>
      <c r="QDR100" s="43"/>
      <c r="QDS100" s="43"/>
      <c r="QDT100" s="43"/>
      <c r="QDU100" s="43"/>
      <c r="QDV100" s="43"/>
      <c r="QDW100" s="43"/>
      <c r="QDX100" s="43"/>
      <c r="QDY100" s="43"/>
      <c r="QDZ100" s="43"/>
      <c r="QEA100" s="43"/>
      <c r="QEB100" s="43"/>
      <c r="QEC100" s="43"/>
      <c r="QED100" s="43"/>
      <c r="QEE100" s="43"/>
      <c r="QEF100" s="43"/>
      <c r="QEG100" s="43"/>
      <c r="QEH100" s="43"/>
      <c r="QEI100" s="43"/>
      <c r="QEJ100" s="43"/>
      <c r="QEK100" s="43"/>
      <c r="QEL100" s="43"/>
      <c r="QEM100" s="43"/>
      <c r="QEN100" s="43"/>
      <c r="QEO100" s="43"/>
      <c r="QEP100" s="43"/>
      <c r="QEQ100" s="43"/>
      <c r="QER100" s="43"/>
      <c r="QES100" s="43"/>
      <c r="QET100" s="43"/>
      <c r="QEU100" s="43"/>
      <c r="QEV100" s="43"/>
      <c r="QEW100" s="43"/>
      <c r="QEX100" s="43"/>
      <c r="QEY100" s="43"/>
      <c r="QEZ100" s="43"/>
      <c r="QFA100" s="43"/>
      <c r="QFB100" s="43"/>
      <c r="QFC100" s="43"/>
      <c r="QFD100" s="43"/>
      <c r="QFE100" s="43"/>
      <c r="QFF100" s="43"/>
      <c r="QFG100" s="43"/>
      <c r="QFH100" s="43"/>
      <c r="QFI100" s="43"/>
      <c r="QFJ100" s="43"/>
      <c r="QFK100" s="43"/>
      <c r="QFL100" s="43"/>
      <c r="QFM100" s="43"/>
      <c r="QFN100" s="43"/>
      <c r="QFP100" s="43"/>
      <c r="QFQ100" s="43"/>
      <c r="QFR100" s="43"/>
      <c r="QFS100" s="43"/>
      <c r="QFT100" s="43"/>
      <c r="QFU100" s="43"/>
      <c r="QFV100" s="43"/>
      <c r="QFW100" s="43"/>
      <c r="QFX100" s="43"/>
      <c r="QFY100" s="43"/>
      <c r="QFZ100" s="43"/>
      <c r="QGA100" s="43"/>
      <c r="QGB100" s="43"/>
      <c r="QGC100" s="43"/>
      <c r="QGD100" s="43"/>
      <c r="QGE100" s="43"/>
      <c r="QGF100" s="43"/>
      <c r="QGG100" s="43"/>
      <c r="QGH100" s="43"/>
      <c r="QGI100" s="43"/>
      <c r="QGJ100" s="43"/>
      <c r="QGK100" s="43"/>
      <c r="QGL100" s="43"/>
      <c r="QGM100" s="43"/>
      <c r="QGN100" s="43"/>
      <c r="QGO100" s="43"/>
      <c r="QGP100" s="43"/>
      <c r="QGQ100" s="43"/>
      <c r="QGR100" s="43"/>
      <c r="QGS100" s="43"/>
      <c r="QGT100" s="43"/>
      <c r="QGU100" s="43"/>
      <c r="QGV100" s="43"/>
      <c r="QGW100" s="43"/>
      <c r="QGX100" s="43"/>
      <c r="QGY100" s="43"/>
      <c r="QGZ100" s="43"/>
      <c r="QHA100" s="43"/>
      <c r="QHB100" s="43"/>
      <c r="QHC100" s="43"/>
      <c r="QHD100" s="43"/>
      <c r="QHE100" s="43"/>
      <c r="QHF100" s="43"/>
      <c r="QHG100" s="43"/>
      <c r="QHH100" s="43"/>
      <c r="QHI100" s="43"/>
      <c r="QHJ100" s="43"/>
      <c r="QHK100" s="43"/>
      <c r="QHL100" s="43"/>
      <c r="QHM100" s="43"/>
      <c r="QHN100" s="43"/>
      <c r="QHO100" s="43"/>
      <c r="QHP100" s="43"/>
      <c r="QHQ100" s="43"/>
      <c r="QHR100" s="43"/>
      <c r="QHS100" s="43"/>
      <c r="QHT100" s="43"/>
      <c r="QHU100" s="43"/>
      <c r="QHV100" s="43"/>
      <c r="QHW100" s="43"/>
      <c r="QHX100" s="43"/>
      <c r="QHY100" s="43"/>
      <c r="QHZ100" s="43"/>
      <c r="QIA100" s="43"/>
      <c r="QIB100" s="43"/>
      <c r="QIC100" s="43"/>
      <c r="QID100" s="43"/>
      <c r="QIE100" s="43"/>
      <c r="QIF100" s="43"/>
      <c r="QIG100" s="43"/>
      <c r="QIH100" s="43"/>
      <c r="QII100" s="43"/>
      <c r="QIJ100" s="43"/>
      <c r="QIK100" s="43"/>
      <c r="QIL100" s="43"/>
      <c r="QIM100" s="43"/>
      <c r="QIN100" s="43"/>
      <c r="QIO100" s="43"/>
      <c r="QIP100" s="43"/>
      <c r="QIQ100" s="43"/>
      <c r="QIR100" s="43"/>
      <c r="QIS100" s="43"/>
      <c r="QIT100" s="43"/>
      <c r="QIU100" s="43"/>
      <c r="QIV100" s="43"/>
      <c r="QIW100" s="43"/>
      <c r="QIX100" s="43"/>
      <c r="QIY100" s="43"/>
      <c r="QIZ100" s="43"/>
      <c r="QJA100" s="43"/>
      <c r="QJB100" s="43"/>
      <c r="QJC100" s="43"/>
      <c r="QJD100" s="43"/>
      <c r="QJE100" s="43"/>
      <c r="QJF100" s="43"/>
      <c r="QJG100" s="43"/>
      <c r="QJH100" s="43"/>
      <c r="QJI100" s="43"/>
      <c r="QJJ100" s="43"/>
      <c r="QJK100" s="43"/>
      <c r="QJL100" s="43"/>
      <c r="QJM100" s="43"/>
      <c r="QJN100" s="43"/>
      <c r="QJO100" s="43"/>
      <c r="QJP100" s="43"/>
      <c r="QJQ100" s="43"/>
      <c r="QJR100" s="43"/>
      <c r="QJS100" s="43"/>
      <c r="QJT100" s="43"/>
      <c r="QJU100" s="43"/>
      <c r="QJV100" s="43"/>
      <c r="QJW100" s="43"/>
      <c r="QJX100" s="43"/>
      <c r="QJY100" s="43"/>
      <c r="QJZ100" s="43"/>
      <c r="QKA100" s="43"/>
      <c r="QKB100" s="43"/>
      <c r="QKC100" s="43"/>
      <c r="QKD100" s="43"/>
      <c r="QKE100" s="43"/>
      <c r="QKF100" s="43"/>
      <c r="QKG100" s="43"/>
      <c r="QKH100" s="43"/>
      <c r="QKI100" s="43"/>
      <c r="QKJ100" s="43"/>
      <c r="QKK100" s="43"/>
      <c r="QKL100" s="43"/>
      <c r="QKM100" s="43"/>
      <c r="QKN100" s="43"/>
      <c r="QKO100" s="43"/>
      <c r="QKP100" s="43"/>
      <c r="QKQ100" s="43"/>
      <c r="QKR100" s="43"/>
      <c r="QKS100" s="43"/>
      <c r="QKT100" s="43"/>
      <c r="QKU100" s="43"/>
      <c r="QKV100" s="43"/>
      <c r="QKW100" s="43"/>
      <c r="QKX100" s="43"/>
      <c r="QKY100" s="43"/>
      <c r="QKZ100" s="43"/>
      <c r="QLA100" s="43"/>
      <c r="QLB100" s="43"/>
      <c r="QLC100" s="43"/>
      <c r="QLD100" s="43"/>
      <c r="QLE100" s="43"/>
      <c r="QLF100" s="43"/>
      <c r="QLG100" s="43"/>
      <c r="QLH100" s="43"/>
      <c r="QLI100" s="43"/>
      <c r="QLJ100" s="43"/>
      <c r="QLK100" s="43"/>
      <c r="QLL100" s="43"/>
      <c r="QLM100" s="43"/>
      <c r="QLN100" s="43"/>
      <c r="QLO100" s="43"/>
      <c r="QLP100" s="43"/>
      <c r="QLQ100" s="43"/>
      <c r="QLR100" s="43"/>
      <c r="QLS100" s="43"/>
      <c r="QLT100" s="43"/>
      <c r="QLU100" s="43"/>
      <c r="QLV100" s="43"/>
      <c r="QLW100" s="43"/>
      <c r="QLX100" s="43"/>
      <c r="QLY100" s="43"/>
      <c r="QLZ100" s="43"/>
      <c r="QMA100" s="43"/>
      <c r="QMB100" s="43"/>
      <c r="QMC100" s="43"/>
      <c r="QMD100" s="43"/>
      <c r="QME100" s="43"/>
      <c r="QMF100" s="43"/>
      <c r="QMG100" s="43"/>
      <c r="QMH100" s="43"/>
      <c r="QMI100" s="43"/>
      <c r="QMJ100" s="43"/>
      <c r="QMK100" s="43"/>
      <c r="QML100" s="43"/>
      <c r="QMM100" s="43"/>
      <c r="QMN100" s="43"/>
      <c r="QMO100" s="43"/>
      <c r="QMP100" s="43"/>
      <c r="QMQ100" s="43"/>
      <c r="QMR100" s="43"/>
      <c r="QMS100" s="43"/>
      <c r="QMT100" s="43"/>
      <c r="QMU100" s="43"/>
      <c r="QMV100" s="43"/>
      <c r="QMW100" s="43"/>
      <c r="QMX100" s="43"/>
      <c r="QMY100" s="43"/>
      <c r="QMZ100" s="43"/>
      <c r="QNA100" s="43"/>
      <c r="QNB100" s="43"/>
      <c r="QNC100" s="43"/>
      <c r="QND100" s="43"/>
      <c r="QNE100" s="43"/>
      <c r="QNF100" s="43"/>
      <c r="QNG100" s="43"/>
      <c r="QNH100" s="43"/>
      <c r="QNI100" s="43"/>
      <c r="QNJ100" s="43"/>
      <c r="QNK100" s="43"/>
      <c r="QNL100" s="43"/>
      <c r="QNM100" s="43"/>
      <c r="QNN100" s="43"/>
      <c r="QNO100" s="43"/>
      <c r="QNP100" s="43"/>
      <c r="QNQ100" s="43"/>
      <c r="QNR100" s="43"/>
      <c r="QNS100" s="43"/>
      <c r="QNT100" s="43"/>
      <c r="QNU100" s="43"/>
      <c r="QNV100" s="43"/>
      <c r="QNW100" s="43"/>
      <c r="QNX100" s="43"/>
      <c r="QNY100" s="43"/>
      <c r="QNZ100" s="43"/>
      <c r="QOA100" s="43"/>
      <c r="QOB100" s="43"/>
      <c r="QOC100" s="43"/>
      <c r="QOD100" s="43"/>
      <c r="QOE100" s="43"/>
      <c r="QOF100" s="43"/>
      <c r="QOG100" s="43"/>
      <c r="QOH100" s="43"/>
      <c r="QOI100" s="43"/>
      <c r="QOJ100" s="43"/>
      <c r="QOK100" s="43"/>
      <c r="QOL100" s="43"/>
      <c r="QOM100" s="43"/>
      <c r="QON100" s="43"/>
      <c r="QOO100" s="43"/>
      <c r="QOP100" s="43"/>
      <c r="QOQ100" s="43"/>
      <c r="QOR100" s="43"/>
      <c r="QOS100" s="43"/>
      <c r="QOT100" s="43"/>
      <c r="QOU100" s="43"/>
      <c r="QOV100" s="43"/>
      <c r="QOW100" s="43"/>
      <c r="QOX100" s="43"/>
      <c r="QOY100" s="43"/>
      <c r="QOZ100" s="43"/>
      <c r="QPA100" s="43"/>
      <c r="QPB100" s="43"/>
      <c r="QPC100" s="43"/>
      <c r="QPD100" s="43"/>
      <c r="QPE100" s="43"/>
      <c r="QPF100" s="43"/>
      <c r="QPG100" s="43"/>
      <c r="QPH100" s="43"/>
      <c r="QPI100" s="43"/>
      <c r="QPJ100" s="43"/>
      <c r="QPL100" s="43"/>
      <c r="QPM100" s="43"/>
      <c r="QPN100" s="43"/>
      <c r="QPO100" s="43"/>
      <c r="QPP100" s="43"/>
      <c r="QPQ100" s="43"/>
      <c r="QPR100" s="43"/>
      <c r="QPS100" s="43"/>
      <c r="QPT100" s="43"/>
      <c r="QPU100" s="43"/>
      <c r="QPV100" s="43"/>
      <c r="QPW100" s="43"/>
      <c r="QPX100" s="43"/>
      <c r="QPY100" s="43"/>
      <c r="QPZ100" s="43"/>
      <c r="QQA100" s="43"/>
      <c r="QQB100" s="43"/>
      <c r="QQC100" s="43"/>
      <c r="QQD100" s="43"/>
      <c r="QQE100" s="43"/>
      <c r="QQF100" s="43"/>
      <c r="QQG100" s="43"/>
      <c r="QQH100" s="43"/>
      <c r="QQI100" s="43"/>
      <c r="QQJ100" s="43"/>
      <c r="QQK100" s="43"/>
      <c r="QQL100" s="43"/>
      <c r="QQM100" s="43"/>
      <c r="QQN100" s="43"/>
      <c r="QQO100" s="43"/>
      <c r="QQP100" s="43"/>
      <c r="QQQ100" s="43"/>
      <c r="QQR100" s="43"/>
      <c r="QQS100" s="43"/>
      <c r="QQT100" s="43"/>
      <c r="QQU100" s="43"/>
      <c r="QQV100" s="43"/>
      <c r="QQW100" s="43"/>
      <c r="QQX100" s="43"/>
      <c r="QQY100" s="43"/>
      <c r="QQZ100" s="43"/>
      <c r="QRA100" s="43"/>
      <c r="QRB100" s="43"/>
      <c r="QRC100" s="43"/>
      <c r="QRD100" s="43"/>
      <c r="QRE100" s="43"/>
      <c r="QRF100" s="43"/>
      <c r="QRG100" s="43"/>
      <c r="QRH100" s="43"/>
      <c r="QRI100" s="43"/>
      <c r="QRJ100" s="43"/>
      <c r="QRK100" s="43"/>
      <c r="QRL100" s="43"/>
      <c r="QRM100" s="43"/>
      <c r="QRN100" s="43"/>
      <c r="QRO100" s="43"/>
      <c r="QRP100" s="43"/>
      <c r="QRQ100" s="43"/>
      <c r="QRR100" s="43"/>
      <c r="QRS100" s="43"/>
      <c r="QRT100" s="43"/>
      <c r="QRU100" s="43"/>
      <c r="QRV100" s="43"/>
      <c r="QRW100" s="43"/>
      <c r="QRX100" s="43"/>
      <c r="QRY100" s="43"/>
      <c r="QRZ100" s="43"/>
      <c r="QSA100" s="43"/>
      <c r="QSB100" s="43"/>
      <c r="QSC100" s="43"/>
      <c r="QSD100" s="43"/>
      <c r="QSE100" s="43"/>
      <c r="QSF100" s="43"/>
      <c r="QSG100" s="43"/>
      <c r="QSH100" s="43"/>
      <c r="QSI100" s="43"/>
      <c r="QSJ100" s="43"/>
      <c r="QSK100" s="43"/>
      <c r="QSL100" s="43"/>
      <c r="QSM100" s="43"/>
      <c r="QSN100" s="43"/>
      <c r="QSO100" s="43"/>
      <c r="QSP100" s="43"/>
      <c r="QSQ100" s="43"/>
      <c r="QSR100" s="43"/>
      <c r="QSS100" s="43"/>
      <c r="QST100" s="43"/>
      <c r="QSU100" s="43"/>
      <c r="QSV100" s="43"/>
      <c r="QSW100" s="43"/>
      <c r="QSX100" s="43"/>
      <c r="QSY100" s="43"/>
      <c r="QSZ100" s="43"/>
      <c r="QTA100" s="43"/>
      <c r="QTB100" s="43"/>
      <c r="QTC100" s="43"/>
      <c r="QTD100" s="43"/>
      <c r="QTE100" s="43"/>
      <c r="QTF100" s="43"/>
      <c r="QTG100" s="43"/>
      <c r="QTH100" s="43"/>
      <c r="QTI100" s="43"/>
      <c r="QTJ100" s="43"/>
      <c r="QTK100" s="43"/>
      <c r="QTL100" s="43"/>
      <c r="QTM100" s="43"/>
      <c r="QTN100" s="43"/>
      <c r="QTO100" s="43"/>
      <c r="QTP100" s="43"/>
      <c r="QTQ100" s="43"/>
      <c r="QTR100" s="43"/>
      <c r="QTS100" s="43"/>
      <c r="QTT100" s="43"/>
      <c r="QTU100" s="43"/>
      <c r="QTV100" s="43"/>
      <c r="QTW100" s="43"/>
      <c r="QTX100" s="43"/>
      <c r="QTY100" s="43"/>
      <c r="QTZ100" s="43"/>
      <c r="QUA100" s="43"/>
      <c r="QUB100" s="43"/>
      <c r="QUC100" s="43"/>
      <c r="QUD100" s="43"/>
      <c r="QUE100" s="43"/>
      <c r="QUF100" s="43"/>
      <c r="QUG100" s="43"/>
      <c r="QUH100" s="43"/>
      <c r="QUI100" s="43"/>
      <c r="QUJ100" s="43"/>
      <c r="QUK100" s="43"/>
      <c r="QUL100" s="43"/>
      <c r="QUM100" s="43"/>
      <c r="QUN100" s="43"/>
      <c r="QUO100" s="43"/>
      <c r="QUP100" s="43"/>
      <c r="QUQ100" s="43"/>
      <c r="QUR100" s="43"/>
      <c r="QUS100" s="43"/>
      <c r="QUT100" s="43"/>
      <c r="QUU100" s="43"/>
      <c r="QUV100" s="43"/>
      <c r="QUW100" s="43"/>
      <c r="QUX100" s="43"/>
      <c r="QUY100" s="43"/>
      <c r="QUZ100" s="43"/>
      <c r="QVA100" s="43"/>
      <c r="QVB100" s="43"/>
      <c r="QVC100" s="43"/>
      <c r="QVD100" s="43"/>
      <c r="QVE100" s="43"/>
      <c r="QVF100" s="43"/>
      <c r="QVG100" s="43"/>
      <c r="QVH100" s="43"/>
      <c r="QVI100" s="43"/>
      <c r="QVJ100" s="43"/>
      <c r="QVK100" s="43"/>
      <c r="QVL100" s="43"/>
      <c r="QVM100" s="43"/>
      <c r="QVN100" s="43"/>
      <c r="QVO100" s="43"/>
      <c r="QVP100" s="43"/>
      <c r="QVQ100" s="43"/>
      <c r="QVR100" s="43"/>
      <c r="QVS100" s="43"/>
      <c r="QVT100" s="43"/>
      <c r="QVU100" s="43"/>
      <c r="QVV100" s="43"/>
      <c r="QVW100" s="43"/>
      <c r="QVX100" s="43"/>
      <c r="QVY100" s="43"/>
      <c r="QVZ100" s="43"/>
      <c r="QWA100" s="43"/>
      <c r="QWB100" s="43"/>
      <c r="QWC100" s="43"/>
      <c r="QWD100" s="43"/>
      <c r="QWE100" s="43"/>
      <c r="QWF100" s="43"/>
      <c r="QWG100" s="43"/>
      <c r="QWH100" s="43"/>
      <c r="QWI100" s="43"/>
      <c r="QWJ100" s="43"/>
      <c r="QWK100" s="43"/>
      <c r="QWL100" s="43"/>
      <c r="QWM100" s="43"/>
      <c r="QWN100" s="43"/>
      <c r="QWO100" s="43"/>
      <c r="QWP100" s="43"/>
      <c r="QWQ100" s="43"/>
      <c r="QWR100" s="43"/>
      <c r="QWS100" s="43"/>
      <c r="QWT100" s="43"/>
      <c r="QWU100" s="43"/>
      <c r="QWV100" s="43"/>
      <c r="QWW100" s="43"/>
      <c r="QWX100" s="43"/>
      <c r="QWY100" s="43"/>
      <c r="QWZ100" s="43"/>
      <c r="QXA100" s="43"/>
      <c r="QXB100" s="43"/>
      <c r="QXC100" s="43"/>
      <c r="QXD100" s="43"/>
      <c r="QXE100" s="43"/>
      <c r="QXF100" s="43"/>
      <c r="QXG100" s="43"/>
      <c r="QXH100" s="43"/>
      <c r="QXI100" s="43"/>
      <c r="QXJ100" s="43"/>
      <c r="QXK100" s="43"/>
      <c r="QXL100" s="43"/>
      <c r="QXM100" s="43"/>
      <c r="QXN100" s="43"/>
      <c r="QXO100" s="43"/>
      <c r="QXP100" s="43"/>
      <c r="QXQ100" s="43"/>
      <c r="QXR100" s="43"/>
      <c r="QXS100" s="43"/>
      <c r="QXT100" s="43"/>
      <c r="QXU100" s="43"/>
      <c r="QXV100" s="43"/>
      <c r="QXW100" s="43"/>
      <c r="QXX100" s="43"/>
      <c r="QXY100" s="43"/>
      <c r="QXZ100" s="43"/>
      <c r="QYA100" s="43"/>
      <c r="QYB100" s="43"/>
      <c r="QYC100" s="43"/>
      <c r="QYD100" s="43"/>
      <c r="QYE100" s="43"/>
      <c r="QYF100" s="43"/>
      <c r="QYG100" s="43"/>
      <c r="QYH100" s="43"/>
      <c r="QYI100" s="43"/>
      <c r="QYJ100" s="43"/>
      <c r="QYK100" s="43"/>
      <c r="QYL100" s="43"/>
      <c r="QYM100" s="43"/>
      <c r="QYN100" s="43"/>
      <c r="QYO100" s="43"/>
      <c r="QYP100" s="43"/>
      <c r="QYQ100" s="43"/>
      <c r="QYR100" s="43"/>
      <c r="QYS100" s="43"/>
      <c r="QYT100" s="43"/>
      <c r="QYU100" s="43"/>
      <c r="QYV100" s="43"/>
      <c r="QYW100" s="43"/>
      <c r="QYX100" s="43"/>
      <c r="QYY100" s="43"/>
      <c r="QYZ100" s="43"/>
      <c r="QZA100" s="43"/>
      <c r="QZB100" s="43"/>
      <c r="QZC100" s="43"/>
      <c r="QZD100" s="43"/>
      <c r="QZE100" s="43"/>
      <c r="QZF100" s="43"/>
      <c r="QZH100" s="43"/>
      <c r="QZI100" s="43"/>
      <c r="QZJ100" s="43"/>
      <c r="QZK100" s="43"/>
      <c r="QZL100" s="43"/>
      <c r="QZM100" s="43"/>
      <c r="QZN100" s="43"/>
      <c r="QZO100" s="43"/>
      <c r="QZP100" s="43"/>
      <c r="QZQ100" s="43"/>
      <c r="QZR100" s="43"/>
      <c r="QZS100" s="43"/>
      <c r="QZT100" s="43"/>
      <c r="QZU100" s="43"/>
      <c r="QZV100" s="43"/>
      <c r="QZW100" s="43"/>
      <c r="QZX100" s="43"/>
      <c r="QZY100" s="43"/>
      <c r="QZZ100" s="43"/>
      <c r="RAA100" s="43"/>
      <c r="RAB100" s="43"/>
      <c r="RAC100" s="43"/>
      <c r="RAD100" s="43"/>
      <c r="RAE100" s="43"/>
      <c r="RAF100" s="43"/>
      <c r="RAG100" s="43"/>
      <c r="RAH100" s="43"/>
      <c r="RAI100" s="43"/>
      <c r="RAJ100" s="43"/>
      <c r="RAK100" s="43"/>
      <c r="RAL100" s="43"/>
      <c r="RAM100" s="43"/>
      <c r="RAN100" s="43"/>
      <c r="RAO100" s="43"/>
      <c r="RAP100" s="43"/>
      <c r="RAQ100" s="43"/>
      <c r="RAR100" s="43"/>
      <c r="RAS100" s="43"/>
      <c r="RAT100" s="43"/>
      <c r="RAU100" s="43"/>
      <c r="RAV100" s="43"/>
      <c r="RAW100" s="43"/>
      <c r="RAX100" s="43"/>
      <c r="RAY100" s="43"/>
      <c r="RAZ100" s="43"/>
      <c r="RBA100" s="43"/>
      <c r="RBB100" s="43"/>
      <c r="RBC100" s="43"/>
      <c r="RBD100" s="43"/>
      <c r="RBE100" s="43"/>
      <c r="RBF100" s="43"/>
      <c r="RBG100" s="43"/>
      <c r="RBH100" s="43"/>
      <c r="RBI100" s="43"/>
      <c r="RBJ100" s="43"/>
      <c r="RBK100" s="43"/>
      <c r="RBL100" s="43"/>
      <c r="RBM100" s="43"/>
      <c r="RBN100" s="43"/>
      <c r="RBO100" s="43"/>
      <c r="RBP100" s="43"/>
      <c r="RBQ100" s="43"/>
      <c r="RBR100" s="43"/>
      <c r="RBS100" s="43"/>
      <c r="RBT100" s="43"/>
      <c r="RBU100" s="43"/>
      <c r="RBV100" s="43"/>
      <c r="RBW100" s="43"/>
      <c r="RBX100" s="43"/>
      <c r="RBY100" s="43"/>
      <c r="RBZ100" s="43"/>
      <c r="RCA100" s="43"/>
      <c r="RCB100" s="43"/>
      <c r="RCC100" s="43"/>
      <c r="RCD100" s="43"/>
      <c r="RCE100" s="43"/>
      <c r="RCF100" s="43"/>
      <c r="RCG100" s="43"/>
      <c r="RCH100" s="43"/>
      <c r="RCI100" s="43"/>
      <c r="RCJ100" s="43"/>
      <c r="RCK100" s="43"/>
      <c r="RCL100" s="43"/>
      <c r="RCM100" s="43"/>
      <c r="RCN100" s="43"/>
      <c r="RCO100" s="43"/>
      <c r="RCP100" s="43"/>
      <c r="RCQ100" s="43"/>
      <c r="RCR100" s="43"/>
      <c r="RCS100" s="43"/>
      <c r="RCT100" s="43"/>
      <c r="RCU100" s="43"/>
      <c r="RCV100" s="43"/>
      <c r="RCW100" s="43"/>
      <c r="RCX100" s="43"/>
      <c r="RCY100" s="43"/>
      <c r="RCZ100" s="43"/>
      <c r="RDA100" s="43"/>
      <c r="RDB100" s="43"/>
      <c r="RDC100" s="43"/>
      <c r="RDD100" s="43"/>
      <c r="RDE100" s="43"/>
      <c r="RDF100" s="43"/>
      <c r="RDG100" s="43"/>
      <c r="RDH100" s="43"/>
      <c r="RDI100" s="43"/>
      <c r="RDJ100" s="43"/>
      <c r="RDK100" s="43"/>
      <c r="RDL100" s="43"/>
      <c r="RDM100" s="43"/>
      <c r="RDN100" s="43"/>
      <c r="RDO100" s="43"/>
      <c r="RDP100" s="43"/>
      <c r="RDQ100" s="43"/>
      <c r="RDR100" s="43"/>
      <c r="RDS100" s="43"/>
      <c r="RDT100" s="43"/>
      <c r="RDU100" s="43"/>
      <c r="RDV100" s="43"/>
      <c r="RDW100" s="43"/>
      <c r="RDX100" s="43"/>
      <c r="RDY100" s="43"/>
      <c r="RDZ100" s="43"/>
      <c r="REA100" s="43"/>
      <c r="REB100" s="43"/>
      <c r="REC100" s="43"/>
      <c r="RED100" s="43"/>
      <c r="REE100" s="43"/>
      <c r="REF100" s="43"/>
      <c r="REG100" s="43"/>
      <c r="REH100" s="43"/>
      <c r="REI100" s="43"/>
      <c r="REJ100" s="43"/>
      <c r="REK100" s="43"/>
      <c r="REL100" s="43"/>
      <c r="REM100" s="43"/>
      <c r="REN100" s="43"/>
      <c r="REO100" s="43"/>
      <c r="REP100" s="43"/>
      <c r="REQ100" s="43"/>
      <c r="RER100" s="43"/>
      <c r="RES100" s="43"/>
      <c r="RET100" s="43"/>
      <c r="REU100" s="43"/>
      <c r="REV100" s="43"/>
      <c r="REW100" s="43"/>
      <c r="REX100" s="43"/>
      <c r="REY100" s="43"/>
      <c r="REZ100" s="43"/>
      <c r="RFA100" s="43"/>
      <c r="RFB100" s="43"/>
      <c r="RFC100" s="43"/>
      <c r="RFD100" s="43"/>
      <c r="RFE100" s="43"/>
      <c r="RFF100" s="43"/>
      <c r="RFG100" s="43"/>
      <c r="RFH100" s="43"/>
      <c r="RFI100" s="43"/>
      <c r="RFJ100" s="43"/>
      <c r="RFK100" s="43"/>
      <c r="RFL100" s="43"/>
      <c r="RFM100" s="43"/>
      <c r="RFN100" s="43"/>
      <c r="RFO100" s="43"/>
      <c r="RFP100" s="43"/>
      <c r="RFQ100" s="43"/>
      <c r="RFR100" s="43"/>
      <c r="RFS100" s="43"/>
      <c r="RFT100" s="43"/>
      <c r="RFU100" s="43"/>
      <c r="RFV100" s="43"/>
      <c r="RFW100" s="43"/>
      <c r="RFX100" s="43"/>
      <c r="RFY100" s="43"/>
      <c r="RFZ100" s="43"/>
      <c r="RGA100" s="43"/>
      <c r="RGB100" s="43"/>
      <c r="RGC100" s="43"/>
      <c r="RGD100" s="43"/>
      <c r="RGE100" s="43"/>
      <c r="RGF100" s="43"/>
      <c r="RGG100" s="43"/>
      <c r="RGH100" s="43"/>
      <c r="RGI100" s="43"/>
      <c r="RGJ100" s="43"/>
      <c r="RGK100" s="43"/>
      <c r="RGL100" s="43"/>
      <c r="RGM100" s="43"/>
      <c r="RGN100" s="43"/>
      <c r="RGO100" s="43"/>
      <c r="RGP100" s="43"/>
      <c r="RGQ100" s="43"/>
      <c r="RGR100" s="43"/>
      <c r="RGS100" s="43"/>
      <c r="RGT100" s="43"/>
      <c r="RGU100" s="43"/>
      <c r="RGV100" s="43"/>
      <c r="RGW100" s="43"/>
      <c r="RGX100" s="43"/>
      <c r="RGY100" s="43"/>
      <c r="RGZ100" s="43"/>
      <c r="RHA100" s="43"/>
      <c r="RHB100" s="43"/>
      <c r="RHC100" s="43"/>
      <c r="RHD100" s="43"/>
      <c r="RHE100" s="43"/>
      <c r="RHF100" s="43"/>
      <c r="RHG100" s="43"/>
      <c r="RHH100" s="43"/>
      <c r="RHI100" s="43"/>
      <c r="RHJ100" s="43"/>
      <c r="RHK100" s="43"/>
      <c r="RHL100" s="43"/>
      <c r="RHM100" s="43"/>
      <c r="RHN100" s="43"/>
      <c r="RHO100" s="43"/>
      <c r="RHP100" s="43"/>
      <c r="RHQ100" s="43"/>
      <c r="RHR100" s="43"/>
      <c r="RHS100" s="43"/>
      <c r="RHT100" s="43"/>
      <c r="RHU100" s="43"/>
      <c r="RHV100" s="43"/>
      <c r="RHW100" s="43"/>
      <c r="RHX100" s="43"/>
      <c r="RHY100" s="43"/>
      <c r="RHZ100" s="43"/>
      <c r="RIA100" s="43"/>
      <c r="RIB100" s="43"/>
      <c r="RIC100" s="43"/>
      <c r="RID100" s="43"/>
      <c r="RIE100" s="43"/>
      <c r="RIF100" s="43"/>
      <c r="RIG100" s="43"/>
      <c r="RIH100" s="43"/>
      <c r="RII100" s="43"/>
      <c r="RIJ100" s="43"/>
      <c r="RIK100" s="43"/>
      <c r="RIL100" s="43"/>
      <c r="RIM100" s="43"/>
      <c r="RIN100" s="43"/>
      <c r="RIO100" s="43"/>
      <c r="RIP100" s="43"/>
      <c r="RIQ100" s="43"/>
      <c r="RIR100" s="43"/>
      <c r="RIS100" s="43"/>
      <c r="RIT100" s="43"/>
      <c r="RIU100" s="43"/>
      <c r="RIV100" s="43"/>
      <c r="RIW100" s="43"/>
      <c r="RIX100" s="43"/>
      <c r="RIY100" s="43"/>
      <c r="RIZ100" s="43"/>
      <c r="RJA100" s="43"/>
      <c r="RJB100" s="43"/>
      <c r="RJD100" s="43"/>
      <c r="RJE100" s="43"/>
      <c r="RJF100" s="43"/>
      <c r="RJG100" s="43"/>
      <c r="RJH100" s="43"/>
      <c r="RJI100" s="43"/>
      <c r="RJJ100" s="43"/>
      <c r="RJK100" s="43"/>
      <c r="RJL100" s="43"/>
      <c r="RJM100" s="43"/>
      <c r="RJN100" s="43"/>
      <c r="RJO100" s="43"/>
      <c r="RJP100" s="43"/>
      <c r="RJQ100" s="43"/>
      <c r="RJR100" s="43"/>
      <c r="RJS100" s="43"/>
      <c r="RJT100" s="43"/>
      <c r="RJU100" s="43"/>
      <c r="RJV100" s="43"/>
      <c r="RJW100" s="43"/>
      <c r="RJX100" s="43"/>
      <c r="RJY100" s="43"/>
      <c r="RJZ100" s="43"/>
      <c r="RKA100" s="43"/>
      <c r="RKB100" s="43"/>
      <c r="RKC100" s="43"/>
      <c r="RKD100" s="43"/>
      <c r="RKE100" s="43"/>
      <c r="RKF100" s="43"/>
      <c r="RKG100" s="43"/>
      <c r="RKH100" s="43"/>
      <c r="RKI100" s="43"/>
      <c r="RKJ100" s="43"/>
      <c r="RKK100" s="43"/>
      <c r="RKL100" s="43"/>
      <c r="RKM100" s="43"/>
      <c r="RKN100" s="43"/>
      <c r="RKO100" s="43"/>
      <c r="RKP100" s="43"/>
      <c r="RKQ100" s="43"/>
      <c r="RKR100" s="43"/>
      <c r="RKS100" s="43"/>
      <c r="RKT100" s="43"/>
      <c r="RKU100" s="43"/>
      <c r="RKV100" s="43"/>
      <c r="RKW100" s="43"/>
      <c r="RKX100" s="43"/>
      <c r="RKY100" s="43"/>
      <c r="RKZ100" s="43"/>
      <c r="RLA100" s="43"/>
      <c r="RLB100" s="43"/>
      <c r="RLC100" s="43"/>
      <c r="RLD100" s="43"/>
      <c r="RLE100" s="43"/>
      <c r="RLF100" s="43"/>
      <c r="RLG100" s="43"/>
      <c r="RLH100" s="43"/>
      <c r="RLI100" s="43"/>
      <c r="RLJ100" s="43"/>
      <c r="RLK100" s="43"/>
      <c r="RLL100" s="43"/>
      <c r="RLM100" s="43"/>
      <c r="RLN100" s="43"/>
      <c r="RLO100" s="43"/>
      <c r="RLP100" s="43"/>
      <c r="RLQ100" s="43"/>
      <c r="RLR100" s="43"/>
      <c r="RLS100" s="43"/>
      <c r="RLT100" s="43"/>
      <c r="RLU100" s="43"/>
      <c r="RLV100" s="43"/>
      <c r="RLW100" s="43"/>
      <c r="RLX100" s="43"/>
      <c r="RLY100" s="43"/>
      <c r="RLZ100" s="43"/>
      <c r="RMA100" s="43"/>
      <c r="RMB100" s="43"/>
      <c r="RMC100" s="43"/>
      <c r="RMD100" s="43"/>
      <c r="RME100" s="43"/>
      <c r="RMF100" s="43"/>
      <c r="RMG100" s="43"/>
      <c r="RMH100" s="43"/>
      <c r="RMI100" s="43"/>
      <c r="RMJ100" s="43"/>
      <c r="RMK100" s="43"/>
      <c r="RML100" s="43"/>
      <c r="RMM100" s="43"/>
      <c r="RMN100" s="43"/>
      <c r="RMO100" s="43"/>
      <c r="RMP100" s="43"/>
      <c r="RMQ100" s="43"/>
      <c r="RMR100" s="43"/>
      <c r="RMS100" s="43"/>
      <c r="RMT100" s="43"/>
      <c r="RMU100" s="43"/>
      <c r="RMV100" s="43"/>
      <c r="RMW100" s="43"/>
      <c r="RMX100" s="43"/>
      <c r="RMY100" s="43"/>
      <c r="RMZ100" s="43"/>
      <c r="RNA100" s="43"/>
      <c r="RNB100" s="43"/>
      <c r="RNC100" s="43"/>
      <c r="RND100" s="43"/>
      <c r="RNE100" s="43"/>
      <c r="RNF100" s="43"/>
      <c r="RNG100" s="43"/>
      <c r="RNH100" s="43"/>
      <c r="RNI100" s="43"/>
      <c r="RNJ100" s="43"/>
      <c r="RNK100" s="43"/>
      <c r="RNL100" s="43"/>
      <c r="RNM100" s="43"/>
      <c r="RNN100" s="43"/>
      <c r="RNO100" s="43"/>
      <c r="RNP100" s="43"/>
      <c r="RNQ100" s="43"/>
      <c r="RNR100" s="43"/>
      <c r="RNS100" s="43"/>
      <c r="RNT100" s="43"/>
      <c r="RNU100" s="43"/>
      <c r="RNV100" s="43"/>
      <c r="RNW100" s="43"/>
      <c r="RNX100" s="43"/>
      <c r="RNY100" s="43"/>
      <c r="RNZ100" s="43"/>
      <c r="ROA100" s="43"/>
      <c r="ROB100" s="43"/>
      <c r="ROC100" s="43"/>
      <c r="ROD100" s="43"/>
      <c r="ROE100" s="43"/>
      <c r="ROF100" s="43"/>
      <c r="ROG100" s="43"/>
      <c r="ROH100" s="43"/>
      <c r="ROI100" s="43"/>
      <c r="ROJ100" s="43"/>
      <c r="ROK100" s="43"/>
      <c r="ROL100" s="43"/>
      <c r="ROM100" s="43"/>
      <c r="RON100" s="43"/>
      <c r="ROO100" s="43"/>
      <c r="ROP100" s="43"/>
      <c r="ROQ100" s="43"/>
      <c r="ROR100" s="43"/>
      <c r="ROS100" s="43"/>
      <c r="ROT100" s="43"/>
      <c r="ROU100" s="43"/>
      <c r="ROV100" s="43"/>
      <c r="ROW100" s="43"/>
      <c r="ROX100" s="43"/>
      <c r="ROY100" s="43"/>
      <c r="ROZ100" s="43"/>
      <c r="RPA100" s="43"/>
      <c r="RPB100" s="43"/>
      <c r="RPC100" s="43"/>
      <c r="RPD100" s="43"/>
      <c r="RPE100" s="43"/>
      <c r="RPF100" s="43"/>
      <c r="RPG100" s="43"/>
      <c r="RPH100" s="43"/>
      <c r="RPI100" s="43"/>
      <c r="RPJ100" s="43"/>
      <c r="RPK100" s="43"/>
      <c r="RPL100" s="43"/>
      <c r="RPM100" s="43"/>
      <c r="RPN100" s="43"/>
      <c r="RPO100" s="43"/>
      <c r="RPP100" s="43"/>
      <c r="RPQ100" s="43"/>
      <c r="RPR100" s="43"/>
      <c r="RPS100" s="43"/>
      <c r="RPT100" s="43"/>
      <c r="RPU100" s="43"/>
      <c r="RPV100" s="43"/>
      <c r="RPW100" s="43"/>
      <c r="RPX100" s="43"/>
      <c r="RPY100" s="43"/>
      <c r="RPZ100" s="43"/>
      <c r="RQA100" s="43"/>
      <c r="RQB100" s="43"/>
      <c r="RQC100" s="43"/>
      <c r="RQD100" s="43"/>
      <c r="RQE100" s="43"/>
      <c r="RQF100" s="43"/>
      <c r="RQG100" s="43"/>
      <c r="RQH100" s="43"/>
      <c r="RQI100" s="43"/>
      <c r="RQJ100" s="43"/>
      <c r="RQK100" s="43"/>
      <c r="RQL100" s="43"/>
      <c r="RQM100" s="43"/>
      <c r="RQN100" s="43"/>
      <c r="RQO100" s="43"/>
      <c r="RQP100" s="43"/>
      <c r="RQQ100" s="43"/>
      <c r="RQR100" s="43"/>
      <c r="RQS100" s="43"/>
      <c r="RQT100" s="43"/>
      <c r="RQU100" s="43"/>
      <c r="RQV100" s="43"/>
      <c r="RQW100" s="43"/>
      <c r="RQX100" s="43"/>
      <c r="RQY100" s="43"/>
      <c r="RQZ100" s="43"/>
      <c r="RRA100" s="43"/>
      <c r="RRB100" s="43"/>
      <c r="RRC100" s="43"/>
      <c r="RRD100" s="43"/>
      <c r="RRE100" s="43"/>
      <c r="RRF100" s="43"/>
      <c r="RRG100" s="43"/>
      <c r="RRH100" s="43"/>
      <c r="RRI100" s="43"/>
      <c r="RRJ100" s="43"/>
      <c r="RRK100" s="43"/>
      <c r="RRL100" s="43"/>
      <c r="RRM100" s="43"/>
      <c r="RRN100" s="43"/>
      <c r="RRO100" s="43"/>
      <c r="RRP100" s="43"/>
      <c r="RRQ100" s="43"/>
      <c r="RRR100" s="43"/>
      <c r="RRS100" s="43"/>
      <c r="RRT100" s="43"/>
      <c r="RRU100" s="43"/>
      <c r="RRV100" s="43"/>
      <c r="RRW100" s="43"/>
      <c r="RRX100" s="43"/>
      <c r="RRY100" s="43"/>
      <c r="RRZ100" s="43"/>
      <c r="RSA100" s="43"/>
      <c r="RSB100" s="43"/>
      <c r="RSC100" s="43"/>
      <c r="RSD100" s="43"/>
      <c r="RSE100" s="43"/>
      <c r="RSF100" s="43"/>
      <c r="RSG100" s="43"/>
      <c r="RSH100" s="43"/>
      <c r="RSI100" s="43"/>
      <c r="RSJ100" s="43"/>
      <c r="RSK100" s="43"/>
      <c r="RSL100" s="43"/>
      <c r="RSM100" s="43"/>
      <c r="RSN100" s="43"/>
      <c r="RSO100" s="43"/>
      <c r="RSP100" s="43"/>
      <c r="RSQ100" s="43"/>
      <c r="RSR100" s="43"/>
      <c r="RSS100" s="43"/>
      <c r="RST100" s="43"/>
      <c r="RSU100" s="43"/>
      <c r="RSV100" s="43"/>
      <c r="RSW100" s="43"/>
      <c r="RSX100" s="43"/>
      <c r="RSZ100" s="43"/>
      <c r="RTA100" s="43"/>
      <c r="RTB100" s="43"/>
      <c r="RTC100" s="43"/>
      <c r="RTD100" s="43"/>
      <c r="RTE100" s="43"/>
      <c r="RTF100" s="43"/>
      <c r="RTG100" s="43"/>
      <c r="RTH100" s="43"/>
      <c r="RTI100" s="43"/>
      <c r="RTJ100" s="43"/>
      <c r="RTK100" s="43"/>
      <c r="RTL100" s="43"/>
      <c r="RTM100" s="43"/>
      <c r="RTN100" s="43"/>
      <c r="RTO100" s="43"/>
      <c r="RTP100" s="43"/>
      <c r="RTQ100" s="43"/>
      <c r="RTR100" s="43"/>
      <c r="RTS100" s="43"/>
      <c r="RTT100" s="43"/>
      <c r="RTU100" s="43"/>
      <c r="RTV100" s="43"/>
      <c r="RTW100" s="43"/>
      <c r="RTX100" s="43"/>
      <c r="RTY100" s="43"/>
      <c r="RTZ100" s="43"/>
      <c r="RUA100" s="43"/>
      <c r="RUB100" s="43"/>
      <c r="RUC100" s="43"/>
      <c r="RUD100" s="43"/>
      <c r="RUE100" s="43"/>
      <c r="RUF100" s="43"/>
      <c r="RUG100" s="43"/>
      <c r="RUH100" s="43"/>
      <c r="RUI100" s="43"/>
      <c r="RUJ100" s="43"/>
      <c r="RUK100" s="43"/>
      <c r="RUL100" s="43"/>
      <c r="RUM100" s="43"/>
      <c r="RUN100" s="43"/>
      <c r="RUO100" s="43"/>
      <c r="RUP100" s="43"/>
      <c r="RUQ100" s="43"/>
      <c r="RUR100" s="43"/>
      <c r="RUS100" s="43"/>
      <c r="RUT100" s="43"/>
      <c r="RUU100" s="43"/>
      <c r="RUV100" s="43"/>
      <c r="RUW100" s="43"/>
      <c r="RUX100" s="43"/>
      <c r="RUY100" s="43"/>
      <c r="RUZ100" s="43"/>
      <c r="RVA100" s="43"/>
      <c r="RVB100" s="43"/>
      <c r="RVC100" s="43"/>
      <c r="RVD100" s="43"/>
      <c r="RVE100" s="43"/>
      <c r="RVF100" s="43"/>
      <c r="RVG100" s="43"/>
      <c r="RVH100" s="43"/>
      <c r="RVI100" s="43"/>
      <c r="RVJ100" s="43"/>
      <c r="RVK100" s="43"/>
      <c r="RVL100" s="43"/>
      <c r="RVM100" s="43"/>
      <c r="RVN100" s="43"/>
      <c r="RVO100" s="43"/>
      <c r="RVP100" s="43"/>
      <c r="RVQ100" s="43"/>
      <c r="RVR100" s="43"/>
      <c r="RVS100" s="43"/>
      <c r="RVT100" s="43"/>
      <c r="RVU100" s="43"/>
      <c r="RVV100" s="43"/>
      <c r="RVW100" s="43"/>
      <c r="RVX100" s="43"/>
      <c r="RVY100" s="43"/>
      <c r="RVZ100" s="43"/>
      <c r="RWA100" s="43"/>
      <c r="RWB100" s="43"/>
      <c r="RWC100" s="43"/>
      <c r="RWD100" s="43"/>
      <c r="RWE100" s="43"/>
      <c r="RWF100" s="43"/>
      <c r="RWG100" s="43"/>
      <c r="RWH100" s="43"/>
      <c r="RWI100" s="43"/>
      <c r="RWJ100" s="43"/>
      <c r="RWK100" s="43"/>
      <c r="RWL100" s="43"/>
      <c r="RWM100" s="43"/>
      <c r="RWN100" s="43"/>
      <c r="RWO100" s="43"/>
      <c r="RWP100" s="43"/>
      <c r="RWQ100" s="43"/>
      <c r="RWR100" s="43"/>
      <c r="RWS100" s="43"/>
      <c r="RWT100" s="43"/>
      <c r="RWU100" s="43"/>
      <c r="RWV100" s="43"/>
      <c r="RWW100" s="43"/>
      <c r="RWX100" s="43"/>
      <c r="RWY100" s="43"/>
      <c r="RWZ100" s="43"/>
      <c r="RXA100" s="43"/>
      <c r="RXB100" s="43"/>
      <c r="RXC100" s="43"/>
      <c r="RXD100" s="43"/>
      <c r="RXE100" s="43"/>
      <c r="RXF100" s="43"/>
      <c r="RXG100" s="43"/>
      <c r="RXH100" s="43"/>
      <c r="RXI100" s="43"/>
      <c r="RXJ100" s="43"/>
      <c r="RXK100" s="43"/>
      <c r="RXL100" s="43"/>
      <c r="RXM100" s="43"/>
      <c r="RXN100" s="43"/>
      <c r="RXO100" s="43"/>
      <c r="RXP100" s="43"/>
      <c r="RXQ100" s="43"/>
      <c r="RXR100" s="43"/>
      <c r="RXS100" s="43"/>
      <c r="RXT100" s="43"/>
      <c r="RXU100" s="43"/>
      <c r="RXV100" s="43"/>
      <c r="RXW100" s="43"/>
      <c r="RXX100" s="43"/>
      <c r="RXY100" s="43"/>
      <c r="RXZ100" s="43"/>
      <c r="RYA100" s="43"/>
      <c r="RYB100" s="43"/>
      <c r="RYC100" s="43"/>
      <c r="RYD100" s="43"/>
      <c r="RYE100" s="43"/>
      <c r="RYF100" s="43"/>
      <c r="RYG100" s="43"/>
      <c r="RYH100" s="43"/>
      <c r="RYI100" s="43"/>
      <c r="RYJ100" s="43"/>
      <c r="RYK100" s="43"/>
      <c r="RYL100" s="43"/>
      <c r="RYM100" s="43"/>
      <c r="RYN100" s="43"/>
      <c r="RYO100" s="43"/>
      <c r="RYP100" s="43"/>
      <c r="RYQ100" s="43"/>
      <c r="RYR100" s="43"/>
      <c r="RYS100" s="43"/>
      <c r="RYT100" s="43"/>
      <c r="RYU100" s="43"/>
      <c r="RYV100" s="43"/>
      <c r="RYW100" s="43"/>
      <c r="RYX100" s="43"/>
      <c r="RYY100" s="43"/>
      <c r="RYZ100" s="43"/>
      <c r="RZA100" s="43"/>
      <c r="RZB100" s="43"/>
      <c r="RZC100" s="43"/>
      <c r="RZD100" s="43"/>
      <c r="RZE100" s="43"/>
      <c r="RZF100" s="43"/>
      <c r="RZG100" s="43"/>
      <c r="RZH100" s="43"/>
      <c r="RZI100" s="43"/>
      <c r="RZJ100" s="43"/>
      <c r="RZK100" s="43"/>
      <c r="RZL100" s="43"/>
      <c r="RZM100" s="43"/>
      <c r="RZN100" s="43"/>
      <c r="RZO100" s="43"/>
      <c r="RZP100" s="43"/>
      <c r="RZQ100" s="43"/>
      <c r="RZR100" s="43"/>
      <c r="RZS100" s="43"/>
      <c r="RZT100" s="43"/>
      <c r="RZU100" s="43"/>
      <c r="RZV100" s="43"/>
      <c r="RZW100" s="43"/>
      <c r="RZX100" s="43"/>
      <c r="RZY100" s="43"/>
      <c r="RZZ100" s="43"/>
      <c r="SAA100" s="43"/>
      <c r="SAB100" s="43"/>
      <c r="SAC100" s="43"/>
      <c r="SAD100" s="43"/>
      <c r="SAE100" s="43"/>
      <c r="SAF100" s="43"/>
      <c r="SAG100" s="43"/>
      <c r="SAH100" s="43"/>
      <c r="SAI100" s="43"/>
      <c r="SAJ100" s="43"/>
      <c r="SAK100" s="43"/>
      <c r="SAL100" s="43"/>
      <c r="SAM100" s="43"/>
      <c r="SAN100" s="43"/>
      <c r="SAO100" s="43"/>
      <c r="SAP100" s="43"/>
      <c r="SAQ100" s="43"/>
      <c r="SAR100" s="43"/>
      <c r="SAS100" s="43"/>
      <c r="SAT100" s="43"/>
      <c r="SAU100" s="43"/>
      <c r="SAV100" s="43"/>
      <c r="SAW100" s="43"/>
      <c r="SAX100" s="43"/>
      <c r="SAY100" s="43"/>
      <c r="SAZ100" s="43"/>
      <c r="SBA100" s="43"/>
      <c r="SBB100" s="43"/>
      <c r="SBC100" s="43"/>
      <c r="SBD100" s="43"/>
      <c r="SBE100" s="43"/>
      <c r="SBF100" s="43"/>
      <c r="SBG100" s="43"/>
      <c r="SBH100" s="43"/>
      <c r="SBI100" s="43"/>
      <c r="SBJ100" s="43"/>
      <c r="SBK100" s="43"/>
      <c r="SBL100" s="43"/>
      <c r="SBM100" s="43"/>
      <c r="SBN100" s="43"/>
      <c r="SBO100" s="43"/>
      <c r="SBP100" s="43"/>
      <c r="SBQ100" s="43"/>
      <c r="SBR100" s="43"/>
      <c r="SBS100" s="43"/>
      <c r="SBT100" s="43"/>
      <c r="SBU100" s="43"/>
      <c r="SBV100" s="43"/>
      <c r="SBW100" s="43"/>
      <c r="SBX100" s="43"/>
      <c r="SBY100" s="43"/>
      <c r="SBZ100" s="43"/>
      <c r="SCA100" s="43"/>
      <c r="SCB100" s="43"/>
      <c r="SCC100" s="43"/>
      <c r="SCD100" s="43"/>
      <c r="SCE100" s="43"/>
      <c r="SCF100" s="43"/>
      <c r="SCG100" s="43"/>
      <c r="SCH100" s="43"/>
      <c r="SCI100" s="43"/>
      <c r="SCJ100" s="43"/>
      <c r="SCK100" s="43"/>
      <c r="SCL100" s="43"/>
      <c r="SCM100" s="43"/>
      <c r="SCN100" s="43"/>
      <c r="SCO100" s="43"/>
      <c r="SCP100" s="43"/>
      <c r="SCQ100" s="43"/>
      <c r="SCR100" s="43"/>
      <c r="SCS100" s="43"/>
      <c r="SCT100" s="43"/>
      <c r="SCV100" s="43"/>
      <c r="SCW100" s="43"/>
      <c r="SCX100" s="43"/>
      <c r="SCY100" s="43"/>
      <c r="SCZ100" s="43"/>
      <c r="SDA100" s="43"/>
      <c r="SDB100" s="43"/>
      <c r="SDC100" s="43"/>
      <c r="SDD100" s="43"/>
      <c r="SDE100" s="43"/>
      <c r="SDF100" s="43"/>
      <c r="SDG100" s="43"/>
      <c r="SDH100" s="43"/>
      <c r="SDI100" s="43"/>
      <c r="SDJ100" s="43"/>
      <c r="SDK100" s="43"/>
      <c r="SDL100" s="43"/>
      <c r="SDM100" s="43"/>
      <c r="SDN100" s="43"/>
      <c r="SDO100" s="43"/>
      <c r="SDP100" s="43"/>
      <c r="SDQ100" s="43"/>
      <c r="SDR100" s="43"/>
      <c r="SDS100" s="43"/>
      <c r="SDT100" s="43"/>
      <c r="SDU100" s="43"/>
      <c r="SDV100" s="43"/>
      <c r="SDW100" s="43"/>
      <c r="SDX100" s="43"/>
      <c r="SDY100" s="43"/>
      <c r="SDZ100" s="43"/>
      <c r="SEA100" s="43"/>
      <c r="SEB100" s="43"/>
      <c r="SEC100" s="43"/>
      <c r="SED100" s="43"/>
      <c r="SEE100" s="43"/>
      <c r="SEF100" s="43"/>
      <c r="SEG100" s="43"/>
      <c r="SEH100" s="43"/>
      <c r="SEI100" s="43"/>
      <c r="SEJ100" s="43"/>
      <c r="SEK100" s="43"/>
      <c r="SEL100" s="43"/>
      <c r="SEM100" s="43"/>
      <c r="SEN100" s="43"/>
      <c r="SEO100" s="43"/>
      <c r="SEP100" s="43"/>
      <c r="SEQ100" s="43"/>
      <c r="SER100" s="43"/>
      <c r="SES100" s="43"/>
      <c r="SET100" s="43"/>
      <c r="SEU100" s="43"/>
      <c r="SEV100" s="43"/>
      <c r="SEW100" s="43"/>
      <c r="SEX100" s="43"/>
      <c r="SEY100" s="43"/>
      <c r="SEZ100" s="43"/>
      <c r="SFA100" s="43"/>
      <c r="SFB100" s="43"/>
      <c r="SFC100" s="43"/>
      <c r="SFD100" s="43"/>
      <c r="SFE100" s="43"/>
      <c r="SFF100" s="43"/>
      <c r="SFG100" s="43"/>
      <c r="SFH100" s="43"/>
      <c r="SFI100" s="43"/>
      <c r="SFJ100" s="43"/>
      <c r="SFK100" s="43"/>
      <c r="SFL100" s="43"/>
      <c r="SFM100" s="43"/>
      <c r="SFN100" s="43"/>
      <c r="SFO100" s="43"/>
      <c r="SFP100" s="43"/>
      <c r="SFQ100" s="43"/>
      <c r="SFR100" s="43"/>
      <c r="SFS100" s="43"/>
      <c r="SFT100" s="43"/>
      <c r="SFU100" s="43"/>
      <c r="SFV100" s="43"/>
      <c r="SFW100" s="43"/>
      <c r="SFX100" s="43"/>
      <c r="SFY100" s="43"/>
      <c r="SFZ100" s="43"/>
      <c r="SGA100" s="43"/>
      <c r="SGB100" s="43"/>
      <c r="SGC100" s="43"/>
      <c r="SGD100" s="43"/>
      <c r="SGE100" s="43"/>
      <c r="SGF100" s="43"/>
      <c r="SGG100" s="43"/>
      <c r="SGH100" s="43"/>
      <c r="SGI100" s="43"/>
      <c r="SGJ100" s="43"/>
      <c r="SGK100" s="43"/>
      <c r="SGL100" s="43"/>
      <c r="SGM100" s="43"/>
      <c r="SGN100" s="43"/>
      <c r="SGO100" s="43"/>
      <c r="SGP100" s="43"/>
      <c r="SGQ100" s="43"/>
      <c r="SGR100" s="43"/>
      <c r="SGS100" s="43"/>
      <c r="SGT100" s="43"/>
      <c r="SGU100" s="43"/>
      <c r="SGV100" s="43"/>
      <c r="SGW100" s="43"/>
      <c r="SGX100" s="43"/>
      <c r="SGY100" s="43"/>
      <c r="SGZ100" s="43"/>
      <c r="SHA100" s="43"/>
      <c r="SHB100" s="43"/>
      <c r="SHC100" s="43"/>
      <c r="SHD100" s="43"/>
      <c r="SHE100" s="43"/>
      <c r="SHF100" s="43"/>
      <c r="SHG100" s="43"/>
      <c r="SHH100" s="43"/>
      <c r="SHI100" s="43"/>
      <c r="SHJ100" s="43"/>
      <c r="SHK100" s="43"/>
      <c r="SHL100" s="43"/>
      <c r="SHM100" s="43"/>
      <c r="SHN100" s="43"/>
      <c r="SHO100" s="43"/>
      <c r="SHP100" s="43"/>
      <c r="SHQ100" s="43"/>
      <c r="SHR100" s="43"/>
      <c r="SHS100" s="43"/>
      <c r="SHT100" s="43"/>
      <c r="SHU100" s="43"/>
      <c r="SHV100" s="43"/>
      <c r="SHW100" s="43"/>
      <c r="SHX100" s="43"/>
      <c r="SHY100" s="43"/>
      <c r="SHZ100" s="43"/>
      <c r="SIA100" s="43"/>
      <c r="SIB100" s="43"/>
      <c r="SIC100" s="43"/>
      <c r="SID100" s="43"/>
      <c r="SIE100" s="43"/>
      <c r="SIF100" s="43"/>
      <c r="SIG100" s="43"/>
      <c r="SIH100" s="43"/>
      <c r="SII100" s="43"/>
      <c r="SIJ100" s="43"/>
      <c r="SIK100" s="43"/>
      <c r="SIL100" s="43"/>
      <c r="SIM100" s="43"/>
      <c r="SIN100" s="43"/>
      <c r="SIO100" s="43"/>
      <c r="SIP100" s="43"/>
      <c r="SIQ100" s="43"/>
      <c r="SIR100" s="43"/>
      <c r="SIS100" s="43"/>
      <c r="SIT100" s="43"/>
      <c r="SIU100" s="43"/>
      <c r="SIV100" s="43"/>
      <c r="SIW100" s="43"/>
      <c r="SIX100" s="43"/>
      <c r="SIY100" s="43"/>
      <c r="SIZ100" s="43"/>
      <c r="SJA100" s="43"/>
      <c r="SJB100" s="43"/>
      <c r="SJC100" s="43"/>
      <c r="SJD100" s="43"/>
      <c r="SJE100" s="43"/>
      <c r="SJF100" s="43"/>
      <c r="SJG100" s="43"/>
      <c r="SJH100" s="43"/>
      <c r="SJI100" s="43"/>
      <c r="SJJ100" s="43"/>
      <c r="SJK100" s="43"/>
      <c r="SJL100" s="43"/>
      <c r="SJM100" s="43"/>
      <c r="SJN100" s="43"/>
      <c r="SJO100" s="43"/>
      <c r="SJP100" s="43"/>
      <c r="SJQ100" s="43"/>
      <c r="SJR100" s="43"/>
      <c r="SJS100" s="43"/>
      <c r="SJT100" s="43"/>
      <c r="SJU100" s="43"/>
      <c r="SJV100" s="43"/>
      <c r="SJW100" s="43"/>
      <c r="SJX100" s="43"/>
      <c r="SJY100" s="43"/>
      <c r="SJZ100" s="43"/>
      <c r="SKA100" s="43"/>
      <c r="SKB100" s="43"/>
      <c r="SKC100" s="43"/>
      <c r="SKD100" s="43"/>
      <c r="SKE100" s="43"/>
      <c r="SKF100" s="43"/>
      <c r="SKG100" s="43"/>
      <c r="SKH100" s="43"/>
      <c r="SKI100" s="43"/>
      <c r="SKJ100" s="43"/>
      <c r="SKK100" s="43"/>
      <c r="SKL100" s="43"/>
      <c r="SKM100" s="43"/>
      <c r="SKN100" s="43"/>
      <c r="SKO100" s="43"/>
      <c r="SKP100" s="43"/>
      <c r="SKQ100" s="43"/>
      <c r="SKR100" s="43"/>
      <c r="SKS100" s="43"/>
      <c r="SKT100" s="43"/>
      <c r="SKU100" s="43"/>
      <c r="SKV100" s="43"/>
      <c r="SKW100" s="43"/>
      <c r="SKX100" s="43"/>
      <c r="SKY100" s="43"/>
      <c r="SKZ100" s="43"/>
      <c r="SLA100" s="43"/>
      <c r="SLB100" s="43"/>
      <c r="SLC100" s="43"/>
      <c r="SLD100" s="43"/>
      <c r="SLE100" s="43"/>
      <c r="SLF100" s="43"/>
      <c r="SLG100" s="43"/>
      <c r="SLH100" s="43"/>
      <c r="SLI100" s="43"/>
      <c r="SLJ100" s="43"/>
      <c r="SLK100" s="43"/>
      <c r="SLL100" s="43"/>
      <c r="SLM100" s="43"/>
      <c r="SLN100" s="43"/>
      <c r="SLO100" s="43"/>
      <c r="SLP100" s="43"/>
      <c r="SLQ100" s="43"/>
      <c r="SLR100" s="43"/>
      <c r="SLS100" s="43"/>
      <c r="SLT100" s="43"/>
      <c r="SLU100" s="43"/>
      <c r="SLV100" s="43"/>
      <c r="SLW100" s="43"/>
      <c r="SLX100" s="43"/>
      <c r="SLY100" s="43"/>
      <c r="SLZ100" s="43"/>
      <c r="SMA100" s="43"/>
      <c r="SMB100" s="43"/>
      <c r="SMC100" s="43"/>
      <c r="SMD100" s="43"/>
      <c r="SME100" s="43"/>
      <c r="SMF100" s="43"/>
      <c r="SMG100" s="43"/>
      <c r="SMH100" s="43"/>
      <c r="SMI100" s="43"/>
      <c r="SMJ100" s="43"/>
      <c r="SMK100" s="43"/>
      <c r="SML100" s="43"/>
      <c r="SMM100" s="43"/>
      <c r="SMN100" s="43"/>
      <c r="SMO100" s="43"/>
      <c r="SMP100" s="43"/>
      <c r="SMR100" s="43"/>
      <c r="SMS100" s="43"/>
      <c r="SMT100" s="43"/>
      <c r="SMU100" s="43"/>
      <c r="SMV100" s="43"/>
      <c r="SMW100" s="43"/>
      <c r="SMX100" s="43"/>
      <c r="SMY100" s="43"/>
      <c r="SMZ100" s="43"/>
      <c r="SNA100" s="43"/>
      <c r="SNB100" s="43"/>
      <c r="SNC100" s="43"/>
      <c r="SND100" s="43"/>
      <c r="SNE100" s="43"/>
      <c r="SNF100" s="43"/>
      <c r="SNG100" s="43"/>
      <c r="SNH100" s="43"/>
      <c r="SNI100" s="43"/>
      <c r="SNJ100" s="43"/>
      <c r="SNK100" s="43"/>
      <c r="SNL100" s="43"/>
      <c r="SNM100" s="43"/>
      <c r="SNN100" s="43"/>
      <c r="SNO100" s="43"/>
      <c r="SNP100" s="43"/>
      <c r="SNQ100" s="43"/>
      <c r="SNR100" s="43"/>
      <c r="SNS100" s="43"/>
      <c r="SNT100" s="43"/>
      <c r="SNU100" s="43"/>
      <c r="SNV100" s="43"/>
      <c r="SNW100" s="43"/>
      <c r="SNX100" s="43"/>
      <c r="SNY100" s="43"/>
      <c r="SNZ100" s="43"/>
      <c r="SOA100" s="43"/>
      <c r="SOB100" s="43"/>
      <c r="SOC100" s="43"/>
      <c r="SOD100" s="43"/>
      <c r="SOE100" s="43"/>
      <c r="SOF100" s="43"/>
      <c r="SOG100" s="43"/>
      <c r="SOH100" s="43"/>
      <c r="SOI100" s="43"/>
      <c r="SOJ100" s="43"/>
      <c r="SOK100" s="43"/>
      <c r="SOL100" s="43"/>
      <c r="SOM100" s="43"/>
      <c r="SON100" s="43"/>
      <c r="SOO100" s="43"/>
      <c r="SOP100" s="43"/>
      <c r="SOQ100" s="43"/>
      <c r="SOR100" s="43"/>
      <c r="SOS100" s="43"/>
      <c r="SOT100" s="43"/>
      <c r="SOU100" s="43"/>
      <c r="SOV100" s="43"/>
      <c r="SOW100" s="43"/>
      <c r="SOX100" s="43"/>
      <c r="SOY100" s="43"/>
      <c r="SOZ100" s="43"/>
      <c r="SPA100" s="43"/>
      <c r="SPB100" s="43"/>
      <c r="SPC100" s="43"/>
      <c r="SPD100" s="43"/>
      <c r="SPE100" s="43"/>
      <c r="SPF100" s="43"/>
      <c r="SPG100" s="43"/>
      <c r="SPH100" s="43"/>
      <c r="SPI100" s="43"/>
      <c r="SPJ100" s="43"/>
      <c r="SPK100" s="43"/>
      <c r="SPL100" s="43"/>
      <c r="SPM100" s="43"/>
      <c r="SPN100" s="43"/>
      <c r="SPO100" s="43"/>
      <c r="SPP100" s="43"/>
      <c r="SPQ100" s="43"/>
      <c r="SPR100" s="43"/>
      <c r="SPS100" s="43"/>
      <c r="SPT100" s="43"/>
      <c r="SPU100" s="43"/>
      <c r="SPV100" s="43"/>
      <c r="SPW100" s="43"/>
      <c r="SPX100" s="43"/>
      <c r="SPY100" s="43"/>
      <c r="SPZ100" s="43"/>
      <c r="SQA100" s="43"/>
      <c r="SQB100" s="43"/>
      <c r="SQC100" s="43"/>
      <c r="SQD100" s="43"/>
      <c r="SQE100" s="43"/>
      <c r="SQF100" s="43"/>
      <c r="SQG100" s="43"/>
      <c r="SQH100" s="43"/>
      <c r="SQI100" s="43"/>
      <c r="SQJ100" s="43"/>
      <c r="SQK100" s="43"/>
      <c r="SQL100" s="43"/>
      <c r="SQM100" s="43"/>
      <c r="SQN100" s="43"/>
      <c r="SQO100" s="43"/>
      <c r="SQP100" s="43"/>
      <c r="SQQ100" s="43"/>
      <c r="SQR100" s="43"/>
      <c r="SQS100" s="43"/>
      <c r="SQT100" s="43"/>
      <c r="SQU100" s="43"/>
      <c r="SQV100" s="43"/>
      <c r="SQW100" s="43"/>
      <c r="SQX100" s="43"/>
      <c r="SQY100" s="43"/>
      <c r="SQZ100" s="43"/>
      <c r="SRA100" s="43"/>
      <c r="SRB100" s="43"/>
      <c r="SRC100" s="43"/>
      <c r="SRD100" s="43"/>
      <c r="SRE100" s="43"/>
      <c r="SRF100" s="43"/>
      <c r="SRG100" s="43"/>
      <c r="SRH100" s="43"/>
      <c r="SRI100" s="43"/>
      <c r="SRJ100" s="43"/>
      <c r="SRK100" s="43"/>
      <c r="SRL100" s="43"/>
      <c r="SRM100" s="43"/>
      <c r="SRN100" s="43"/>
      <c r="SRO100" s="43"/>
      <c r="SRP100" s="43"/>
      <c r="SRQ100" s="43"/>
      <c r="SRR100" s="43"/>
      <c r="SRS100" s="43"/>
      <c r="SRT100" s="43"/>
      <c r="SRU100" s="43"/>
      <c r="SRV100" s="43"/>
      <c r="SRW100" s="43"/>
      <c r="SRX100" s="43"/>
      <c r="SRY100" s="43"/>
      <c r="SRZ100" s="43"/>
      <c r="SSA100" s="43"/>
      <c r="SSB100" s="43"/>
      <c r="SSC100" s="43"/>
      <c r="SSD100" s="43"/>
      <c r="SSE100" s="43"/>
      <c r="SSF100" s="43"/>
      <c r="SSG100" s="43"/>
      <c r="SSH100" s="43"/>
      <c r="SSI100" s="43"/>
      <c r="SSJ100" s="43"/>
      <c r="SSK100" s="43"/>
      <c r="SSL100" s="43"/>
      <c r="SSM100" s="43"/>
      <c r="SSN100" s="43"/>
      <c r="SSO100" s="43"/>
      <c r="SSP100" s="43"/>
      <c r="SSQ100" s="43"/>
      <c r="SSR100" s="43"/>
      <c r="SSS100" s="43"/>
      <c r="SST100" s="43"/>
      <c r="SSU100" s="43"/>
      <c r="SSV100" s="43"/>
      <c r="SSW100" s="43"/>
      <c r="SSX100" s="43"/>
      <c r="SSY100" s="43"/>
      <c r="SSZ100" s="43"/>
      <c r="STA100" s="43"/>
      <c r="STB100" s="43"/>
      <c r="STC100" s="43"/>
      <c r="STD100" s="43"/>
      <c r="STE100" s="43"/>
      <c r="STF100" s="43"/>
      <c r="STG100" s="43"/>
      <c r="STH100" s="43"/>
      <c r="STI100" s="43"/>
      <c r="STJ100" s="43"/>
      <c r="STK100" s="43"/>
      <c r="STL100" s="43"/>
      <c r="STM100" s="43"/>
      <c r="STN100" s="43"/>
      <c r="STO100" s="43"/>
      <c r="STP100" s="43"/>
      <c r="STQ100" s="43"/>
      <c r="STR100" s="43"/>
      <c r="STS100" s="43"/>
      <c r="STT100" s="43"/>
      <c r="STU100" s="43"/>
      <c r="STV100" s="43"/>
      <c r="STW100" s="43"/>
      <c r="STX100" s="43"/>
      <c r="STY100" s="43"/>
      <c r="STZ100" s="43"/>
      <c r="SUA100" s="43"/>
      <c r="SUB100" s="43"/>
      <c r="SUC100" s="43"/>
      <c r="SUD100" s="43"/>
      <c r="SUE100" s="43"/>
      <c r="SUF100" s="43"/>
      <c r="SUG100" s="43"/>
      <c r="SUH100" s="43"/>
      <c r="SUI100" s="43"/>
      <c r="SUJ100" s="43"/>
      <c r="SUK100" s="43"/>
      <c r="SUL100" s="43"/>
      <c r="SUM100" s="43"/>
      <c r="SUN100" s="43"/>
      <c r="SUO100" s="43"/>
      <c r="SUP100" s="43"/>
      <c r="SUQ100" s="43"/>
      <c r="SUR100" s="43"/>
      <c r="SUS100" s="43"/>
      <c r="SUT100" s="43"/>
      <c r="SUU100" s="43"/>
      <c r="SUV100" s="43"/>
      <c r="SUW100" s="43"/>
      <c r="SUX100" s="43"/>
      <c r="SUY100" s="43"/>
      <c r="SUZ100" s="43"/>
      <c r="SVA100" s="43"/>
      <c r="SVB100" s="43"/>
      <c r="SVC100" s="43"/>
      <c r="SVD100" s="43"/>
      <c r="SVE100" s="43"/>
      <c r="SVF100" s="43"/>
      <c r="SVG100" s="43"/>
      <c r="SVH100" s="43"/>
      <c r="SVI100" s="43"/>
      <c r="SVJ100" s="43"/>
      <c r="SVK100" s="43"/>
      <c r="SVL100" s="43"/>
      <c r="SVM100" s="43"/>
      <c r="SVN100" s="43"/>
      <c r="SVO100" s="43"/>
      <c r="SVP100" s="43"/>
      <c r="SVQ100" s="43"/>
      <c r="SVR100" s="43"/>
      <c r="SVS100" s="43"/>
      <c r="SVT100" s="43"/>
      <c r="SVU100" s="43"/>
      <c r="SVV100" s="43"/>
      <c r="SVW100" s="43"/>
      <c r="SVX100" s="43"/>
      <c r="SVY100" s="43"/>
      <c r="SVZ100" s="43"/>
      <c r="SWA100" s="43"/>
      <c r="SWB100" s="43"/>
      <c r="SWC100" s="43"/>
      <c r="SWD100" s="43"/>
      <c r="SWE100" s="43"/>
      <c r="SWF100" s="43"/>
      <c r="SWG100" s="43"/>
      <c r="SWH100" s="43"/>
      <c r="SWI100" s="43"/>
      <c r="SWJ100" s="43"/>
      <c r="SWK100" s="43"/>
      <c r="SWL100" s="43"/>
      <c r="SWN100" s="43"/>
      <c r="SWO100" s="43"/>
      <c r="SWP100" s="43"/>
      <c r="SWQ100" s="43"/>
      <c r="SWR100" s="43"/>
      <c r="SWS100" s="43"/>
      <c r="SWT100" s="43"/>
      <c r="SWU100" s="43"/>
      <c r="SWV100" s="43"/>
      <c r="SWW100" s="43"/>
      <c r="SWX100" s="43"/>
      <c r="SWY100" s="43"/>
      <c r="SWZ100" s="43"/>
      <c r="SXA100" s="43"/>
      <c r="SXB100" s="43"/>
      <c r="SXC100" s="43"/>
      <c r="SXD100" s="43"/>
      <c r="SXE100" s="43"/>
      <c r="SXF100" s="43"/>
      <c r="SXG100" s="43"/>
      <c r="SXH100" s="43"/>
      <c r="SXI100" s="43"/>
      <c r="SXJ100" s="43"/>
      <c r="SXK100" s="43"/>
      <c r="SXL100" s="43"/>
      <c r="SXM100" s="43"/>
      <c r="SXN100" s="43"/>
      <c r="SXO100" s="43"/>
      <c r="SXP100" s="43"/>
      <c r="SXQ100" s="43"/>
      <c r="SXR100" s="43"/>
      <c r="SXS100" s="43"/>
      <c r="SXT100" s="43"/>
      <c r="SXU100" s="43"/>
      <c r="SXV100" s="43"/>
      <c r="SXW100" s="43"/>
      <c r="SXX100" s="43"/>
      <c r="SXY100" s="43"/>
      <c r="SXZ100" s="43"/>
      <c r="SYA100" s="43"/>
      <c r="SYB100" s="43"/>
      <c r="SYC100" s="43"/>
      <c r="SYD100" s="43"/>
      <c r="SYE100" s="43"/>
      <c r="SYF100" s="43"/>
      <c r="SYG100" s="43"/>
      <c r="SYH100" s="43"/>
      <c r="SYI100" s="43"/>
      <c r="SYJ100" s="43"/>
      <c r="SYK100" s="43"/>
      <c r="SYL100" s="43"/>
      <c r="SYM100" s="43"/>
      <c r="SYN100" s="43"/>
      <c r="SYO100" s="43"/>
      <c r="SYP100" s="43"/>
      <c r="SYQ100" s="43"/>
      <c r="SYR100" s="43"/>
      <c r="SYS100" s="43"/>
      <c r="SYT100" s="43"/>
      <c r="SYU100" s="43"/>
      <c r="SYV100" s="43"/>
      <c r="SYW100" s="43"/>
      <c r="SYX100" s="43"/>
      <c r="SYY100" s="43"/>
      <c r="SYZ100" s="43"/>
      <c r="SZA100" s="43"/>
      <c r="SZB100" s="43"/>
      <c r="SZC100" s="43"/>
      <c r="SZD100" s="43"/>
      <c r="SZE100" s="43"/>
      <c r="SZF100" s="43"/>
      <c r="SZG100" s="43"/>
      <c r="SZH100" s="43"/>
      <c r="SZI100" s="43"/>
      <c r="SZJ100" s="43"/>
      <c r="SZK100" s="43"/>
      <c r="SZL100" s="43"/>
      <c r="SZM100" s="43"/>
      <c r="SZN100" s="43"/>
      <c r="SZO100" s="43"/>
      <c r="SZP100" s="43"/>
      <c r="SZQ100" s="43"/>
      <c r="SZR100" s="43"/>
      <c r="SZS100" s="43"/>
      <c r="SZT100" s="43"/>
      <c r="SZU100" s="43"/>
      <c r="SZV100" s="43"/>
      <c r="SZW100" s="43"/>
      <c r="SZX100" s="43"/>
      <c r="SZY100" s="43"/>
      <c r="SZZ100" s="43"/>
      <c r="TAA100" s="43"/>
      <c r="TAB100" s="43"/>
      <c r="TAC100" s="43"/>
      <c r="TAD100" s="43"/>
      <c r="TAE100" s="43"/>
      <c r="TAF100" s="43"/>
      <c r="TAG100" s="43"/>
      <c r="TAH100" s="43"/>
      <c r="TAI100" s="43"/>
      <c r="TAJ100" s="43"/>
      <c r="TAK100" s="43"/>
      <c r="TAL100" s="43"/>
      <c r="TAM100" s="43"/>
      <c r="TAN100" s="43"/>
      <c r="TAO100" s="43"/>
      <c r="TAP100" s="43"/>
      <c r="TAQ100" s="43"/>
      <c r="TAR100" s="43"/>
      <c r="TAS100" s="43"/>
      <c r="TAT100" s="43"/>
      <c r="TAU100" s="43"/>
      <c r="TAV100" s="43"/>
      <c r="TAW100" s="43"/>
      <c r="TAX100" s="43"/>
      <c r="TAY100" s="43"/>
      <c r="TAZ100" s="43"/>
      <c r="TBA100" s="43"/>
      <c r="TBB100" s="43"/>
      <c r="TBC100" s="43"/>
      <c r="TBD100" s="43"/>
      <c r="TBE100" s="43"/>
      <c r="TBF100" s="43"/>
      <c r="TBG100" s="43"/>
      <c r="TBH100" s="43"/>
      <c r="TBI100" s="43"/>
      <c r="TBJ100" s="43"/>
      <c r="TBK100" s="43"/>
      <c r="TBL100" s="43"/>
      <c r="TBM100" s="43"/>
      <c r="TBN100" s="43"/>
      <c r="TBO100" s="43"/>
      <c r="TBP100" s="43"/>
      <c r="TBQ100" s="43"/>
      <c r="TBR100" s="43"/>
      <c r="TBS100" s="43"/>
      <c r="TBT100" s="43"/>
      <c r="TBU100" s="43"/>
      <c r="TBV100" s="43"/>
      <c r="TBW100" s="43"/>
      <c r="TBX100" s="43"/>
      <c r="TBY100" s="43"/>
      <c r="TBZ100" s="43"/>
      <c r="TCA100" s="43"/>
      <c r="TCB100" s="43"/>
      <c r="TCC100" s="43"/>
      <c r="TCD100" s="43"/>
      <c r="TCE100" s="43"/>
      <c r="TCF100" s="43"/>
      <c r="TCG100" s="43"/>
      <c r="TCH100" s="43"/>
      <c r="TCI100" s="43"/>
      <c r="TCJ100" s="43"/>
      <c r="TCK100" s="43"/>
      <c r="TCL100" s="43"/>
      <c r="TCM100" s="43"/>
      <c r="TCN100" s="43"/>
      <c r="TCO100" s="43"/>
      <c r="TCP100" s="43"/>
      <c r="TCQ100" s="43"/>
      <c r="TCR100" s="43"/>
      <c r="TCS100" s="43"/>
      <c r="TCT100" s="43"/>
      <c r="TCU100" s="43"/>
      <c r="TCV100" s="43"/>
      <c r="TCW100" s="43"/>
      <c r="TCX100" s="43"/>
      <c r="TCY100" s="43"/>
      <c r="TCZ100" s="43"/>
      <c r="TDA100" s="43"/>
      <c r="TDB100" s="43"/>
      <c r="TDC100" s="43"/>
      <c r="TDD100" s="43"/>
      <c r="TDE100" s="43"/>
      <c r="TDF100" s="43"/>
      <c r="TDG100" s="43"/>
      <c r="TDH100" s="43"/>
      <c r="TDI100" s="43"/>
      <c r="TDJ100" s="43"/>
      <c r="TDK100" s="43"/>
      <c r="TDL100" s="43"/>
      <c r="TDM100" s="43"/>
      <c r="TDN100" s="43"/>
      <c r="TDO100" s="43"/>
      <c r="TDP100" s="43"/>
      <c r="TDQ100" s="43"/>
      <c r="TDR100" s="43"/>
      <c r="TDS100" s="43"/>
      <c r="TDT100" s="43"/>
      <c r="TDU100" s="43"/>
      <c r="TDV100" s="43"/>
      <c r="TDW100" s="43"/>
      <c r="TDX100" s="43"/>
      <c r="TDY100" s="43"/>
      <c r="TDZ100" s="43"/>
      <c r="TEA100" s="43"/>
      <c r="TEB100" s="43"/>
      <c r="TEC100" s="43"/>
      <c r="TED100" s="43"/>
      <c r="TEE100" s="43"/>
      <c r="TEF100" s="43"/>
      <c r="TEG100" s="43"/>
      <c r="TEH100" s="43"/>
      <c r="TEI100" s="43"/>
      <c r="TEJ100" s="43"/>
      <c r="TEK100" s="43"/>
      <c r="TEL100" s="43"/>
      <c r="TEM100" s="43"/>
      <c r="TEN100" s="43"/>
      <c r="TEO100" s="43"/>
      <c r="TEP100" s="43"/>
      <c r="TEQ100" s="43"/>
      <c r="TER100" s="43"/>
      <c r="TES100" s="43"/>
      <c r="TET100" s="43"/>
      <c r="TEU100" s="43"/>
      <c r="TEV100" s="43"/>
      <c r="TEW100" s="43"/>
      <c r="TEX100" s="43"/>
      <c r="TEY100" s="43"/>
      <c r="TEZ100" s="43"/>
      <c r="TFA100" s="43"/>
      <c r="TFB100" s="43"/>
      <c r="TFC100" s="43"/>
      <c r="TFD100" s="43"/>
      <c r="TFE100" s="43"/>
      <c r="TFF100" s="43"/>
      <c r="TFG100" s="43"/>
      <c r="TFH100" s="43"/>
      <c r="TFI100" s="43"/>
      <c r="TFJ100" s="43"/>
      <c r="TFK100" s="43"/>
      <c r="TFL100" s="43"/>
      <c r="TFM100" s="43"/>
      <c r="TFN100" s="43"/>
      <c r="TFO100" s="43"/>
      <c r="TFP100" s="43"/>
      <c r="TFQ100" s="43"/>
      <c r="TFR100" s="43"/>
      <c r="TFS100" s="43"/>
      <c r="TFT100" s="43"/>
      <c r="TFU100" s="43"/>
      <c r="TFV100" s="43"/>
      <c r="TFW100" s="43"/>
      <c r="TFX100" s="43"/>
      <c r="TFY100" s="43"/>
      <c r="TFZ100" s="43"/>
      <c r="TGA100" s="43"/>
      <c r="TGB100" s="43"/>
      <c r="TGC100" s="43"/>
      <c r="TGD100" s="43"/>
      <c r="TGE100" s="43"/>
      <c r="TGF100" s="43"/>
      <c r="TGG100" s="43"/>
      <c r="TGH100" s="43"/>
      <c r="TGJ100" s="43"/>
      <c r="TGK100" s="43"/>
      <c r="TGL100" s="43"/>
      <c r="TGM100" s="43"/>
      <c r="TGN100" s="43"/>
      <c r="TGO100" s="43"/>
      <c r="TGP100" s="43"/>
      <c r="TGQ100" s="43"/>
      <c r="TGR100" s="43"/>
      <c r="TGS100" s="43"/>
      <c r="TGT100" s="43"/>
      <c r="TGU100" s="43"/>
      <c r="TGV100" s="43"/>
      <c r="TGW100" s="43"/>
      <c r="TGX100" s="43"/>
      <c r="TGY100" s="43"/>
      <c r="TGZ100" s="43"/>
      <c r="THA100" s="43"/>
      <c r="THB100" s="43"/>
      <c r="THC100" s="43"/>
      <c r="THD100" s="43"/>
      <c r="THE100" s="43"/>
      <c r="THF100" s="43"/>
      <c r="THG100" s="43"/>
      <c r="THH100" s="43"/>
      <c r="THI100" s="43"/>
      <c r="THJ100" s="43"/>
      <c r="THK100" s="43"/>
      <c r="THL100" s="43"/>
      <c r="THM100" s="43"/>
      <c r="THN100" s="43"/>
      <c r="THO100" s="43"/>
      <c r="THP100" s="43"/>
      <c r="THQ100" s="43"/>
      <c r="THR100" s="43"/>
      <c r="THS100" s="43"/>
      <c r="THT100" s="43"/>
      <c r="THU100" s="43"/>
      <c r="THV100" s="43"/>
      <c r="THW100" s="43"/>
      <c r="THX100" s="43"/>
      <c r="THY100" s="43"/>
      <c r="THZ100" s="43"/>
      <c r="TIA100" s="43"/>
      <c r="TIB100" s="43"/>
      <c r="TIC100" s="43"/>
      <c r="TID100" s="43"/>
      <c r="TIE100" s="43"/>
      <c r="TIF100" s="43"/>
      <c r="TIG100" s="43"/>
      <c r="TIH100" s="43"/>
      <c r="TII100" s="43"/>
      <c r="TIJ100" s="43"/>
      <c r="TIK100" s="43"/>
      <c r="TIL100" s="43"/>
      <c r="TIM100" s="43"/>
      <c r="TIN100" s="43"/>
      <c r="TIO100" s="43"/>
      <c r="TIP100" s="43"/>
      <c r="TIQ100" s="43"/>
      <c r="TIR100" s="43"/>
      <c r="TIS100" s="43"/>
      <c r="TIT100" s="43"/>
      <c r="TIU100" s="43"/>
      <c r="TIV100" s="43"/>
      <c r="TIW100" s="43"/>
      <c r="TIX100" s="43"/>
      <c r="TIY100" s="43"/>
      <c r="TIZ100" s="43"/>
      <c r="TJA100" s="43"/>
      <c r="TJB100" s="43"/>
      <c r="TJC100" s="43"/>
      <c r="TJD100" s="43"/>
      <c r="TJE100" s="43"/>
      <c r="TJF100" s="43"/>
      <c r="TJG100" s="43"/>
      <c r="TJH100" s="43"/>
      <c r="TJI100" s="43"/>
      <c r="TJJ100" s="43"/>
      <c r="TJK100" s="43"/>
      <c r="TJL100" s="43"/>
      <c r="TJM100" s="43"/>
      <c r="TJN100" s="43"/>
      <c r="TJO100" s="43"/>
      <c r="TJP100" s="43"/>
      <c r="TJQ100" s="43"/>
      <c r="TJR100" s="43"/>
      <c r="TJS100" s="43"/>
      <c r="TJT100" s="43"/>
      <c r="TJU100" s="43"/>
      <c r="TJV100" s="43"/>
      <c r="TJW100" s="43"/>
      <c r="TJX100" s="43"/>
      <c r="TJY100" s="43"/>
      <c r="TJZ100" s="43"/>
      <c r="TKA100" s="43"/>
      <c r="TKB100" s="43"/>
      <c r="TKC100" s="43"/>
      <c r="TKD100" s="43"/>
      <c r="TKE100" s="43"/>
      <c r="TKF100" s="43"/>
      <c r="TKG100" s="43"/>
      <c r="TKH100" s="43"/>
      <c r="TKI100" s="43"/>
      <c r="TKJ100" s="43"/>
      <c r="TKK100" s="43"/>
      <c r="TKL100" s="43"/>
      <c r="TKM100" s="43"/>
      <c r="TKN100" s="43"/>
      <c r="TKO100" s="43"/>
      <c r="TKP100" s="43"/>
      <c r="TKQ100" s="43"/>
      <c r="TKR100" s="43"/>
      <c r="TKS100" s="43"/>
      <c r="TKT100" s="43"/>
      <c r="TKU100" s="43"/>
      <c r="TKV100" s="43"/>
      <c r="TKW100" s="43"/>
      <c r="TKX100" s="43"/>
      <c r="TKY100" s="43"/>
      <c r="TKZ100" s="43"/>
      <c r="TLA100" s="43"/>
      <c r="TLB100" s="43"/>
      <c r="TLC100" s="43"/>
      <c r="TLD100" s="43"/>
      <c r="TLE100" s="43"/>
      <c r="TLF100" s="43"/>
      <c r="TLG100" s="43"/>
      <c r="TLH100" s="43"/>
      <c r="TLI100" s="43"/>
      <c r="TLJ100" s="43"/>
      <c r="TLK100" s="43"/>
      <c r="TLL100" s="43"/>
      <c r="TLM100" s="43"/>
      <c r="TLN100" s="43"/>
      <c r="TLO100" s="43"/>
      <c r="TLP100" s="43"/>
      <c r="TLQ100" s="43"/>
      <c r="TLR100" s="43"/>
      <c r="TLS100" s="43"/>
      <c r="TLT100" s="43"/>
      <c r="TLU100" s="43"/>
      <c r="TLV100" s="43"/>
      <c r="TLW100" s="43"/>
      <c r="TLX100" s="43"/>
      <c r="TLY100" s="43"/>
      <c r="TLZ100" s="43"/>
      <c r="TMA100" s="43"/>
      <c r="TMB100" s="43"/>
      <c r="TMC100" s="43"/>
      <c r="TMD100" s="43"/>
      <c r="TME100" s="43"/>
      <c r="TMF100" s="43"/>
      <c r="TMG100" s="43"/>
      <c r="TMH100" s="43"/>
      <c r="TMI100" s="43"/>
      <c r="TMJ100" s="43"/>
      <c r="TMK100" s="43"/>
      <c r="TML100" s="43"/>
      <c r="TMM100" s="43"/>
      <c r="TMN100" s="43"/>
      <c r="TMO100" s="43"/>
      <c r="TMP100" s="43"/>
      <c r="TMQ100" s="43"/>
      <c r="TMR100" s="43"/>
      <c r="TMS100" s="43"/>
      <c r="TMT100" s="43"/>
      <c r="TMU100" s="43"/>
      <c r="TMV100" s="43"/>
      <c r="TMW100" s="43"/>
      <c r="TMX100" s="43"/>
      <c r="TMY100" s="43"/>
      <c r="TMZ100" s="43"/>
      <c r="TNA100" s="43"/>
      <c r="TNB100" s="43"/>
      <c r="TNC100" s="43"/>
      <c r="TND100" s="43"/>
      <c r="TNE100" s="43"/>
      <c r="TNF100" s="43"/>
      <c r="TNG100" s="43"/>
      <c r="TNH100" s="43"/>
      <c r="TNI100" s="43"/>
      <c r="TNJ100" s="43"/>
      <c r="TNK100" s="43"/>
      <c r="TNL100" s="43"/>
      <c r="TNM100" s="43"/>
      <c r="TNN100" s="43"/>
      <c r="TNO100" s="43"/>
      <c r="TNP100" s="43"/>
      <c r="TNQ100" s="43"/>
      <c r="TNR100" s="43"/>
      <c r="TNS100" s="43"/>
      <c r="TNT100" s="43"/>
      <c r="TNU100" s="43"/>
      <c r="TNV100" s="43"/>
      <c r="TNW100" s="43"/>
      <c r="TNX100" s="43"/>
      <c r="TNY100" s="43"/>
      <c r="TNZ100" s="43"/>
      <c r="TOA100" s="43"/>
      <c r="TOB100" s="43"/>
      <c r="TOC100" s="43"/>
      <c r="TOD100" s="43"/>
      <c r="TOE100" s="43"/>
      <c r="TOF100" s="43"/>
      <c r="TOG100" s="43"/>
      <c r="TOH100" s="43"/>
      <c r="TOI100" s="43"/>
      <c r="TOJ100" s="43"/>
      <c r="TOK100" s="43"/>
      <c r="TOL100" s="43"/>
      <c r="TOM100" s="43"/>
      <c r="TON100" s="43"/>
      <c r="TOO100" s="43"/>
      <c r="TOP100" s="43"/>
      <c r="TOQ100" s="43"/>
      <c r="TOR100" s="43"/>
      <c r="TOS100" s="43"/>
      <c r="TOT100" s="43"/>
      <c r="TOU100" s="43"/>
      <c r="TOV100" s="43"/>
      <c r="TOW100" s="43"/>
      <c r="TOX100" s="43"/>
      <c r="TOY100" s="43"/>
      <c r="TOZ100" s="43"/>
      <c r="TPA100" s="43"/>
      <c r="TPB100" s="43"/>
      <c r="TPC100" s="43"/>
      <c r="TPD100" s="43"/>
      <c r="TPE100" s="43"/>
      <c r="TPF100" s="43"/>
      <c r="TPG100" s="43"/>
      <c r="TPH100" s="43"/>
      <c r="TPI100" s="43"/>
      <c r="TPJ100" s="43"/>
      <c r="TPK100" s="43"/>
      <c r="TPL100" s="43"/>
      <c r="TPM100" s="43"/>
      <c r="TPN100" s="43"/>
      <c r="TPO100" s="43"/>
      <c r="TPP100" s="43"/>
      <c r="TPQ100" s="43"/>
      <c r="TPR100" s="43"/>
      <c r="TPS100" s="43"/>
      <c r="TPT100" s="43"/>
      <c r="TPU100" s="43"/>
      <c r="TPV100" s="43"/>
      <c r="TPW100" s="43"/>
      <c r="TPX100" s="43"/>
      <c r="TPY100" s="43"/>
      <c r="TPZ100" s="43"/>
      <c r="TQA100" s="43"/>
      <c r="TQB100" s="43"/>
      <c r="TQC100" s="43"/>
      <c r="TQD100" s="43"/>
      <c r="TQF100" s="43"/>
      <c r="TQG100" s="43"/>
      <c r="TQH100" s="43"/>
      <c r="TQI100" s="43"/>
      <c r="TQJ100" s="43"/>
      <c r="TQK100" s="43"/>
      <c r="TQL100" s="43"/>
      <c r="TQM100" s="43"/>
      <c r="TQN100" s="43"/>
      <c r="TQO100" s="43"/>
      <c r="TQP100" s="43"/>
      <c r="TQQ100" s="43"/>
      <c r="TQR100" s="43"/>
      <c r="TQS100" s="43"/>
      <c r="TQT100" s="43"/>
      <c r="TQU100" s="43"/>
      <c r="TQV100" s="43"/>
      <c r="TQW100" s="43"/>
      <c r="TQX100" s="43"/>
      <c r="TQY100" s="43"/>
      <c r="TQZ100" s="43"/>
      <c r="TRA100" s="43"/>
      <c r="TRB100" s="43"/>
      <c r="TRC100" s="43"/>
      <c r="TRD100" s="43"/>
      <c r="TRE100" s="43"/>
      <c r="TRF100" s="43"/>
      <c r="TRG100" s="43"/>
      <c r="TRH100" s="43"/>
      <c r="TRI100" s="43"/>
      <c r="TRJ100" s="43"/>
      <c r="TRK100" s="43"/>
      <c r="TRL100" s="43"/>
      <c r="TRM100" s="43"/>
      <c r="TRN100" s="43"/>
      <c r="TRO100" s="43"/>
      <c r="TRP100" s="43"/>
      <c r="TRQ100" s="43"/>
      <c r="TRR100" s="43"/>
      <c r="TRS100" s="43"/>
      <c r="TRT100" s="43"/>
      <c r="TRU100" s="43"/>
      <c r="TRV100" s="43"/>
      <c r="TRW100" s="43"/>
      <c r="TRX100" s="43"/>
      <c r="TRY100" s="43"/>
      <c r="TRZ100" s="43"/>
      <c r="TSA100" s="43"/>
      <c r="TSB100" s="43"/>
      <c r="TSC100" s="43"/>
      <c r="TSD100" s="43"/>
      <c r="TSE100" s="43"/>
      <c r="TSF100" s="43"/>
      <c r="TSG100" s="43"/>
      <c r="TSH100" s="43"/>
      <c r="TSI100" s="43"/>
      <c r="TSJ100" s="43"/>
      <c r="TSK100" s="43"/>
      <c r="TSL100" s="43"/>
      <c r="TSM100" s="43"/>
      <c r="TSN100" s="43"/>
      <c r="TSO100" s="43"/>
      <c r="TSP100" s="43"/>
      <c r="TSQ100" s="43"/>
      <c r="TSR100" s="43"/>
      <c r="TSS100" s="43"/>
      <c r="TST100" s="43"/>
      <c r="TSU100" s="43"/>
      <c r="TSV100" s="43"/>
      <c r="TSW100" s="43"/>
      <c r="TSX100" s="43"/>
      <c r="TSY100" s="43"/>
      <c r="TSZ100" s="43"/>
      <c r="TTA100" s="43"/>
      <c r="TTB100" s="43"/>
      <c r="TTC100" s="43"/>
      <c r="TTD100" s="43"/>
      <c r="TTE100" s="43"/>
      <c r="TTF100" s="43"/>
      <c r="TTG100" s="43"/>
      <c r="TTH100" s="43"/>
      <c r="TTI100" s="43"/>
      <c r="TTJ100" s="43"/>
      <c r="TTK100" s="43"/>
      <c r="TTL100" s="43"/>
      <c r="TTM100" s="43"/>
      <c r="TTN100" s="43"/>
      <c r="TTO100" s="43"/>
      <c r="TTP100" s="43"/>
      <c r="TTQ100" s="43"/>
      <c r="TTR100" s="43"/>
      <c r="TTS100" s="43"/>
      <c r="TTT100" s="43"/>
      <c r="TTU100" s="43"/>
      <c r="TTV100" s="43"/>
      <c r="TTW100" s="43"/>
      <c r="TTX100" s="43"/>
      <c r="TTY100" s="43"/>
      <c r="TTZ100" s="43"/>
      <c r="TUA100" s="43"/>
      <c r="TUB100" s="43"/>
      <c r="TUC100" s="43"/>
      <c r="TUD100" s="43"/>
      <c r="TUE100" s="43"/>
      <c r="TUF100" s="43"/>
      <c r="TUG100" s="43"/>
      <c r="TUH100" s="43"/>
      <c r="TUI100" s="43"/>
      <c r="TUJ100" s="43"/>
      <c r="TUK100" s="43"/>
      <c r="TUL100" s="43"/>
      <c r="TUM100" s="43"/>
      <c r="TUN100" s="43"/>
      <c r="TUO100" s="43"/>
      <c r="TUP100" s="43"/>
      <c r="TUQ100" s="43"/>
      <c r="TUR100" s="43"/>
      <c r="TUS100" s="43"/>
      <c r="TUT100" s="43"/>
      <c r="TUU100" s="43"/>
      <c r="TUV100" s="43"/>
      <c r="TUW100" s="43"/>
      <c r="TUX100" s="43"/>
      <c r="TUY100" s="43"/>
      <c r="TUZ100" s="43"/>
      <c r="TVA100" s="43"/>
      <c r="TVB100" s="43"/>
      <c r="TVC100" s="43"/>
      <c r="TVD100" s="43"/>
      <c r="TVE100" s="43"/>
      <c r="TVF100" s="43"/>
      <c r="TVG100" s="43"/>
      <c r="TVH100" s="43"/>
      <c r="TVI100" s="43"/>
      <c r="TVJ100" s="43"/>
      <c r="TVK100" s="43"/>
      <c r="TVL100" s="43"/>
      <c r="TVM100" s="43"/>
      <c r="TVN100" s="43"/>
      <c r="TVO100" s="43"/>
      <c r="TVP100" s="43"/>
      <c r="TVQ100" s="43"/>
      <c r="TVR100" s="43"/>
      <c r="TVS100" s="43"/>
      <c r="TVT100" s="43"/>
      <c r="TVU100" s="43"/>
      <c r="TVV100" s="43"/>
      <c r="TVW100" s="43"/>
      <c r="TVX100" s="43"/>
      <c r="TVY100" s="43"/>
      <c r="TVZ100" s="43"/>
      <c r="TWA100" s="43"/>
      <c r="TWB100" s="43"/>
      <c r="TWC100" s="43"/>
      <c r="TWD100" s="43"/>
      <c r="TWE100" s="43"/>
      <c r="TWF100" s="43"/>
      <c r="TWG100" s="43"/>
      <c r="TWH100" s="43"/>
      <c r="TWI100" s="43"/>
      <c r="TWJ100" s="43"/>
      <c r="TWK100" s="43"/>
      <c r="TWL100" s="43"/>
      <c r="TWM100" s="43"/>
      <c r="TWN100" s="43"/>
      <c r="TWO100" s="43"/>
      <c r="TWP100" s="43"/>
      <c r="TWQ100" s="43"/>
      <c r="TWR100" s="43"/>
      <c r="TWS100" s="43"/>
      <c r="TWT100" s="43"/>
      <c r="TWU100" s="43"/>
      <c r="TWV100" s="43"/>
      <c r="TWW100" s="43"/>
      <c r="TWX100" s="43"/>
      <c r="TWY100" s="43"/>
      <c r="TWZ100" s="43"/>
      <c r="TXA100" s="43"/>
      <c r="TXB100" s="43"/>
      <c r="TXC100" s="43"/>
      <c r="TXD100" s="43"/>
      <c r="TXE100" s="43"/>
      <c r="TXF100" s="43"/>
      <c r="TXG100" s="43"/>
      <c r="TXH100" s="43"/>
      <c r="TXI100" s="43"/>
      <c r="TXJ100" s="43"/>
      <c r="TXK100" s="43"/>
      <c r="TXL100" s="43"/>
      <c r="TXM100" s="43"/>
      <c r="TXN100" s="43"/>
      <c r="TXO100" s="43"/>
      <c r="TXP100" s="43"/>
      <c r="TXQ100" s="43"/>
      <c r="TXR100" s="43"/>
      <c r="TXS100" s="43"/>
      <c r="TXT100" s="43"/>
      <c r="TXU100" s="43"/>
      <c r="TXV100" s="43"/>
      <c r="TXW100" s="43"/>
      <c r="TXX100" s="43"/>
      <c r="TXY100" s="43"/>
      <c r="TXZ100" s="43"/>
      <c r="TYA100" s="43"/>
      <c r="TYB100" s="43"/>
      <c r="TYC100" s="43"/>
      <c r="TYD100" s="43"/>
      <c r="TYE100" s="43"/>
      <c r="TYF100" s="43"/>
      <c r="TYG100" s="43"/>
      <c r="TYH100" s="43"/>
      <c r="TYI100" s="43"/>
      <c r="TYJ100" s="43"/>
      <c r="TYK100" s="43"/>
      <c r="TYL100" s="43"/>
      <c r="TYM100" s="43"/>
      <c r="TYN100" s="43"/>
      <c r="TYO100" s="43"/>
      <c r="TYP100" s="43"/>
      <c r="TYQ100" s="43"/>
      <c r="TYR100" s="43"/>
      <c r="TYS100" s="43"/>
      <c r="TYT100" s="43"/>
      <c r="TYU100" s="43"/>
      <c r="TYV100" s="43"/>
      <c r="TYW100" s="43"/>
      <c r="TYX100" s="43"/>
      <c r="TYY100" s="43"/>
      <c r="TYZ100" s="43"/>
      <c r="TZA100" s="43"/>
      <c r="TZB100" s="43"/>
      <c r="TZC100" s="43"/>
      <c r="TZD100" s="43"/>
      <c r="TZE100" s="43"/>
      <c r="TZF100" s="43"/>
      <c r="TZG100" s="43"/>
      <c r="TZH100" s="43"/>
      <c r="TZI100" s="43"/>
      <c r="TZJ100" s="43"/>
      <c r="TZK100" s="43"/>
      <c r="TZL100" s="43"/>
      <c r="TZM100" s="43"/>
      <c r="TZN100" s="43"/>
      <c r="TZO100" s="43"/>
      <c r="TZP100" s="43"/>
      <c r="TZQ100" s="43"/>
      <c r="TZR100" s="43"/>
      <c r="TZS100" s="43"/>
      <c r="TZT100" s="43"/>
      <c r="TZU100" s="43"/>
      <c r="TZV100" s="43"/>
      <c r="TZW100" s="43"/>
      <c r="TZX100" s="43"/>
      <c r="TZY100" s="43"/>
      <c r="TZZ100" s="43"/>
      <c r="UAB100" s="43"/>
      <c r="UAC100" s="43"/>
      <c r="UAD100" s="43"/>
      <c r="UAE100" s="43"/>
      <c r="UAF100" s="43"/>
      <c r="UAG100" s="43"/>
      <c r="UAH100" s="43"/>
      <c r="UAI100" s="43"/>
      <c r="UAJ100" s="43"/>
      <c r="UAK100" s="43"/>
      <c r="UAL100" s="43"/>
      <c r="UAM100" s="43"/>
      <c r="UAN100" s="43"/>
      <c r="UAO100" s="43"/>
      <c r="UAP100" s="43"/>
      <c r="UAQ100" s="43"/>
      <c r="UAR100" s="43"/>
      <c r="UAS100" s="43"/>
      <c r="UAT100" s="43"/>
      <c r="UAU100" s="43"/>
      <c r="UAV100" s="43"/>
      <c r="UAW100" s="43"/>
      <c r="UAX100" s="43"/>
      <c r="UAY100" s="43"/>
      <c r="UAZ100" s="43"/>
      <c r="UBA100" s="43"/>
      <c r="UBB100" s="43"/>
      <c r="UBC100" s="43"/>
      <c r="UBD100" s="43"/>
      <c r="UBE100" s="43"/>
      <c r="UBF100" s="43"/>
      <c r="UBG100" s="43"/>
      <c r="UBH100" s="43"/>
      <c r="UBI100" s="43"/>
      <c r="UBJ100" s="43"/>
      <c r="UBK100" s="43"/>
      <c r="UBL100" s="43"/>
      <c r="UBM100" s="43"/>
      <c r="UBN100" s="43"/>
      <c r="UBO100" s="43"/>
      <c r="UBP100" s="43"/>
      <c r="UBQ100" s="43"/>
      <c r="UBR100" s="43"/>
      <c r="UBS100" s="43"/>
      <c r="UBT100" s="43"/>
      <c r="UBU100" s="43"/>
      <c r="UBV100" s="43"/>
      <c r="UBW100" s="43"/>
      <c r="UBX100" s="43"/>
      <c r="UBY100" s="43"/>
      <c r="UBZ100" s="43"/>
      <c r="UCA100" s="43"/>
      <c r="UCB100" s="43"/>
      <c r="UCC100" s="43"/>
      <c r="UCD100" s="43"/>
      <c r="UCE100" s="43"/>
      <c r="UCF100" s="43"/>
      <c r="UCG100" s="43"/>
      <c r="UCH100" s="43"/>
      <c r="UCI100" s="43"/>
      <c r="UCJ100" s="43"/>
      <c r="UCK100" s="43"/>
      <c r="UCL100" s="43"/>
      <c r="UCM100" s="43"/>
      <c r="UCN100" s="43"/>
      <c r="UCO100" s="43"/>
      <c r="UCP100" s="43"/>
      <c r="UCQ100" s="43"/>
      <c r="UCR100" s="43"/>
      <c r="UCS100" s="43"/>
      <c r="UCT100" s="43"/>
      <c r="UCU100" s="43"/>
      <c r="UCV100" s="43"/>
      <c r="UCW100" s="43"/>
      <c r="UCX100" s="43"/>
      <c r="UCY100" s="43"/>
      <c r="UCZ100" s="43"/>
      <c r="UDA100" s="43"/>
      <c r="UDB100" s="43"/>
      <c r="UDC100" s="43"/>
      <c r="UDD100" s="43"/>
      <c r="UDE100" s="43"/>
      <c r="UDF100" s="43"/>
      <c r="UDG100" s="43"/>
      <c r="UDH100" s="43"/>
      <c r="UDI100" s="43"/>
      <c r="UDJ100" s="43"/>
      <c r="UDK100" s="43"/>
      <c r="UDL100" s="43"/>
      <c r="UDM100" s="43"/>
      <c r="UDN100" s="43"/>
      <c r="UDO100" s="43"/>
      <c r="UDP100" s="43"/>
      <c r="UDQ100" s="43"/>
      <c r="UDR100" s="43"/>
      <c r="UDS100" s="43"/>
      <c r="UDT100" s="43"/>
      <c r="UDU100" s="43"/>
      <c r="UDV100" s="43"/>
      <c r="UDW100" s="43"/>
      <c r="UDX100" s="43"/>
      <c r="UDY100" s="43"/>
      <c r="UDZ100" s="43"/>
      <c r="UEA100" s="43"/>
      <c r="UEB100" s="43"/>
      <c r="UEC100" s="43"/>
      <c r="UED100" s="43"/>
      <c r="UEE100" s="43"/>
      <c r="UEF100" s="43"/>
      <c r="UEG100" s="43"/>
      <c r="UEH100" s="43"/>
      <c r="UEI100" s="43"/>
      <c r="UEJ100" s="43"/>
      <c r="UEK100" s="43"/>
      <c r="UEL100" s="43"/>
      <c r="UEM100" s="43"/>
      <c r="UEN100" s="43"/>
      <c r="UEO100" s="43"/>
      <c r="UEP100" s="43"/>
      <c r="UEQ100" s="43"/>
      <c r="UER100" s="43"/>
      <c r="UES100" s="43"/>
      <c r="UET100" s="43"/>
      <c r="UEU100" s="43"/>
      <c r="UEV100" s="43"/>
      <c r="UEW100" s="43"/>
      <c r="UEX100" s="43"/>
      <c r="UEY100" s="43"/>
      <c r="UEZ100" s="43"/>
      <c r="UFA100" s="43"/>
      <c r="UFB100" s="43"/>
      <c r="UFC100" s="43"/>
      <c r="UFD100" s="43"/>
      <c r="UFE100" s="43"/>
      <c r="UFF100" s="43"/>
      <c r="UFG100" s="43"/>
      <c r="UFH100" s="43"/>
      <c r="UFI100" s="43"/>
      <c r="UFJ100" s="43"/>
      <c r="UFK100" s="43"/>
      <c r="UFL100" s="43"/>
      <c r="UFM100" s="43"/>
      <c r="UFN100" s="43"/>
      <c r="UFO100" s="43"/>
      <c r="UFP100" s="43"/>
      <c r="UFQ100" s="43"/>
      <c r="UFR100" s="43"/>
      <c r="UFS100" s="43"/>
      <c r="UFT100" s="43"/>
      <c r="UFU100" s="43"/>
      <c r="UFV100" s="43"/>
      <c r="UFW100" s="43"/>
      <c r="UFX100" s="43"/>
      <c r="UFY100" s="43"/>
      <c r="UFZ100" s="43"/>
      <c r="UGA100" s="43"/>
      <c r="UGB100" s="43"/>
      <c r="UGC100" s="43"/>
      <c r="UGD100" s="43"/>
      <c r="UGE100" s="43"/>
      <c r="UGF100" s="43"/>
      <c r="UGG100" s="43"/>
      <c r="UGH100" s="43"/>
      <c r="UGI100" s="43"/>
      <c r="UGJ100" s="43"/>
      <c r="UGK100" s="43"/>
      <c r="UGL100" s="43"/>
      <c r="UGM100" s="43"/>
      <c r="UGN100" s="43"/>
      <c r="UGO100" s="43"/>
      <c r="UGP100" s="43"/>
      <c r="UGQ100" s="43"/>
      <c r="UGR100" s="43"/>
      <c r="UGS100" s="43"/>
      <c r="UGT100" s="43"/>
      <c r="UGU100" s="43"/>
      <c r="UGV100" s="43"/>
      <c r="UGW100" s="43"/>
      <c r="UGX100" s="43"/>
      <c r="UGY100" s="43"/>
      <c r="UGZ100" s="43"/>
      <c r="UHA100" s="43"/>
      <c r="UHB100" s="43"/>
      <c r="UHC100" s="43"/>
      <c r="UHD100" s="43"/>
      <c r="UHE100" s="43"/>
      <c r="UHF100" s="43"/>
      <c r="UHG100" s="43"/>
      <c r="UHH100" s="43"/>
      <c r="UHI100" s="43"/>
      <c r="UHJ100" s="43"/>
      <c r="UHK100" s="43"/>
      <c r="UHL100" s="43"/>
      <c r="UHM100" s="43"/>
      <c r="UHN100" s="43"/>
      <c r="UHO100" s="43"/>
      <c r="UHP100" s="43"/>
      <c r="UHQ100" s="43"/>
      <c r="UHR100" s="43"/>
      <c r="UHS100" s="43"/>
      <c r="UHT100" s="43"/>
      <c r="UHU100" s="43"/>
      <c r="UHV100" s="43"/>
      <c r="UHW100" s="43"/>
      <c r="UHX100" s="43"/>
      <c r="UHY100" s="43"/>
      <c r="UHZ100" s="43"/>
      <c r="UIA100" s="43"/>
      <c r="UIB100" s="43"/>
      <c r="UIC100" s="43"/>
      <c r="UID100" s="43"/>
      <c r="UIE100" s="43"/>
      <c r="UIF100" s="43"/>
      <c r="UIG100" s="43"/>
      <c r="UIH100" s="43"/>
      <c r="UII100" s="43"/>
      <c r="UIJ100" s="43"/>
      <c r="UIK100" s="43"/>
      <c r="UIL100" s="43"/>
      <c r="UIM100" s="43"/>
      <c r="UIN100" s="43"/>
      <c r="UIO100" s="43"/>
      <c r="UIP100" s="43"/>
      <c r="UIQ100" s="43"/>
      <c r="UIR100" s="43"/>
      <c r="UIS100" s="43"/>
      <c r="UIT100" s="43"/>
      <c r="UIU100" s="43"/>
      <c r="UIV100" s="43"/>
      <c r="UIW100" s="43"/>
      <c r="UIX100" s="43"/>
      <c r="UIY100" s="43"/>
      <c r="UIZ100" s="43"/>
      <c r="UJA100" s="43"/>
      <c r="UJB100" s="43"/>
      <c r="UJC100" s="43"/>
      <c r="UJD100" s="43"/>
      <c r="UJE100" s="43"/>
      <c r="UJF100" s="43"/>
      <c r="UJG100" s="43"/>
      <c r="UJH100" s="43"/>
      <c r="UJI100" s="43"/>
      <c r="UJJ100" s="43"/>
      <c r="UJK100" s="43"/>
      <c r="UJL100" s="43"/>
      <c r="UJM100" s="43"/>
      <c r="UJN100" s="43"/>
      <c r="UJO100" s="43"/>
      <c r="UJP100" s="43"/>
      <c r="UJQ100" s="43"/>
      <c r="UJR100" s="43"/>
      <c r="UJS100" s="43"/>
      <c r="UJT100" s="43"/>
      <c r="UJU100" s="43"/>
      <c r="UJV100" s="43"/>
      <c r="UJX100" s="43"/>
      <c r="UJY100" s="43"/>
      <c r="UJZ100" s="43"/>
      <c r="UKA100" s="43"/>
      <c r="UKB100" s="43"/>
      <c r="UKC100" s="43"/>
      <c r="UKD100" s="43"/>
      <c r="UKE100" s="43"/>
      <c r="UKF100" s="43"/>
      <c r="UKG100" s="43"/>
      <c r="UKH100" s="43"/>
      <c r="UKI100" s="43"/>
      <c r="UKJ100" s="43"/>
      <c r="UKK100" s="43"/>
      <c r="UKL100" s="43"/>
      <c r="UKM100" s="43"/>
      <c r="UKN100" s="43"/>
      <c r="UKO100" s="43"/>
      <c r="UKP100" s="43"/>
      <c r="UKQ100" s="43"/>
      <c r="UKR100" s="43"/>
      <c r="UKS100" s="43"/>
      <c r="UKT100" s="43"/>
      <c r="UKU100" s="43"/>
      <c r="UKV100" s="43"/>
      <c r="UKW100" s="43"/>
      <c r="UKX100" s="43"/>
      <c r="UKY100" s="43"/>
      <c r="UKZ100" s="43"/>
      <c r="ULA100" s="43"/>
      <c r="ULB100" s="43"/>
      <c r="ULC100" s="43"/>
      <c r="ULD100" s="43"/>
      <c r="ULE100" s="43"/>
      <c r="ULF100" s="43"/>
      <c r="ULG100" s="43"/>
      <c r="ULH100" s="43"/>
      <c r="ULI100" s="43"/>
      <c r="ULJ100" s="43"/>
      <c r="ULK100" s="43"/>
      <c r="ULL100" s="43"/>
      <c r="ULM100" s="43"/>
      <c r="ULN100" s="43"/>
      <c r="ULO100" s="43"/>
      <c r="ULP100" s="43"/>
      <c r="ULQ100" s="43"/>
      <c r="ULR100" s="43"/>
      <c r="ULS100" s="43"/>
      <c r="ULT100" s="43"/>
      <c r="ULU100" s="43"/>
      <c r="ULV100" s="43"/>
      <c r="ULW100" s="43"/>
      <c r="ULX100" s="43"/>
      <c r="ULY100" s="43"/>
      <c r="ULZ100" s="43"/>
      <c r="UMA100" s="43"/>
      <c r="UMB100" s="43"/>
      <c r="UMC100" s="43"/>
      <c r="UMD100" s="43"/>
      <c r="UME100" s="43"/>
      <c r="UMF100" s="43"/>
      <c r="UMG100" s="43"/>
      <c r="UMH100" s="43"/>
      <c r="UMI100" s="43"/>
      <c r="UMJ100" s="43"/>
      <c r="UMK100" s="43"/>
      <c r="UML100" s="43"/>
      <c r="UMM100" s="43"/>
      <c r="UMN100" s="43"/>
      <c r="UMO100" s="43"/>
      <c r="UMP100" s="43"/>
      <c r="UMQ100" s="43"/>
      <c r="UMR100" s="43"/>
      <c r="UMS100" s="43"/>
      <c r="UMT100" s="43"/>
      <c r="UMU100" s="43"/>
      <c r="UMV100" s="43"/>
      <c r="UMW100" s="43"/>
      <c r="UMX100" s="43"/>
      <c r="UMY100" s="43"/>
      <c r="UMZ100" s="43"/>
      <c r="UNA100" s="43"/>
      <c r="UNB100" s="43"/>
      <c r="UNC100" s="43"/>
      <c r="UND100" s="43"/>
      <c r="UNE100" s="43"/>
      <c r="UNF100" s="43"/>
      <c r="UNG100" s="43"/>
      <c r="UNH100" s="43"/>
      <c r="UNI100" s="43"/>
      <c r="UNJ100" s="43"/>
      <c r="UNK100" s="43"/>
      <c r="UNL100" s="43"/>
      <c r="UNM100" s="43"/>
      <c r="UNN100" s="43"/>
      <c r="UNO100" s="43"/>
      <c r="UNP100" s="43"/>
      <c r="UNQ100" s="43"/>
      <c r="UNR100" s="43"/>
      <c r="UNS100" s="43"/>
      <c r="UNT100" s="43"/>
      <c r="UNU100" s="43"/>
      <c r="UNV100" s="43"/>
      <c r="UNW100" s="43"/>
      <c r="UNX100" s="43"/>
      <c r="UNY100" s="43"/>
      <c r="UNZ100" s="43"/>
      <c r="UOA100" s="43"/>
      <c r="UOB100" s="43"/>
      <c r="UOC100" s="43"/>
      <c r="UOD100" s="43"/>
      <c r="UOE100" s="43"/>
      <c r="UOF100" s="43"/>
      <c r="UOG100" s="43"/>
      <c r="UOH100" s="43"/>
      <c r="UOI100" s="43"/>
      <c r="UOJ100" s="43"/>
      <c r="UOK100" s="43"/>
      <c r="UOL100" s="43"/>
      <c r="UOM100" s="43"/>
      <c r="UON100" s="43"/>
      <c r="UOO100" s="43"/>
      <c r="UOP100" s="43"/>
      <c r="UOQ100" s="43"/>
      <c r="UOR100" s="43"/>
      <c r="UOS100" s="43"/>
      <c r="UOT100" s="43"/>
      <c r="UOU100" s="43"/>
      <c r="UOV100" s="43"/>
      <c r="UOW100" s="43"/>
      <c r="UOX100" s="43"/>
      <c r="UOY100" s="43"/>
      <c r="UOZ100" s="43"/>
      <c r="UPA100" s="43"/>
      <c r="UPB100" s="43"/>
      <c r="UPC100" s="43"/>
      <c r="UPD100" s="43"/>
      <c r="UPE100" s="43"/>
      <c r="UPF100" s="43"/>
      <c r="UPG100" s="43"/>
      <c r="UPH100" s="43"/>
      <c r="UPI100" s="43"/>
      <c r="UPJ100" s="43"/>
      <c r="UPK100" s="43"/>
      <c r="UPL100" s="43"/>
      <c r="UPM100" s="43"/>
      <c r="UPN100" s="43"/>
      <c r="UPO100" s="43"/>
      <c r="UPP100" s="43"/>
      <c r="UPQ100" s="43"/>
      <c r="UPR100" s="43"/>
      <c r="UPS100" s="43"/>
      <c r="UPT100" s="43"/>
      <c r="UPU100" s="43"/>
      <c r="UPV100" s="43"/>
      <c r="UPW100" s="43"/>
      <c r="UPX100" s="43"/>
      <c r="UPY100" s="43"/>
      <c r="UPZ100" s="43"/>
      <c r="UQA100" s="43"/>
      <c r="UQB100" s="43"/>
      <c r="UQC100" s="43"/>
      <c r="UQD100" s="43"/>
      <c r="UQE100" s="43"/>
      <c r="UQF100" s="43"/>
      <c r="UQG100" s="43"/>
      <c r="UQH100" s="43"/>
      <c r="UQI100" s="43"/>
      <c r="UQJ100" s="43"/>
      <c r="UQK100" s="43"/>
      <c r="UQL100" s="43"/>
      <c r="UQM100" s="43"/>
      <c r="UQN100" s="43"/>
      <c r="UQO100" s="43"/>
      <c r="UQP100" s="43"/>
      <c r="UQQ100" s="43"/>
      <c r="UQR100" s="43"/>
      <c r="UQS100" s="43"/>
      <c r="UQT100" s="43"/>
      <c r="UQU100" s="43"/>
      <c r="UQV100" s="43"/>
      <c r="UQW100" s="43"/>
      <c r="UQX100" s="43"/>
      <c r="UQY100" s="43"/>
      <c r="UQZ100" s="43"/>
      <c r="URA100" s="43"/>
      <c r="URB100" s="43"/>
      <c r="URC100" s="43"/>
      <c r="URD100" s="43"/>
      <c r="URE100" s="43"/>
      <c r="URF100" s="43"/>
      <c r="URG100" s="43"/>
      <c r="URH100" s="43"/>
      <c r="URI100" s="43"/>
      <c r="URJ100" s="43"/>
      <c r="URK100" s="43"/>
      <c r="URL100" s="43"/>
      <c r="URM100" s="43"/>
      <c r="URN100" s="43"/>
      <c r="URO100" s="43"/>
      <c r="URP100" s="43"/>
      <c r="URQ100" s="43"/>
      <c r="URR100" s="43"/>
      <c r="URS100" s="43"/>
      <c r="URT100" s="43"/>
      <c r="URU100" s="43"/>
      <c r="URV100" s="43"/>
      <c r="URW100" s="43"/>
      <c r="URX100" s="43"/>
      <c r="URY100" s="43"/>
      <c r="URZ100" s="43"/>
      <c r="USA100" s="43"/>
      <c r="USB100" s="43"/>
      <c r="USC100" s="43"/>
      <c r="USD100" s="43"/>
      <c r="USE100" s="43"/>
      <c r="USF100" s="43"/>
      <c r="USG100" s="43"/>
      <c r="USH100" s="43"/>
      <c r="USI100" s="43"/>
      <c r="USJ100" s="43"/>
      <c r="USK100" s="43"/>
      <c r="USL100" s="43"/>
      <c r="USM100" s="43"/>
      <c r="USN100" s="43"/>
      <c r="USO100" s="43"/>
      <c r="USP100" s="43"/>
      <c r="USQ100" s="43"/>
      <c r="USR100" s="43"/>
      <c r="USS100" s="43"/>
      <c r="UST100" s="43"/>
      <c r="USU100" s="43"/>
      <c r="USV100" s="43"/>
      <c r="USW100" s="43"/>
      <c r="USX100" s="43"/>
      <c r="USY100" s="43"/>
      <c r="USZ100" s="43"/>
      <c r="UTA100" s="43"/>
      <c r="UTB100" s="43"/>
      <c r="UTC100" s="43"/>
      <c r="UTD100" s="43"/>
      <c r="UTE100" s="43"/>
      <c r="UTF100" s="43"/>
      <c r="UTG100" s="43"/>
      <c r="UTH100" s="43"/>
      <c r="UTI100" s="43"/>
      <c r="UTJ100" s="43"/>
      <c r="UTK100" s="43"/>
      <c r="UTL100" s="43"/>
      <c r="UTM100" s="43"/>
      <c r="UTN100" s="43"/>
      <c r="UTO100" s="43"/>
      <c r="UTP100" s="43"/>
      <c r="UTQ100" s="43"/>
      <c r="UTR100" s="43"/>
      <c r="UTT100" s="43"/>
      <c r="UTU100" s="43"/>
      <c r="UTV100" s="43"/>
      <c r="UTW100" s="43"/>
      <c r="UTX100" s="43"/>
      <c r="UTY100" s="43"/>
      <c r="UTZ100" s="43"/>
      <c r="UUA100" s="43"/>
      <c r="UUB100" s="43"/>
      <c r="UUC100" s="43"/>
      <c r="UUD100" s="43"/>
      <c r="UUE100" s="43"/>
      <c r="UUF100" s="43"/>
      <c r="UUG100" s="43"/>
      <c r="UUH100" s="43"/>
      <c r="UUI100" s="43"/>
      <c r="UUJ100" s="43"/>
      <c r="UUK100" s="43"/>
      <c r="UUL100" s="43"/>
      <c r="UUM100" s="43"/>
      <c r="UUN100" s="43"/>
      <c r="UUO100" s="43"/>
      <c r="UUP100" s="43"/>
      <c r="UUQ100" s="43"/>
      <c r="UUR100" s="43"/>
      <c r="UUS100" s="43"/>
      <c r="UUT100" s="43"/>
      <c r="UUU100" s="43"/>
      <c r="UUV100" s="43"/>
      <c r="UUW100" s="43"/>
      <c r="UUX100" s="43"/>
      <c r="UUY100" s="43"/>
      <c r="UUZ100" s="43"/>
      <c r="UVA100" s="43"/>
      <c r="UVB100" s="43"/>
      <c r="UVC100" s="43"/>
      <c r="UVD100" s="43"/>
      <c r="UVE100" s="43"/>
      <c r="UVF100" s="43"/>
      <c r="UVG100" s="43"/>
      <c r="UVH100" s="43"/>
      <c r="UVI100" s="43"/>
      <c r="UVJ100" s="43"/>
      <c r="UVK100" s="43"/>
      <c r="UVL100" s="43"/>
      <c r="UVM100" s="43"/>
      <c r="UVN100" s="43"/>
      <c r="UVO100" s="43"/>
      <c r="UVP100" s="43"/>
      <c r="UVQ100" s="43"/>
      <c r="UVR100" s="43"/>
      <c r="UVS100" s="43"/>
      <c r="UVT100" s="43"/>
      <c r="UVU100" s="43"/>
      <c r="UVV100" s="43"/>
      <c r="UVW100" s="43"/>
      <c r="UVX100" s="43"/>
      <c r="UVY100" s="43"/>
      <c r="UVZ100" s="43"/>
      <c r="UWA100" s="43"/>
      <c r="UWB100" s="43"/>
      <c r="UWC100" s="43"/>
      <c r="UWD100" s="43"/>
      <c r="UWE100" s="43"/>
      <c r="UWF100" s="43"/>
      <c r="UWG100" s="43"/>
      <c r="UWH100" s="43"/>
      <c r="UWI100" s="43"/>
      <c r="UWJ100" s="43"/>
      <c r="UWK100" s="43"/>
      <c r="UWL100" s="43"/>
      <c r="UWM100" s="43"/>
      <c r="UWN100" s="43"/>
      <c r="UWO100" s="43"/>
      <c r="UWP100" s="43"/>
      <c r="UWQ100" s="43"/>
      <c r="UWR100" s="43"/>
      <c r="UWS100" s="43"/>
      <c r="UWT100" s="43"/>
      <c r="UWU100" s="43"/>
      <c r="UWV100" s="43"/>
      <c r="UWW100" s="43"/>
      <c r="UWX100" s="43"/>
      <c r="UWY100" s="43"/>
      <c r="UWZ100" s="43"/>
      <c r="UXA100" s="43"/>
      <c r="UXB100" s="43"/>
      <c r="UXC100" s="43"/>
      <c r="UXD100" s="43"/>
      <c r="UXE100" s="43"/>
      <c r="UXF100" s="43"/>
      <c r="UXG100" s="43"/>
      <c r="UXH100" s="43"/>
      <c r="UXI100" s="43"/>
      <c r="UXJ100" s="43"/>
      <c r="UXK100" s="43"/>
      <c r="UXL100" s="43"/>
      <c r="UXM100" s="43"/>
      <c r="UXN100" s="43"/>
      <c r="UXO100" s="43"/>
      <c r="UXP100" s="43"/>
      <c r="UXQ100" s="43"/>
      <c r="UXR100" s="43"/>
      <c r="UXS100" s="43"/>
      <c r="UXT100" s="43"/>
      <c r="UXU100" s="43"/>
      <c r="UXV100" s="43"/>
      <c r="UXW100" s="43"/>
      <c r="UXX100" s="43"/>
      <c r="UXY100" s="43"/>
      <c r="UXZ100" s="43"/>
      <c r="UYA100" s="43"/>
      <c r="UYB100" s="43"/>
      <c r="UYC100" s="43"/>
      <c r="UYD100" s="43"/>
      <c r="UYE100" s="43"/>
      <c r="UYF100" s="43"/>
      <c r="UYG100" s="43"/>
      <c r="UYH100" s="43"/>
      <c r="UYI100" s="43"/>
      <c r="UYJ100" s="43"/>
      <c r="UYK100" s="43"/>
      <c r="UYL100" s="43"/>
      <c r="UYM100" s="43"/>
      <c r="UYN100" s="43"/>
      <c r="UYO100" s="43"/>
      <c r="UYP100" s="43"/>
      <c r="UYQ100" s="43"/>
      <c r="UYR100" s="43"/>
      <c r="UYS100" s="43"/>
      <c r="UYT100" s="43"/>
      <c r="UYU100" s="43"/>
      <c r="UYV100" s="43"/>
      <c r="UYW100" s="43"/>
      <c r="UYX100" s="43"/>
      <c r="UYY100" s="43"/>
      <c r="UYZ100" s="43"/>
      <c r="UZA100" s="43"/>
      <c r="UZB100" s="43"/>
      <c r="UZC100" s="43"/>
      <c r="UZD100" s="43"/>
      <c r="UZE100" s="43"/>
      <c r="UZF100" s="43"/>
      <c r="UZG100" s="43"/>
      <c r="UZH100" s="43"/>
      <c r="UZI100" s="43"/>
      <c r="UZJ100" s="43"/>
      <c r="UZK100" s="43"/>
      <c r="UZL100" s="43"/>
      <c r="UZM100" s="43"/>
      <c r="UZN100" s="43"/>
      <c r="UZO100" s="43"/>
      <c r="UZP100" s="43"/>
      <c r="UZQ100" s="43"/>
      <c r="UZR100" s="43"/>
      <c r="UZS100" s="43"/>
      <c r="UZT100" s="43"/>
      <c r="UZU100" s="43"/>
      <c r="UZV100" s="43"/>
      <c r="UZW100" s="43"/>
      <c r="UZX100" s="43"/>
      <c r="UZY100" s="43"/>
      <c r="UZZ100" s="43"/>
      <c r="VAA100" s="43"/>
      <c r="VAB100" s="43"/>
      <c r="VAC100" s="43"/>
      <c r="VAD100" s="43"/>
      <c r="VAE100" s="43"/>
      <c r="VAF100" s="43"/>
      <c r="VAG100" s="43"/>
      <c r="VAH100" s="43"/>
      <c r="VAI100" s="43"/>
      <c r="VAJ100" s="43"/>
      <c r="VAK100" s="43"/>
      <c r="VAL100" s="43"/>
      <c r="VAM100" s="43"/>
      <c r="VAN100" s="43"/>
      <c r="VAO100" s="43"/>
      <c r="VAP100" s="43"/>
      <c r="VAQ100" s="43"/>
      <c r="VAR100" s="43"/>
      <c r="VAS100" s="43"/>
      <c r="VAT100" s="43"/>
      <c r="VAU100" s="43"/>
      <c r="VAV100" s="43"/>
      <c r="VAW100" s="43"/>
      <c r="VAX100" s="43"/>
      <c r="VAY100" s="43"/>
      <c r="VAZ100" s="43"/>
      <c r="VBA100" s="43"/>
      <c r="VBB100" s="43"/>
      <c r="VBC100" s="43"/>
      <c r="VBD100" s="43"/>
      <c r="VBE100" s="43"/>
      <c r="VBF100" s="43"/>
      <c r="VBG100" s="43"/>
      <c r="VBH100" s="43"/>
      <c r="VBI100" s="43"/>
      <c r="VBJ100" s="43"/>
      <c r="VBK100" s="43"/>
      <c r="VBL100" s="43"/>
      <c r="VBM100" s="43"/>
      <c r="VBN100" s="43"/>
      <c r="VBO100" s="43"/>
      <c r="VBP100" s="43"/>
      <c r="VBQ100" s="43"/>
      <c r="VBR100" s="43"/>
      <c r="VBS100" s="43"/>
      <c r="VBT100" s="43"/>
      <c r="VBU100" s="43"/>
      <c r="VBV100" s="43"/>
      <c r="VBW100" s="43"/>
      <c r="VBX100" s="43"/>
      <c r="VBY100" s="43"/>
      <c r="VBZ100" s="43"/>
      <c r="VCA100" s="43"/>
      <c r="VCB100" s="43"/>
      <c r="VCC100" s="43"/>
      <c r="VCD100" s="43"/>
      <c r="VCE100" s="43"/>
      <c r="VCF100" s="43"/>
      <c r="VCG100" s="43"/>
      <c r="VCH100" s="43"/>
      <c r="VCI100" s="43"/>
      <c r="VCJ100" s="43"/>
      <c r="VCK100" s="43"/>
      <c r="VCL100" s="43"/>
      <c r="VCM100" s="43"/>
      <c r="VCN100" s="43"/>
      <c r="VCO100" s="43"/>
      <c r="VCP100" s="43"/>
      <c r="VCQ100" s="43"/>
      <c r="VCR100" s="43"/>
      <c r="VCS100" s="43"/>
      <c r="VCT100" s="43"/>
      <c r="VCU100" s="43"/>
      <c r="VCV100" s="43"/>
      <c r="VCW100" s="43"/>
      <c r="VCX100" s="43"/>
      <c r="VCY100" s="43"/>
      <c r="VCZ100" s="43"/>
      <c r="VDA100" s="43"/>
      <c r="VDB100" s="43"/>
      <c r="VDC100" s="43"/>
      <c r="VDD100" s="43"/>
      <c r="VDE100" s="43"/>
      <c r="VDF100" s="43"/>
      <c r="VDG100" s="43"/>
      <c r="VDH100" s="43"/>
      <c r="VDI100" s="43"/>
      <c r="VDJ100" s="43"/>
      <c r="VDK100" s="43"/>
      <c r="VDL100" s="43"/>
      <c r="VDM100" s="43"/>
      <c r="VDN100" s="43"/>
      <c r="VDP100" s="43"/>
      <c r="VDQ100" s="43"/>
      <c r="VDR100" s="43"/>
      <c r="VDS100" s="43"/>
      <c r="VDT100" s="43"/>
      <c r="VDU100" s="43"/>
      <c r="VDV100" s="43"/>
      <c r="VDW100" s="43"/>
      <c r="VDX100" s="43"/>
      <c r="VDY100" s="43"/>
      <c r="VDZ100" s="43"/>
      <c r="VEA100" s="43"/>
      <c r="VEB100" s="43"/>
      <c r="VEC100" s="43"/>
      <c r="VED100" s="43"/>
      <c r="VEE100" s="43"/>
      <c r="VEF100" s="43"/>
      <c r="VEG100" s="43"/>
      <c r="VEH100" s="43"/>
      <c r="VEI100" s="43"/>
      <c r="VEJ100" s="43"/>
      <c r="VEK100" s="43"/>
      <c r="VEL100" s="43"/>
      <c r="VEM100" s="43"/>
      <c r="VEN100" s="43"/>
      <c r="VEO100" s="43"/>
      <c r="VEP100" s="43"/>
      <c r="VEQ100" s="43"/>
      <c r="VER100" s="43"/>
      <c r="VES100" s="43"/>
      <c r="VET100" s="43"/>
      <c r="VEU100" s="43"/>
      <c r="VEV100" s="43"/>
      <c r="VEW100" s="43"/>
      <c r="VEX100" s="43"/>
      <c r="VEY100" s="43"/>
      <c r="VEZ100" s="43"/>
      <c r="VFA100" s="43"/>
      <c r="VFB100" s="43"/>
      <c r="VFC100" s="43"/>
      <c r="VFD100" s="43"/>
      <c r="VFE100" s="43"/>
      <c r="VFF100" s="43"/>
      <c r="VFG100" s="43"/>
      <c r="VFH100" s="43"/>
      <c r="VFI100" s="43"/>
      <c r="VFJ100" s="43"/>
      <c r="VFK100" s="43"/>
      <c r="VFL100" s="43"/>
      <c r="VFM100" s="43"/>
      <c r="VFN100" s="43"/>
      <c r="VFO100" s="43"/>
      <c r="VFP100" s="43"/>
      <c r="VFQ100" s="43"/>
      <c r="VFR100" s="43"/>
      <c r="VFS100" s="43"/>
      <c r="VFT100" s="43"/>
      <c r="VFU100" s="43"/>
      <c r="VFV100" s="43"/>
      <c r="VFW100" s="43"/>
      <c r="VFX100" s="43"/>
      <c r="VFY100" s="43"/>
      <c r="VFZ100" s="43"/>
      <c r="VGA100" s="43"/>
      <c r="VGB100" s="43"/>
      <c r="VGC100" s="43"/>
      <c r="VGD100" s="43"/>
      <c r="VGE100" s="43"/>
      <c r="VGF100" s="43"/>
      <c r="VGG100" s="43"/>
      <c r="VGH100" s="43"/>
      <c r="VGI100" s="43"/>
      <c r="VGJ100" s="43"/>
      <c r="VGK100" s="43"/>
      <c r="VGL100" s="43"/>
      <c r="VGM100" s="43"/>
      <c r="VGN100" s="43"/>
      <c r="VGO100" s="43"/>
      <c r="VGP100" s="43"/>
      <c r="VGQ100" s="43"/>
      <c r="VGR100" s="43"/>
      <c r="VGS100" s="43"/>
      <c r="VGT100" s="43"/>
      <c r="VGU100" s="43"/>
      <c r="VGV100" s="43"/>
      <c r="VGW100" s="43"/>
      <c r="VGX100" s="43"/>
      <c r="VGY100" s="43"/>
      <c r="VGZ100" s="43"/>
      <c r="VHA100" s="43"/>
      <c r="VHB100" s="43"/>
      <c r="VHC100" s="43"/>
      <c r="VHD100" s="43"/>
      <c r="VHE100" s="43"/>
      <c r="VHF100" s="43"/>
      <c r="VHG100" s="43"/>
      <c r="VHH100" s="43"/>
      <c r="VHI100" s="43"/>
      <c r="VHJ100" s="43"/>
      <c r="VHK100" s="43"/>
      <c r="VHL100" s="43"/>
      <c r="VHM100" s="43"/>
      <c r="VHN100" s="43"/>
      <c r="VHO100" s="43"/>
      <c r="VHP100" s="43"/>
      <c r="VHQ100" s="43"/>
      <c r="VHR100" s="43"/>
      <c r="VHS100" s="43"/>
      <c r="VHT100" s="43"/>
      <c r="VHU100" s="43"/>
      <c r="VHV100" s="43"/>
      <c r="VHW100" s="43"/>
      <c r="VHX100" s="43"/>
      <c r="VHY100" s="43"/>
      <c r="VHZ100" s="43"/>
      <c r="VIA100" s="43"/>
      <c r="VIB100" s="43"/>
      <c r="VIC100" s="43"/>
      <c r="VID100" s="43"/>
      <c r="VIE100" s="43"/>
      <c r="VIF100" s="43"/>
      <c r="VIG100" s="43"/>
      <c r="VIH100" s="43"/>
      <c r="VII100" s="43"/>
      <c r="VIJ100" s="43"/>
      <c r="VIK100" s="43"/>
      <c r="VIL100" s="43"/>
      <c r="VIM100" s="43"/>
      <c r="VIN100" s="43"/>
      <c r="VIO100" s="43"/>
      <c r="VIP100" s="43"/>
      <c r="VIQ100" s="43"/>
      <c r="VIR100" s="43"/>
      <c r="VIS100" s="43"/>
      <c r="VIT100" s="43"/>
      <c r="VIU100" s="43"/>
      <c r="VIV100" s="43"/>
      <c r="VIW100" s="43"/>
      <c r="VIX100" s="43"/>
      <c r="VIY100" s="43"/>
      <c r="VIZ100" s="43"/>
      <c r="VJA100" s="43"/>
      <c r="VJB100" s="43"/>
      <c r="VJC100" s="43"/>
      <c r="VJD100" s="43"/>
      <c r="VJE100" s="43"/>
      <c r="VJF100" s="43"/>
      <c r="VJG100" s="43"/>
      <c r="VJH100" s="43"/>
      <c r="VJI100" s="43"/>
      <c r="VJJ100" s="43"/>
      <c r="VJK100" s="43"/>
      <c r="VJL100" s="43"/>
      <c r="VJM100" s="43"/>
      <c r="VJN100" s="43"/>
      <c r="VJO100" s="43"/>
      <c r="VJP100" s="43"/>
      <c r="VJQ100" s="43"/>
      <c r="VJR100" s="43"/>
      <c r="VJS100" s="43"/>
      <c r="VJT100" s="43"/>
      <c r="VJU100" s="43"/>
      <c r="VJV100" s="43"/>
      <c r="VJW100" s="43"/>
      <c r="VJX100" s="43"/>
      <c r="VJY100" s="43"/>
      <c r="VJZ100" s="43"/>
      <c r="VKA100" s="43"/>
      <c r="VKB100" s="43"/>
      <c r="VKC100" s="43"/>
      <c r="VKD100" s="43"/>
      <c r="VKE100" s="43"/>
      <c r="VKF100" s="43"/>
      <c r="VKG100" s="43"/>
      <c r="VKH100" s="43"/>
      <c r="VKI100" s="43"/>
      <c r="VKJ100" s="43"/>
      <c r="VKK100" s="43"/>
      <c r="VKL100" s="43"/>
      <c r="VKM100" s="43"/>
      <c r="VKN100" s="43"/>
      <c r="VKO100" s="43"/>
      <c r="VKP100" s="43"/>
      <c r="VKQ100" s="43"/>
      <c r="VKR100" s="43"/>
      <c r="VKS100" s="43"/>
      <c r="VKT100" s="43"/>
      <c r="VKU100" s="43"/>
      <c r="VKV100" s="43"/>
      <c r="VKW100" s="43"/>
      <c r="VKX100" s="43"/>
      <c r="VKY100" s="43"/>
      <c r="VKZ100" s="43"/>
      <c r="VLA100" s="43"/>
      <c r="VLB100" s="43"/>
      <c r="VLC100" s="43"/>
      <c r="VLD100" s="43"/>
      <c r="VLE100" s="43"/>
      <c r="VLF100" s="43"/>
      <c r="VLG100" s="43"/>
      <c r="VLH100" s="43"/>
      <c r="VLI100" s="43"/>
      <c r="VLJ100" s="43"/>
      <c r="VLK100" s="43"/>
      <c r="VLL100" s="43"/>
      <c r="VLM100" s="43"/>
      <c r="VLN100" s="43"/>
      <c r="VLO100" s="43"/>
      <c r="VLP100" s="43"/>
      <c r="VLQ100" s="43"/>
      <c r="VLR100" s="43"/>
      <c r="VLS100" s="43"/>
      <c r="VLT100" s="43"/>
      <c r="VLU100" s="43"/>
      <c r="VLV100" s="43"/>
      <c r="VLW100" s="43"/>
      <c r="VLX100" s="43"/>
      <c r="VLY100" s="43"/>
      <c r="VLZ100" s="43"/>
      <c r="VMA100" s="43"/>
      <c r="VMB100" s="43"/>
      <c r="VMC100" s="43"/>
      <c r="VMD100" s="43"/>
      <c r="VME100" s="43"/>
      <c r="VMF100" s="43"/>
      <c r="VMG100" s="43"/>
      <c r="VMH100" s="43"/>
      <c r="VMI100" s="43"/>
      <c r="VMJ100" s="43"/>
      <c r="VMK100" s="43"/>
      <c r="VML100" s="43"/>
      <c r="VMM100" s="43"/>
      <c r="VMN100" s="43"/>
      <c r="VMO100" s="43"/>
      <c r="VMP100" s="43"/>
      <c r="VMQ100" s="43"/>
      <c r="VMR100" s="43"/>
      <c r="VMS100" s="43"/>
      <c r="VMT100" s="43"/>
      <c r="VMU100" s="43"/>
      <c r="VMV100" s="43"/>
      <c r="VMW100" s="43"/>
      <c r="VMX100" s="43"/>
      <c r="VMY100" s="43"/>
      <c r="VMZ100" s="43"/>
      <c r="VNA100" s="43"/>
      <c r="VNB100" s="43"/>
      <c r="VNC100" s="43"/>
      <c r="VND100" s="43"/>
      <c r="VNE100" s="43"/>
      <c r="VNF100" s="43"/>
      <c r="VNG100" s="43"/>
      <c r="VNH100" s="43"/>
      <c r="VNI100" s="43"/>
      <c r="VNJ100" s="43"/>
      <c r="VNL100" s="43"/>
      <c r="VNM100" s="43"/>
      <c r="VNN100" s="43"/>
      <c r="VNO100" s="43"/>
      <c r="VNP100" s="43"/>
      <c r="VNQ100" s="43"/>
      <c r="VNR100" s="43"/>
      <c r="VNS100" s="43"/>
      <c r="VNT100" s="43"/>
      <c r="VNU100" s="43"/>
      <c r="VNV100" s="43"/>
      <c r="VNW100" s="43"/>
      <c r="VNX100" s="43"/>
      <c r="VNY100" s="43"/>
      <c r="VNZ100" s="43"/>
      <c r="VOA100" s="43"/>
      <c r="VOB100" s="43"/>
      <c r="VOC100" s="43"/>
      <c r="VOD100" s="43"/>
      <c r="VOE100" s="43"/>
      <c r="VOF100" s="43"/>
      <c r="VOG100" s="43"/>
      <c r="VOH100" s="43"/>
      <c r="VOI100" s="43"/>
      <c r="VOJ100" s="43"/>
      <c r="VOK100" s="43"/>
      <c r="VOL100" s="43"/>
      <c r="VOM100" s="43"/>
      <c r="VON100" s="43"/>
      <c r="VOO100" s="43"/>
      <c r="VOP100" s="43"/>
      <c r="VOQ100" s="43"/>
      <c r="VOR100" s="43"/>
      <c r="VOS100" s="43"/>
      <c r="VOT100" s="43"/>
      <c r="VOU100" s="43"/>
      <c r="VOV100" s="43"/>
      <c r="VOW100" s="43"/>
      <c r="VOX100" s="43"/>
      <c r="VOY100" s="43"/>
      <c r="VOZ100" s="43"/>
      <c r="VPA100" s="43"/>
      <c r="VPB100" s="43"/>
      <c r="VPC100" s="43"/>
      <c r="VPD100" s="43"/>
      <c r="VPE100" s="43"/>
      <c r="VPF100" s="43"/>
      <c r="VPG100" s="43"/>
      <c r="VPH100" s="43"/>
      <c r="VPI100" s="43"/>
      <c r="VPJ100" s="43"/>
      <c r="VPK100" s="43"/>
      <c r="VPL100" s="43"/>
      <c r="VPM100" s="43"/>
      <c r="VPN100" s="43"/>
      <c r="VPO100" s="43"/>
      <c r="VPP100" s="43"/>
      <c r="VPQ100" s="43"/>
      <c r="VPR100" s="43"/>
      <c r="VPS100" s="43"/>
      <c r="VPT100" s="43"/>
      <c r="VPU100" s="43"/>
      <c r="VPV100" s="43"/>
      <c r="VPW100" s="43"/>
      <c r="VPX100" s="43"/>
      <c r="VPY100" s="43"/>
      <c r="VPZ100" s="43"/>
      <c r="VQA100" s="43"/>
      <c r="VQB100" s="43"/>
      <c r="VQC100" s="43"/>
      <c r="VQD100" s="43"/>
      <c r="VQE100" s="43"/>
      <c r="VQF100" s="43"/>
      <c r="VQG100" s="43"/>
      <c r="VQH100" s="43"/>
      <c r="VQI100" s="43"/>
      <c r="VQJ100" s="43"/>
      <c r="VQK100" s="43"/>
      <c r="VQL100" s="43"/>
      <c r="VQM100" s="43"/>
      <c r="VQN100" s="43"/>
      <c r="VQO100" s="43"/>
      <c r="VQP100" s="43"/>
      <c r="VQQ100" s="43"/>
      <c r="VQR100" s="43"/>
      <c r="VQS100" s="43"/>
      <c r="VQT100" s="43"/>
      <c r="VQU100" s="43"/>
      <c r="VQV100" s="43"/>
      <c r="VQW100" s="43"/>
      <c r="VQX100" s="43"/>
      <c r="VQY100" s="43"/>
      <c r="VQZ100" s="43"/>
      <c r="VRA100" s="43"/>
      <c r="VRB100" s="43"/>
      <c r="VRC100" s="43"/>
      <c r="VRD100" s="43"/>
      <c r="VRE100" s="43"/>
      <c r="VRF100" s="43"/>
      <c r="VRG100" s="43"/>
      <c r="VRH100" s="43"/>
      <c r="VRI100" s="43"/>
      <c r="VRJ100" s="43"/>
      <c r="VRK100" s="43"/>
      <c r="VRL100" s="43"/>
      <c r="VRM100" s="43"/>
      <c r="VRN100" s="43"/>
      <c r="VRO100" s="43"/>
      <c r="VRP100" s="43"/>
      <c r="VRQ100" s="43"/>
      <c r="VRR100" s="43"/>
      <c r="VRS100" s="43"/>
      <c r="VRT100" s="43"/>
      <c r="VRU100" s="43"/>
      <c r="VRV100" s="43"/>
      <c r="VRW100" s="43"/>
      <c r="VRX100" s="43"/>
      <c r="VRY100" s="43"/>
      <c r="VRZ100" s="43"/>
      <c r="VSA100" s="43"/>
      <c r="VSB100" s="43"/>
      <c r="VSC100" s="43"/>
      <c r="VSD100" s="43"/>
      <c r="VSE100" s="43"/>
      <c r="VSF100" s="43"/>
      <c r="VSG100" s="43"/>
      <c r="VSH100" s="43"/>
      <c r="VSI100" s="43"/>
      <c r="VSJ100" s="43"/>
      <c r="VSK100" s="43"/>
      <c r="VSL100" s="43"/>
      <c r="VSM100" s="43"/>
      <c r="VSN100" s="43"/>
      <c r="VSO100" s="43"/>
      <c r="VSP100" s="43"/>
      <c r="VSQ100" s="43"/>
      <c r="VSR100" s="43"/>
      <c r="VSS100" s="43"/>
      <c r="VST100" s="43"/>
      <c r="VSU100" s="43"/>
      <c r="VSV100" s="43"/>
      <c r="VSW100" s="43"/>
      <c r="VSX100" s="43"/>
      <c r="VSY100" s="43"/>
      <c r="VSZ100" s="43"/>
      <c r="VTA100" s="43"/>
      <c r="VTB100" s="43"/>
      <c r="VTC100" s="43"/>
      <c r="VTD100" s="43"/>
      <c r="VTE100" s="43"/>
      <c r="VTF100" s="43"/>
      <c r="VTG100" s="43"/>
      <c r="VTH100" s="43"/>
      <c r="VTI100" s="43"/>
      <c r="VTJ100" s="43"/>
      <c r="VTK100" s="43"/>
      <c r="VTL100" s="43"/>
      <c r="VTM100" s="43"/>
      <c r="VTN100" s="43"/>
      <c r="VTO100" s="43"/>
      <c r="VTP100" s="43"/>
      <c r="VTQ100" s="43"/>
      <c r="VTR100" s="43"/>
      <c r="VTS100" s="43"/>
      <c r="VTT100" s="43"/>
      <c r="VTU100" s="43"/>
      <c r="VTV100" s="43"/>
      <c r="VTW100" s="43"/>
      <c r="VTX100" s="43"/>
      <c r="VTY100" s="43"/>
      <c r="VTZ100" s="43"/>
      <c r="VUA100" s="43"/>
      <c r="VUB100" s="43"/>
      <c r="VUC100" s="43"/>
      <c r="VUD100" s="43"/>
      <c r="VUE100" s="43"/>
      <c r="VUF100" s="43"/>
      <c r="VUG100" s="43"/>
      <c r="VUH100" s="43"/>
      <c r="VUI100" s="43"/>
      <c r="VUJ100" s="43"/>
      <c r="VUK100" s="43"/>
      <c r="VUL100" s="43"/>
      <c r="VUM100" s="43"/>
      <c r="VUN100" s="43"/>
      <c r="VUO100" s="43"/>
      <c r="VUP100" s="43"/>
      <c r="VUQ100" s="43"/>
      <c r="VUR100" s="43"/>
      <c r="VUS100" s="43"/>
      <c r="VUT100" s="43"/>
      <c r="VUU100" s="43"/>
      <c r="VUV100" s="43"/>
      <c r="VUW100" s="43"/>
      <c r="VUX100" s="43"/>
      <c r="VUY100" s="43"/>
      <c r="VUZ100" s="43"/>
      <c r="VVA100" s="43"/>
      <c r="VVB100" s="43"/>
      <c r="VVC100" s="43"/>
      <c r="VVD100" s="43"/>
      <c r="VVE100" s="43"/>
      <c r="VVF100" s="43"/>
      <c r="VVG100" s="43"/>
      <c r="VVH100" s="43"/>
      <c r="VVI100" s="43"/>
      <c r="VVJ100" s="43"/>
      <c r="VVK100" s="43"/>
      <c r="VVL100" s="43"/>
      <c r="VVM100" s="43"/>
      <c r="VVN100" s="43"/>
      <c r="VVO100" s="43"/>
      <c r="VVP100" s="43"/>
      <c r="VVQ100" s="43"/>
      <c r="VVR100" s="43"/>
      <c r="VVS100" s="43"/>
      <c r="VVT100" s="43"/>
      <c r="VVU100" s="43"/>
      <c r="VVV100" s="43"/>
      <c r="VVW100" s="43"/>
      <c r="VVX100" s="43"/>
      <c r="VVY100" s="43"/>
      <c r="VVZ100" s="43"/>
      <c r="VWA100" s="43"/>
      <c r="VWB100" s="43"/>
      <c r="VWC100" s="43"/>
      <c r="VWD100" s="43"/>
      <c r="VWE100" s="43"/>
      <c r="VWF100" s="43"/>
      <c r="VWG100" s="43"/>
      <c r="VWH100" s="43"/>
      <c r="VWI100" s="43"/>
      <c r="VWJ100" s="43"/>
      <c r="VWK100" s="43"/>
      <c r="VWL100" s="43"/>
      <c r="VWM100" s="43"/>
      <c r="VWN100" s="43"/>
      <c r="VWO100" s="43"/>
      <c r="VWP100" s="43"/>
      <c r="VWQ100" s="43"/>
      <c r="VWR100" s="43"/>
      <c r="VWS100" s="43"/>
      <c r="VWT100" s="43"/>
      <c r="VWU100" s="43"/>
      <c r="VWV100" s="43"/>
      <c r="VWW100" s="43"/>
      <c r="VWX100" s="43"/>
      <c r="VWY100" s="43"/>
      <c r="VWZ100" s="43"/>
      <c r="VXA100" s="43"/>
      <c r="VXB100" s="43"/>
      <c r="VXC100" s="43"/>
      <c r="VXD100" s="43"/>
      <c r="VXE100" s="43"/>
      <c r="VXF100" s="43"/>
      <c r="VXH100" s="43"/>
      <c r="VXI100" s="43"/>
      <c r="VXJ100" s="43"/>
      <c r="VXK100" s="43"/>
      <c r="VXL100" s="43"/>
      <c r="VXM100" s="43"/>
      <c r="VXN100" s="43"/>
      <c r="VXO100" s="43"/>
      <c r="VXP100" s="43"/>
      <c r="VXQ100" s="43"/>
      <c r="VXR100" s="43"/>
      <c r="VXS100" s="43"/>
      <c r="VXT100" s="43"/>
      <c r="VXU100" s="43"/>
      <c r="VXV100" s="43"/>
      <c r="VXW100" s="43"/>
      <c r="VXX100" s="43"/>
      <c r="VXY100" s="43"/>
      <c r="VXZ100" s="43"/>
      <c r="VYA100" s="43"/>
      <c r="VYB100" s="43"/>
      <c r="VYC100" s="43"/>
      <c r="VYD100" s="43"/>
      <c r="VYE100" s="43"/>
      <c r="VYF100" s="43"/>
      <c r="VYG100" s="43"/>
      <c r="VYH100" s="43"/>
      <c r="VYI100" s="43"/>
      <c r="VYJ100" s="43"/>
      <c r="VYK100" s="43"/>
      <c r="VYL100" s="43"/>
      <c r="VYM100" s="43"/>
      <c r="VYN100" s="43"/>
      <c r="VYO100" s="43"/>
      <c r="VYP100" s="43"/>
      <c r="VYQ100" s="43"/>
      <c r="VYR100" s="43"/>
      <c r="VYS100" s="43"/>
      <c r="VYT100" s="43"/>
      <c r="VYU100" s="43"/>
      <c r="VYV100" s="43"/>
      <c r="VYW100" s="43"/>
      <c r="VYX100" s="43"/>
      <c r="VYY100" s="43"/>
      <c r="VYZ100" s="43"/>
      <c r="VZA100" s="43"/>
      <c r="VZB100" s="43"/>
      <c r="VZC100" s="43"/>
      <c r="VZD100" s="43"/>
      <c r="VZE100" s="43"/>
      <c r="VZF100" s="43"/>
      <c r="VZG100" s="43"/>
      <c r="VZH100" s="43"/>
      <c r="VZI100" s="43"/>
      <c r="VZJ100" s="43"/>
      <c r="VZK100" s="43"/>
      <c r="VZL100" s="43"/>
      <c r="VZM100" s="43"/>
      <c r="VZN100" s="43"/>
      <c r="VZO100" s="43"/>
      <c r="VZP100" s="43"/>
      <c r="VZQ100" s="43"/>
      <c r="VZR100" s="43"/>
      <c r="VZS100" s="43"/>
      <c r="VZT100" s="43"/>
      <c r="VZU100" s="43"/>
      <c r="VZV100" s="43"/>
      <c r="VZW100" s="43"/>
      <c r="VZX100" s="43"/>
      <c r="VZY100" s="43"/>
      <c r="VZZ100" s="43"/>
      <c r="WAA100" s="43"/>
      <c r="WAB100" s="43"/>
      <c r="WAC100" s="43"/>
      <c r="WAD100" s="43"/>
      <c r="WAE100" s="43"/>
      <c r="WAF100" s="43"/>
      <c r="WAG100" s="43"/>
      <c r="WAH100" s="43"/>
      <c r="WAI100" s="43"/>
      <c r="WAJ100" s="43"/>
      <c r="WAK100" s="43"/>
      <c r="WAL100" s="43"/>
      <c r="WAM100" s="43"/>
      <c r="WAN100" s="43"/>
      <c r="WAO100" s="43"/>
      <c r="WAP100" s="43"/>
      <c r="WAQ100" s="43"/>
      <c r="WAR100" s="43"/>
      <c r="WAS100" s="43"/>
      <c r="WAT100" s="43"/>
      <c r="WAU100" s="43"/>
      <c r="WAV100" s="43"/>
      <c r="WAW100" s="43"/>
      <c r="WAX100" s="43"/>
      <c r="WAY100" s="43"/>
      <c r="WAZ100" s="43"/>
      <c r="WBA100" s="43"/>
      <c r="WBB100" s="43"/>
      <c r="WBC100" s="43"/>
      <c r="WBD100" s="43"/>
      <c r="WBE100" s="43"/>
      <c r="WBF100" s="43"/>
      <c r="WBG100" s="43"/>
      <c r="WBH100" s="43"/>
      <c r="WBI100" s="43"/>
      <c r="WBJ100" s="43"/>
      <c r="WBK100" s="43"/>
      <c r="WBL100" s="43"/>
      <c r="WBM100" s="43"/>
      <c r="WBN100" s="43"/>
      <c r="WBO100" s="43"/>
      <c r="WBP100" s="43"/>
      <c r="WBQ100" s="43"/>
      <c r="WBR100" s="43"/>
      <c r="WBS100" s="43"/>
      <c r="WBT100" s="43"/>
      <c r="WBU100" s="43"/>
      <c r="WBV100" s="43"/>
      <c r="WBW100" s="43"/>
      <c r="WBX100" s="43"/>
      <c r="WBY100" s="43"/>
      <c r="WBZ100" s="43"/>
      <c r="WCA100" s="43"/>
      <c r="WCB100" s="43"/>
      <c r="WCC100" s="43"/>
      <c r="WCD100" s="43"/>
      <c r="WCE100" s="43"/>
      <c r="WCF100" s="43"/>
      <c r="WCG100" s="43"/>
      <c r="WCH100" s="43"/>
      <c r="WCI100" s="43"/>
      <c r="WCJ100" s="43"/>
      <c r="WCK100" s="43"/>
      <c r="WCL100" s="43"/>
      <c r="WCM100" s="43"/>
      <c r="WCN100" s="43"/>
      <c r="WCO100" s="43"/>
      <c r="WCP100" s="43"/>
      <c r="WCQ100" s="43"/>
      <c r="WCR100" s="43"/>
      <c r="WCS100" s="43"/>
      <c r="WCT100" s="43"/>
      <c r="WCU100" s="43"/>
      <c r="WCV100" s="43"/>
      <c r="WCW100" s="43"/>
      <c r="WCX100" s="43"/>
      <c r="WCY100" s="43"/>
      <c r="WCZ100" s="43"/>
      <c r="WDA100" s="43"/>
      <c r="WDB100" s="43"/>
      <c r="WDC100" s="43"/>
      <c r="WDD100" s="43"/>
      <c r="WDE100" s="43"/>
      <c r="WDF100" s="43"/>
      <c r="WDG100" s="43"/>
      <c r="WDH100" s="43"/>
      <c r="WDI100" s="43"/>
      <c r="WDJ100" s="43"/>
      <c r="WDK100" s="43"/>
      <c r="WDL100" s="43"/>
      <c r="WDM100" s="43"/>
      <c r="WDN100" s="43"/>
      <c r="WDO100" s="43"/>
      <c r="WDP100" s="43"/>
      <c r="WDQ100" s="43"/>
      <c r="WDR100" s="43"/>
      <c r="WDS100" s="43"/>
      <c r="WDT100" s="43"/>
      <c r="WDU100" s="43"/>
      <c r="WDV100" s="43"/>
      <c r="WDW100" s="43"/>
      <c r="WDX100" s="43"/>
      <c r="WDY100" s="43"/>
      <c r="WDZ100" s="43"/>
      <c r="WEA100" s="43"/>
      <c r="WEB100" s="43"/>
      <c r="WEC100" s="43"/>
      <c r="WED100" s="43"/>
      <c r="WEE100" s="43"/>
      <c r="WEF100" s="43"/>
      <c r="WEG100" s="43"/>
      <c r="WEH100" s="43"/>
      <c r="WEI100" s="43"/>
      <c r="WEJ100" s="43"/>
      <c r="WEK100" s="43"/>
      <c r="WEL100" s="43"/>
      <c r="WEM100" s="43"/>
      <c r="WEN100" s="43"/>
      <c r="WEO100" s="43"/>
      <c r="WEP100" s="43"/>
      <c r="WEQ100" s="43"/>
      <c r="WER100" s="43"/>
      <c r="WES100" s="43"/>
      <c r="WET100" s="43"/>
      <c r="WEU100" s="43"/>
      <c r="WEV100" s="43"/>
      <c r="WEW100" s="43"/>
      <c r="WEX100" s="43"/>
      <c r="WEY100" s="43"/>
      <c r="WEZ100" s="43"/>
      <c r="WFA100" s="43"/>
      <c r="WFB100" s="43"/>
      <c r="WFC100" s="43"/>
      <c r="WFD100" s="43"/>
      <c r="WFE100" s="43"/>
      <c r="WFF100" s="43"/>
      <c r="WFG100" s="43"/>
      <c r="WFH100" s="43"/>
      <c r="WFI100" s="43"/>
      <c r="WFJ100" s="43"/>
      <c r="WFK100" s="43"/>
      <c r="WFL100" s="43"/>
      <c r="WFM100" s="43"/>
      <c r="WFN100" s="43"/>
      <c r="WFO100" s="43"/>
      <c r="WFP100" s="43"/>
      <c r="WFQ100" s="43"/>
      <c r="WFR100" s="43"/>
      <c r="WFS100" s="43"/>
      <c r="WFT100" s="43"/>
      <c r="WFU100" s="43"/>
      <c r="WFV100" s="43"/>
      <c r="WFW100" s="43"/>
      <c r="WFX100" s="43"/>
      <c r="WFY100" s="43"/>
      <c r="WFZ100" s="43"/>
      <c r="WGA100" s="43"/>
      <c r="WGB100" s="43"/>
      <c r="WGC100" s="43"/>
      <c r="WGD100" s="43"/>
      <c r="WGE100" s="43"/>
      <c r="WGF100" s="43"/>
      <c r="WGG100" s="43"/>
      <c r="WGH100" s="43"/>
      <c r="WGI100" s="43"/>
      <c r="WGJ100" s="43"/>
      <c r="WGK100" s="43"/>
      <c r="WGL100" s="43"/>
      <c r="WGM100" s="43"/>
      <c r="WGN100" s="43"/>
      <c r="WGO100" s="43"/>
      <c r="WGP100" s="43"/>
      <c r="WGQ100" s="43"/>
      <c r="WGR100" s="43"/>
      <c r="WGS100" s="43"/>
      <c r="WGT100" s="43"/>
      <c r="WGU100" s="43"/>
      <c r="WGV100" s="43"/>
      <c r="WGW100" s="43"/>
      <c r="WGX100" s="43"/>
      <c r="WGY100" s="43"/>
      <c r="WGZ100" s="43"/>
      <c r="WHA100" s="43"/>
      <c r="WHB100" s="43"/>
      <c r="WHD100" s="43"/>
      <c r="WHE100" s="43"/>
      <c r="WHF100" s="43"/>
      <c r="WHG100" s="43"/>
      <c r="WHH100" s="43"/>
      <c r="WHI100" s="43"/>
      <c r="WHJ100" s="43"/>
      <c r="WHK100" s="43"/>
      <c r="WHL100" s="43"/>
      <c r="WHM100" s="43"/>
      <c r="WHN100" s="43"/>
      <c r="WHO100" s="43"/>
      <c r="WHP100" s="43"/>
      <c r="WHQ100" s="43"/>
      <c r="WHR100" s="43"/>
      <c r="WHS100" s="43"/>
      <c r="WHT100" s="43"/>
      <c r="WHU100" s="43"/>
      <c r="WHV100" s="43"/>
      <c r="WHW100" s="43"/>
      <c r="WHX100" s="43"/>
      <c r="WHY100" s="43"/>
      <c r="WHZ100" s="43"/>
      <c r="WIA100" s="43"/>
      <c r="WIB100" s="43"/>
      <c r="WIC100" s="43"/>
      <c r="WID100" s="43"/>
      <c r="WIE100" s="43"/>
      <c r="WIF100" s="43"/>
      <c r="WIG100" s="43"/>
      <c r="WIH100" s="43"/>
      <c r="WII100" s="43"/>
      <c r="WIJ100" s="43"/>
      <c r="WIK100" s="43"/>
      <c r="WIL100" s="43"/>
      <c r="WIM100" s="43"/>
      <c r="WIN100" s="43"/>
      <c r="WIO100" s="43"/>
      <c r="WIP100" s="43"/>
      <c r="WIQ100" s="43"/>
      <c r="WIR100" s="43"/>
      <c r="WIS100" s="43"/>
      <c r="WIT100" s="43"/>
      <c r="WIU100" s="43"/>
      <c r="WIV100" s="43"/>
      <c r="WIW100" s="43"/>
      <c r="WIX100" s="43"/>
      <c r="WIY100" s="43"/>
      <c r="WIZ100" s="43"/>
      <c r="WJA100" s="43"/>
      <c r="WJB100" s="43"/>
      <c r="WJC100" s="43"/>
      <c r="WJD100" s="43"/>
      <c r="WJE100" s="43"/>
      <c r="WJF100" s="43"/>
      <c r="WJG100" s="43"/>
      <c r="WJH100" s="43"/>
      <c r="WJI100" s="43"/>
      <c r="WJJ100" s="43"/>
      <c r="WJK100" s="43"/>
      <c r="WJL100" s="43"/>
      <c r="WJM100" s="43"/>
      <c r="WJN100" s="43"/>
      <c r="WJO100" s="43"/>
      <c r="WJP100" s="43"/>
      <c r="WJQ100" s="43"/>
      <c r="WJR100" s="43"/>
      <c r="WJS100" s="43"/>
      <c r="WJT100" s="43"/>
      <c r="WJU100" s="43"/>
      <c r="WJV100" s="43"/>
      <c r="WJW100" s="43"/>
      <c r="WJX100" s="43"/>
      <c r="WJY100" s="43"/>
      <c r="WJZ100" s="43"/>
      <c r="WKA100" s="43"/>
      <c r="WKB100" s="43"/>
      <c r="WKC100" s="43"/>
      <c r="WKD100" s="43"/>
      <c r="WKE100" s="43"/>
      <c r="WKF100" s="43"/>
      <c r="WKG100" s="43"/>
      <c r="WKH100" s="43"/>
      <c r="WKI100" s="43"/>
      <c r="WKJ100" s="43"/>
      <c r="WKK100" s="43"/>
      <c r="WKL100" s="43"/>
      <c r="WKM100" s="43"/>
      <c r="WKN100" s="43"/>
      <c r="WKO100" s="43"/>
      <c r="WKP100" s="43"/>
      <c r="WKQ100" s="43"/>
      <c r="WKR100" s="43"/>
      <c r="WKS100" s="43"/>
      <c r="WKT100" s="43"/>
      <c r="WKU100" s="43"/>
      <c r="WKV100" s="43"/>
      <c r="WKW100" s="43"/>
      <c r="WKX100" s="43"/>
      <c r="WKY100" s="43"/>
      <c r="WKZ100" s="43"/>
      <c r="WLA100" s="43"/>
      <c r="WLB100" s="43"/>
      <c r="WLC100" s="43"/>
      <c r="WLD100" s="43"/>
      <c r="WLE100" s="43"/>
      <c r="WLF100" s="43"/>
      <c r="WLG100" s="43"/>
      <c r="WLH100" s="43"/>
      <c r="WLI100" s="43"/>
      <c r="WLJ100" s="43"/>
      <c r="WLK100" s="43"/>
      <c r="WLL100" s="43"/>
      <c r="WLM100" s="43"/>
      <c r="WLN100" s="43"/>
      <c r="WLO100" s="43"/>
      <c r="WLP100" s="43"/>
      <c r="WLQ100" s="43"/>
      <c r="WLR100" s="43"/>
      <c r="WLS100" s="43"/>
      <c r="WLT100" s="43"/>
      <c r="WLU100" s="43"/>
      <c r="WLV100" s="43"/>
      <c r="WLW100" s="43"/>
      <c r="WLX100" s="43"/>
      <c r="WLY100" s="43"/>
      <c r="WLZ100" s="43"/>
      <c r="WMA100" s="43"/>
      <c r="WMB100" s="43"/>
      <c r="WMC100" s="43"/>
      <c r="WMD100" s="43"/>
      <c r="WME100" s="43"/>
      <c r="WMF100" s="43"/>
      <c r="WMG100" s="43"/>
      <c r="WMH100" s="43"/>
      <c r="WMI100" s="43"/>
      <c r="WMJ100" s="43"/>
      <c r="WMK100" s="43"/>
      <c r="WML100" s="43"/>
      <c r="WMM100" s="43"/>
      <c r="WMN100" s="43"/>
      <c r="WMO100" s="43"/>
      <c r="WMP100" s="43"/>
      <c r="WMQ100" s="43"/>
      <c r="WMR100" s="43"/>
      <c r="WMS100" s="43"/>
      <c r="WMT100" s="43"/>
      <c r="WMU100" s="43"/>
      <c r="WMV100" s="43"/>
      <c r="WMW100" s="43"/>
      <c r="WMX100" s="43"/>
      <c r="WMY100" s="43"/>
      <c r="WMZ100" s="43"/>
      <c r="WNA100" s="43"/>
      <c r="WNB100" s="43"/>
      <c r="WNC100" s="43"/>
      <c r="WND100" s="43"/>
      <c r="WNE100" s="43"/>
      <c r="WNF100" s="43"/>
      <c r="WNG100" s="43"/>
      <c r="WNH100" s="43"/>
      <c r="WNI100" s="43"/>
      <c r="WNJ100" s="43"/>
      <c r="WNK100" s="43"/>
      <c r="WNL100" s="43"/>
      <c r="WNM100" s="43"/>
      <c r="WNN100" s="43"/>
      <c r="WNO100" s="43"/>
      <c r="WNP100" s="43"/>
      <c r="WNQ100" s="43"/>
      <c r="WNR100" s="43"/>
      <c r="WNS100" s="43"/>
      <c r="WNT100" s="43"/>
      <c r="WNU100" s="43"/>
      <c r="WNV100" s="43"/>
      <c r="WNW100" s="43"/>
      <c r="WNX100" s="43"/>
      <c r="WNY100" s="43"/>
      <c r="WNZ100" s="43"/>
      <c r="WOA100" s="43"/>
      <c r="WOB100" s="43"/>
      <c r="WOC100" s="43"/>
      <c r="WOD100" s="43"/>
      <c r="WOE100" s="43"/>
      <c r="WOF100" s="43"/>
      <c r="WOG100" s="43"/>
      <c r="WOH100" s="43"/>
      <c r="WOI100" s="43"/>
      <c r="WOJ100" s="43"/>
      <c r="WOK100" s="43"/>
      <c r="WOL100" s="43"/>
      <c r="WOM100" s="43"/>
      <c r="WON100" s="43"/>
      <c r="WOO100" s="43"/>
      <c r="WOP100" s="43"/>
      <c r="WOQ100" s="43"/>
      <c r="WOR100" s="43"/>
      <c r="WOS100" s="43"/>
      <c r="WOT100" s="43"/>
      <c r="WOU100" s="43"/>
      <c r="WOV100" s="43"/>
      <c r="WOW100" s="43"/>
      <c r="WOX100" s="43"/>
      <c r="WOY100" s="43"/>
      <c r="WOZ100" s="43"/>
      <c r="WPA100" s="43"/>
      <c r="WPB100" s="43"/>
      <c r="WPC100" s="43"/>
      <c r="WPD100" s="43"/>
      <c r="WPE100" s="43"/>
      <c r="WPF100" s="43"/>
      <c r="WPG100" s="43"/>
      <c r="WPH100" s="43"/>
      <c r="WPI100" s="43"/>
      <c r="WPJ100" s="43"/>
      <c r="WPK100" s="43"/>
      <c r="WPL100" s="43"/>
      <c r="WPM100" s="43"/>
      <c r="WPN100" s="43"/>
      <c r="WPO100" s="43"/>
      <c r="WPP100" s="43"/>
      <c r="WPQ100" s="43"/>
      <c r="WPR100" s="43"/>
      <c r="WPS100" s="43"/>
      <c r="WPT100" s="43"/>
      <c r="WPU100" s="43"/>
      <c r="WPV100" s="43"/>
      <c r="WPW100" s="43"/>
      <c r="WPX100" s="43"/>
      <c r="WPY100" s="43"/>
      <c r="WPZ100" s="43"/>
      <c r="WQA100" s="43"/>
      <c r="WQB100" s="43"/>
      <c r="WQC100" s="43"/>
      <c r="WQD100" s="43"/>
      <c r="WQE100" s="43"/>
      <c r="WQF100" s="43"/>
      <c r="WQG100" s="43"/>
      <c r="WQH100" s="43"/>
      <c r="WQI100" s="43"/>
      <c r="WQJ100" s="43"/>
      <c r="WQK100" s="43"/>
      <c r="WQL100" s="43"/>
      <c r="WQM100" s="43"/>
      <c r="WQN100" s="43"/>
      <c r="WQO100" s="43"/>
      <c r="WQP100" s="43"/>
      <c r="WQQ100" s="43"/>
      <c r="WQR100" s="43"/>
      <c r="WQS100" s="43"/>
      <c r="WQT100" s="43"/>
      <c r="WQU100" s="43"/>
      <c r="WQV100" s="43"/>
      <c r="WQW100" s="43"/>
      <c r="WQX100" s="43"/>
      <c r="WQZ100" s="43"/>
      <c r="WRA100" s="43"/>
      <c r="WRB100" s="43"/>
      <c r="WRC100" s="43"/>
      <c r="WRD100" s="43"/>
      <c r="WRE100" s="43"/>
      <c r="WRF100" s="43"/>
      <c r="WRG100" s="43"/>
      <c r="WRH100" s="43"/>
      <c r="WRI100" s="43"/>
      <c r="WRJ100" s="43"/>
      <c r="WRK100" s="43"/>
      <c r="WRL100" s="43"/>
      <c r="WRM100" s="43"/>
      <c r="WRN100" s="43"/>
      <c r="WRO100" s="43"/>
      <c r="WRP100" s="43"/>
      <c r="WRQ100" s="43"/>
      <c r="WRR100" s="43"/>
      <c r="WRS100" s="43"/>
      <c r="WRT100" s="43"/>
      <c r="WRU100" s="43"/>
      <c r="WRV100" s="43"/>
      <c r="WRW100" s="43"/>
      <c r="WRX100" s="43"/>
      <c r="WRY100" s="43"/>
      <c r="WRZ100" s="43"/>
      <c r="WSA100" s="43"/>
      <c r="WSB100" s="43"/>
      <c r="WSC100" s="43"/>
      <c r="WSD100" s="43"/>
      <c r="WSE100" s="43"/>
      <c r="WSF100" s="43"/>
      <c r="WSG100" s="43"/>
      <c r="WSH100" s="43"/>
      <c r="WSI100" s="43"/>
      <c r="WSJ100" s="43"/>
      <c r="WSK100" s="43"/>
      <c r="WSL100" s="43"/>
      <c r="WSM100" s="43"/>
      <c r="WSN100" s="43"/>
      <c r="WSO100" s="43"/>
      <c r="WSP100" s="43"/>
      <c r="WSQ100" s="43"/>
      <c r="WSR100" s="43"/>
      <c r="WSS100" s="43"/>
      <c r="WST100" s="43"/>
      <c r="WSU100" s="43"/>
      <c r="WSV100" s="43"/>
      <c r="WSW100" s="43"/>
      <c r="WSX100" s="43"/>
      <c r="WSY100" s="43"/>
      <c r="WSZ100" s="43"/>
      <c r="WTA100" s="43"/>
      <c r="WTB100" s="43"/>
      <c r="WTC100" s="43"/>
      <c r="WTD100" s="43"/>
      <c r="WTE100" s="43"/>
      <c r="WTF100" s="43"/>
      <c r="WTG100" s="43"/>
      <c r="WTH100" s="43"/>
      <c r="WTI100" s="43"/>
      <c r="WTJ100" s="43"/>
      <c r="WTK100" s="43"/>
      <c r="WTL100" s="43"/>
      <c r="WTM100" s="43"/>
      <c r="WTN100" s="43"/>
      <c r="WTO100" s="43"/>
      <c r="WTP100" s="43"/>
      <c r="WTQ100" s="43"/>
      <c r="WTR100" s="43"/>
      <c r="WTS100" s="43"/>
      <c r="WTT100" s="43"/>
      <c r="WTU100" s="43"/>
      <c r="WTV100" s="43"/>
      <c r="WTW100" s="43"/>
      <c r="WTX100" s="43"/>
      <c r="WTY100" s="43"/>
      <c r="WTZ100" s="43"/>
      <c r="WUA100" s="43"/>
      <c r="WUB100" s="43"/>
      <c r="WUC100" s="43"/>
      <c r="WUD100" s="43"/>
      <c r="WUE100" s="43"/>
      <c r="WUF100" s="43"/>
      <c r="WUG100" s="43"/>
      <c r="WUH100" s="43"/>
      <c r="WUI100" s="43"/>
      <c r="WUJ100" s="43"/>
      <c r="WUK100" s="43"/>
      <c r="WUL100" s="43"/>
      <c r="WUM100" s="43"/>
      <c r="WUN100" s="43"/>
      <c r="WUO100" s="43"/>
      <c r="WUP100" s="43"/>
      <c r="WUQ100" s="43"/>
      <c r="WUR100" s="43"/>
      <c r="WUS100" s="43"/>
      <c r="WUT100" s="43"/>
      <c r="WUU100" s="43"/>
      <c r="WUV100" s="43"/>
      <c r="WUW100" s="43"/>
      <c r="WUX100" s="43"/>
      <c r="WUY100" s="43"/>
      <c r="WUZ100" s="43"/>
      <c r="WVA100" s="43"/>
      <c r="WVB100" s="43"/>
      <c r="WVC100" s="43"/>
      <c r="WVD100" s="43"/>
      <c r="WVE100" s="43"/>
      <c r="WVF100" s="43"/>
      <c r="WVG100" s="43"/>
      <c r="WVH100" s="43"/>
      <c r="WVI100" s="43"/>
      <c r="WVJ100" s="43"/>
      <c r="WVK100" s="43"/>
      <c r="WVL100" s="43"/>
      <c r="WVM100" s="43"/>
      <c r="WVN100" s="43"/>
      <c r="WVO100" s="43"/>
      <c r="WVP100" s="43"/>
      <c r="WVQ100" s="43"/>
      <c r="WVR100" s="43"/>
      <c r="WVS100" s="43"/>
      <c r="WVT100" s="43"/>
      <c r="WVU100" s="43"/>
      <c r="WVV100" s="43"/>
      <c r="WVW100" s="43"/>
      <c r="WVX100" s="43"/>
      <c r="WVY100" s="43"/>
      <c r="WVZ100" s="43"/>
      <c r="WWA100" s="43"/>
      <c r="WWB100" s="43"/>
      <c r="WWC100" s="43"/>
      <c r="WWD100" s="43"/>
      <c r="WWE100" s="43"/>
      <c r="WWF100" s="43"/>
      <c r="WWG100" s="43"/>
      <c r="WWH100" s="43"/>
      <c r="WWI100" s="43"/>
      <c r="WWJ100" s="43"/>
      <c r="WWK100" s="43"/>
      <c r="WWL100" s="43"/>
      <c r="WWM100" s="43"/>
      <c r="WWN100" s="43"/>
      <c r="WWO100" s="43"/>
      <c r="WWP100" s="43"/>
      <c r="WWQ100" s="43"/>
      <c r="WWR100" s="43"/>
      <c r="WWS100" s="43"/>
      <c r="WWT100" s="43"/>
      <c r="WWU100" s="43"/>
      <c r="WWV100" s="43"/>
      <c r="WWW100" s="43"/>
      <c r="WWX100" s="43"/>
      <c r="WWY100" s="43"/>
      <c r="WWZ100" s="43"/>
      <c r="WXA100" s="43"/>
      <c r="WXB100" s="43"/>
      <c r="WXC100" s="43"/>
      <c r="WXD100" s="43"/>
      <c r="WXE100" s="43"/>
      <c r="WXF100" s="43"/>
      <c r="WXG100" s="43"/>
      <c r="WXH100" s="43"/>
      <c r="WXI100" s="43"/>
      <c r="WXJ100" s="43"/>
      <c r="WXK100" s="43"/>
      <c r="WXL100" s="43"/>
      <c r="WXM100" s="43"/>
      <c r="WXN100" s="43"/>
      <c r="WXO100" s="43"/>
      <c r="WXP100" s="43"/>
      <c r="WXQ100" s="43"/>
      <c r="WXR100" s="43"/>
      <c r="WXS100" s="43"/>
      <c r="WXT100" s="43"/>
      <c r="WXU100" s="43"/>
      <c r="WXV100" s="43"/>
      <c r="WXW100" s="43"/>
      <c r="WXX100" s="43"/>
      <c r="WXY100" s="43"/>
      <c r="WXZ100" s="43"/>
      <c r="WYA100" s="43"/>
      <c r="WYB100" s="43"/>
      <c r="WYC100" s="43"/>
      <c r="WYD100" s="43"/>
      <c r="WYE100" s="43"/>
      <c r="WYF100" s="43"/>
      <c r="WYG100" s="43"/>
      <c r="WYH100" s="43"/>
      <c r="WYI100" s="43"/>
      <c r="WYJ100" s="43"/>
      <c r="WYK100" s="43"/>
      <c r="WYL100" s="43"/>
      <c r="WYM100" s="43"/>
      <c r="WYN100" s="43"/>
      <c r="WYO100" s="43"/>
      <c r="WYP100" s="43"/>
      <c r="WYQ100" s="43"/>
      <c r="WYR100" s="43"/>
      <c r="WYS100" s="43"/>
      <c r="WYT100" s="43"/>
      <c r="WYU100" s="43"/>
      <c r="WYV100" s="43"/>
      <c r="WYW100" s="43"/>
      <c r="WYX100" s="43"/>
      <c r="WYY100" s="43"/>
      <c r="WYZ100" s="43"/>
      <c r="WZA100" s="43"/>
      <c r="WZB100" s="43"/>
      <c r="WZC100" s="43"/>
      <c r="WZD100" s="43"/>
      <c r="WZE100" s="43"/>
      <c r="WZF100" s="43"/>
      <c r="WZG100" s="43"/>
      <c r="WZH100" s="43"/>
      <c r="WZI100" s="43"/>
      <c r="WZJ100" s="43"/>
      <c r="WZK100" s="43"/>
      <c r="WZL100" s="43"/>
      <c r="WZM100" s="43"/>
      <c r="WZN100" s="43"/>
      <c r="WZO100" s="43"/>
      <c r="WZP100" s="43"/>
      <c r="WZQ100" s="43"/>
      <c r="WZR100" s="43"/>
      <c r="WZS100" s="43"/>
      <c r="WZT100" s="43"/>
      <c r="WZU100" s="43"/>
      <c r="WZV100" s="43"/>
      <c r="WZW100" s="43"/>
      <c r="WZX100" s="43"/>
      <c r="WZY100" s="43"/>
      <c r="WZZ100" s="43"/>
      <c r="XAA100" s="43"/>
      <c r="XAB100" s="43"/>
      <c r="XAC100" s="43"/>
      <c r="XAD100" s="43"/>
      <c r="XAE100" s="43"/>
      <c r="XAF100" s="43"/>
      <c r="XAG100" s="43"/>
    </row>
    <row r="101" spans="1:16257" ht="15.6" hidden="1" customHeight="1" x14ac:dyDescent="0.3">
      <c r="A101" s="111" t="s">
        <v>60</v>
      </c>
      <c r="B101" s="108"/>
      <c r="C101" s="106" t="s">
        <v>539</v>
      </c>
      <c r="D101" s="108"/>
      <c r="E101" s="107">
        <v>46120</v>
      </c>
      <c r="F101" s="106" t="s">
        <v>490</v>
      </c>
      <c r="G101" s="108"/>
      <c r="H101" s="155"/>
      <c r="I101" s="155"/>
      <c r="J101" s="108"/>
    </row>
    <row r="102" spans="1:16257" ht="15.6" hidden="1" customHeight="1" x14ac:dyDescent="0.3">
      <c r="A102" s="150" t="s">
        <v>60</v>
      </c>
      <c r="B102" s="106"/>
      <c r="C102" s="106" t="s">
        <v>512</v>
      </c>
      <c r="D102" s="106"/>
      <c r="E102" s="107">
        <v>46119</v>
      </c>
      <c r="F102" s="106" t="s">
        <v>496</v>
      </c>
      <c r="G102" s="106"/>
      <c r="H102" s="155"/>
      <c r="I102" s="155"/>
      <c r="J102" s="106"/>
    </row>
    <row r="103" spans="1:16257" ht="15.6" hidden="1" customHeight="1" x14ac:dyDescent="0.3">
      <c r="A103" s="150"/>
      <c r="B103" s="106"/>
      <c r="C103" s="106"/>
      <c r="D103" s="106"/>
      <c r="E103" s="107"/>
      <c r="F103" s="106"/>
      <c r="G103" s="106"/>
      <c r="H103" s="155"/>
      <c r="I103" s="155"/>
      <c r="J103" s="106"/>
    </row>
    <row r="104" spans="1:16257" ht="15.6" hidden="1" customHeight="1" x14ac:dyDescent="0.3">
      <c r="A104" s="150"/>
      <c r="B104" s="106"/>
      <c r="C104" s="106"/>
      <c r="D104" s="106"/>
      <c r="E104" s="107"/>
      <c r="F104" s="106"/>
      <c r="G104" s="106"/>
      <c r="H104" s="155"/>
      <c r="I104" s="155"/>
      <c r="J104" s="106"/>
    </row>
    <row r="105" spans="1:16257" ht="15.6" hidden="1" customHeight="1" x14ac:dyDescent="0.3">
      <c r="A105" s="150" t="s">
        <v>61</v>
      </c>
      <c r="B105" s="106"/>
      <c r="C105" s="106"/>
      <c r="D105" s="106"/>
      <c r="E105" s="107"/>
      <c r="F105" s="106"/>
      <c r="G105" s="106"/>
      <c r="H105" s="155"/>
      <c r="I105" s="155"/>
      <c r="J105" s="108"/>
    </row>
    <row r="106" spans="1:16257" ht="15.6" hidden="1" customHeight="1" x14ac:dyDescent="0.3">
      <c r="A106" s="150"/>
      <c r="B106" s="106"/>
      <c r="C106" s="106"/>
      <c r="D106" s="106"/>
      <c r="E106" s="107"/>
      <c r="F106" s="106"/>
      <c r="G106" s="106"/>
      <c r="H106" s="155"/>
      <c r="I106" s="155"/>
      <c r="J106" s="108"/>
    </row>
    <row r="107" spans="1:16257" ht="15.6" hidden="1" customHeight="1" x14ac:dyDescent="0.3">
      <c r="A107" s="150"/>
      <c r="B107" s="106"/>
      <c r="C107" s="106"/>
      <c r="D107" s="106"/>
      <c r="E107" s="107"/>
      <c r="F107" s="106"/>
      <c r="G107" s="106"/>
      <c r="H107" s="155"/>
      <c r="I107" s="155"/>
      <c r="J107" s="108"/>
    </row>
    <row r="108" spans="1:16257" ht="15.6" hidden="1" customHeight="1" x14ac:dyDescent="0.3">
      <c r="A108" s="150" t="s">
        <v>62</v>
      </c>
      <c r="B108" s="106"/>
      <c r="C108" s="106"/>
      <c r="D108" s="106"/>
      <c r="E108" s="107"/>
      <c r="F108" s="106"/>
      <c r="G108" s="106"/>
      <c r="H108" s="155"/>
      <c r="I108" s="155"/>
      <c r="J108" s="106"/>
    </row>
    <row r="109" spans="1:16257" ht="15.6" hidden="1" customHeight="1" x14ac:dyDescent="0.3">
      <c r="A109" s="150"/>
      <c r="B109" s="106"/>
      <c r="C109" s="106"/>
      <c r="D109" s="106"/>
      <c r="E109" s="107"/>
      <c r="F109" s="106"/>
      <c r="G109" s="106"/>
      <c r="H109" s="155"/>
      <c r="I109" s="155"/>
      <c r="J109" s="106"/>
    </row>
    <row r="110" spans="1:16257" ht="15.6" hidden="1" customHeight="1" x14ac:dyDescent="0.3">
      <c r="A110" s="150"/>
      <c r="B110" s="106"/>
      <c r="C110" s="106"/>
      <c r="D110" s="106"/>
      <c r="E110" s="107"/>
      <c r="F110" s="106"/>
      <c r="G110" s="106"/>
      <c r="H110" s="155"/>
      <c r="I110" s="155"/>
      <c r="J110" s="106"/>
    </row>
    <row r="111" spans="1:16257" ht="15.6" hidden="1" customHeight="1" x14ac:dyDescent="0.3">
      <c r="A111" s="151" t="s">
        <v>63</v>
      </c>
      <c r="B111" s="106"/>
      <c r="C111" s="106"/>
      <c r="D111" s="106"/>
      <c r="E111" s="107"/>
      <c r="F111" s="106"/>
      <c r="G111" s="106"/>
      <c r="H111" s="155"/>
      <c r="I111" s="155"/>
      <c r="J111" s="106"/>
    </row>
    <row r="112" spans="1:16257" ht="15.6" hidden="1" customHeight="1" x14ac:dyDescent="0.3">
      <c r="A112" s="151"/>
      <c r="B112" s="106"/>
      <c r="C112" s="106"/>
      <c r="D112" s="106"/>
      <c r="E112" s="107"/>
      <c r="F112" s="106"/>
      <c r="G112" s="106"/>
      <c r="H112" s="155"/>
      <c r="I112" s="155"/>
      <c r="J112" s="106"/>
    </row>
    <row r="113" spans="1:10" ht="15.6" hidden="1" customHeight="1" x14ac:dyDescent="0.3">
      <c r="A113" s="151"/>
      <c r="B113" s="106"/>
      <c r="C113" s="106"/>
      <c r="D113" s="106"/>
      <c r="E113" s="107"/>
      <c r="F113" s="106"/>
      <c r="G113" s="106"/>
      <c r="H113" s="155"/>
      <c r="I113" s="155"/>
      <c r="J113" s="106"/>
    </row>
    <row r="114" spans="1:10" ht="15.6" hidden="1" customHeight="1" x14ac:dyDescent="0.3">
      <c r="A114" s="150" t="s">
        <v>64</v>
      </c>
      <c r="B114" s="108"/>
      <c r="C114" s="108"/>
      <c r="D114" s="108"/>
      <c r="E114" s="108"/>
      <c r="F114" s="108"/>
      <c r="G114" s="108"/>
      <c r="H114" s="155"/>
      <c r="I114" s="155"/>
      <c r="J114" s="108"/>
    </row>
    <row r="115" spans="1:10" ht="15.6" hidden="1" customHeight="1" x14ac:dyDescent="0.3">
      <c r="A115" s="150"/>
      <c r="B115" s="108"/>
      <c r="C115" s="108"/>
      <c r="D115" s="108"/>
      <c r="E115" s="108"/>
      <c r="F115" s="108"/>
      <c r="G115" s="108"/>
      <c r="H115" s="155"/>
      <c r="I115" s="155"/>
      <c r="J115" s="108"/>
    </row>
    <row r="116" spans="1:10" ht="15.6" hidden="1" customHeight="1" x14ac:dyDescent="0.3">
      <c r="A116" s="150"/>
      <c r="B116" s="108"/>
      <c r="C116" s="108"/>
      <c r="D116" s="108"/>
      <c r="E116" s="108"/>
      <c r="F116" s="108"/>
      <c r="G116" s="108"/>
      <c r="H116" s="155"/>
      <c r="I116" s="155"/>
      <c r="J116" s="108"/>
    </row>
    <row r="117" spans="1:10" ht="15.6" hidden="1" customHeight="1" x14ac:dyDescent="0.3">
      <c r="A117" s="150" t="s">
        <v>65</v>
      </c>
      <c r="B117" s="106"/>
      <c r="C117" s="106"/>
      <c r="D117" s="106"/>
      <c r="E117" s="107"/>
      <c r="F117" s="106"/>
      <c r="G117" s="106"/>
      <c r="H117" s="155"/>
      <c r="I117" s="155"/>
      <c r="J117" s="106"/>
    </row>
    <row r="118" spans="1:10" ht="15.6" hidden="1" customHeight="1" x14ac:dyDescent="0.3">
      <c r="A118" s="150"/>
      <c r="B118" s="106"/>
      <c r="C118" s="106"/>
      <c r="D118" s="106"/>
      <c r="E118" s="107"/>
      <c r="F118" s="106"/>
      <c r="G118" s="106"/>
      <c r="H118" s="155"/>
      <c r="I118" s="155"/>
      <c r="J118" s="106"/>
    </row>
    <row r="119" spans="1:10" ht="15.6" hidden="1" customHeight="1" x14ac:dyDescent="0.3">
      <c r="A119" s="150"/>
      <c r="B119" s="106"/>
      <c r="C119" s="106"/>
      <c r="D119" s="106"/>
      <c r="E119" s="107"/>
      <c r="F119" s="106"/>
      <c r="G119" s="106"/>
      <c r="H119" s="155"/>
      <c r="I119" s="155"/>
      <c r="J119" s="106"/>
    </row>
    <row r="120" spans="1:10" ht="15.6" hidden="1" customHeight="1" x14ac:dyDescent="0.3">
      <c r="A120" s="150" t="s">
        <v>66</v>
      </c>
      <c r="B120" s="106"/>
      <c r="C120" s="106"/>
      <c r="D120" s="106"/>
      <c r="E120" s="107"/>
      <c r="F120" s="106"/>
      <c r="G120" s="106"/>
      <c r="H120" s="155"/>
      <c r="I120" s="155"/>
      <c r="J120" s="106"/>
    </row>
    <row r="121" spans="1:10" ht="15.6" hidden="1" customHeight="1" x14ac:dyDescent="0.3">
      <c r="A121" s="150"/>
      <c r="B121" s="106"/>
      <c r="C121" s="106"/>
      <c r="D121" s="106"/>
      <c r="E121" s="107"/>
      <c r="F121" s="106"/>
      <c r="G121" s="106"/>
      <c r="H121" s="155"/>
      <c r="I121" s="155"/>
      <c r="J121" s="106"/>
    </row>
    <row r="122" spans="1:10" ht="15.6" hidden="1" customHeight="1" x14ac:dyDescent="0.3">
      <c r="A122" s="150"/>
      <c r="B122" s="106"/>
      <c r="C122" s="106"/>
      <c r="D122" s="106"/>
      <c r="E122" s="107"/>
      <c r="F122" s="106"/>
      <c r="G122" s="106"/>
      <c r="H122" s="155"/>
      <c r="I122" s="155"/>
      <c r="J122" s="106"/>
    </row>
    <row r="123" spans="1:10" ht="15.6" hidden="1" customHeight="1" x14ac:dyDescent="0.3">
      <c r="A123" s="150" t="s">
        <v>67</v>
      </c>
      <c r="B123" s="108"/>
      <c r="C123" s="108"/>
      <c r="D123" s="108"/>
      <c r="E123" s="108"/>
      <c r="F123" s="108"/>
      <c r="G123" s="108"/>
      <c r="H123" s="155"/>
      <c r="I123" s="155"/>
      <c r="J123" s="108"/>
    </row>
    <row r="124" spans="1:10" ht="15.6" hidden="1" customHeight="1" x14ac:dyDescent="0.3">
      <c r="A124" s="150"/>
      <c r="B124" s="108"/>
      <c r="C124" s="108"/>
      <c r="D124" s="108"/>
      <c r="E124" s="108"/>
      <c r="F124" s="108"/>
      <c r="G124" s="108"/>
      <c r="H124" s="155"/>
      <c r="I124" s="155"/>
      <c r="J124" s="108"/>
    </row>
    <row r="125" spans="1:10" ht="15.6" hidden="1" customHeight="1" x14ac:dyDescent="0.3">
      <c r="A125" s="150"/>
      <c r="B125" s="108"/>
      <c r="C125" s="108"/>
      <c r="D125" s="108"/>
      <c r="E125" s="108"/>
      <c r="F125" s="108"/>
      <c r="G125" s="108"/>
      <c r="H125" s="155"/>
      <c r="I125" s="155"/>
      <c r="J125" s="108"/>
    </row>
    <row r="126" spans="1:10" ht="15.6" customHeight="1" x14ac:dyDescent="0.3">
      <c r="A126" s="109" t="s">
        <v>68</v>
      </c>
      <c r="B126" s="106"/>
      <c r="C126" s="141" t="s">
        <v>492</v>
      </c>
      <c r="D126" s="106"/>
      <c r="E126" s="107">
        <v>46115</v>
      </c>
      <c r="F126" s="106" t="s">
        <v>496</v>
      </c>
      <c r="G126" s="106"/>
      <c r="H126" s="155"/>
      <c r="I126" s="155"/>
      <c r="J126" s="106">
        <v>16</v>
      </c>
    </row>
    <row r="127" spans="1:10" ht="15.6" hidden="1" customHeight="1" x14ac:dyDescent="0.3">
      <c r="A127" s="109" t="s">
        <v>68</v>
      </c>
      <c r="B127" s="106"/>
      <c r="C127" s="106" t="s">
        <v>493</v>
      </c>
      <c r="D127" s="106"/>
      <c r="E127" s="107">
        <v>46115</v>
      </c>
      <c r="F127" s="106" t="s">
        <v>496</v>
      </c>
      <c r="G127" s="106"/>
      <c r="H127" s="155"/>
      <c r="I127" s="155"/>
      <c r="J127" s="106"/>
    </row>
    <row r="128" spans="1:10" ht="15.6" hidden="1" customHeight="1" x14ac:dyDescent="0.3">
      <c r="A128" s="109" t="s">
        <v>68</v>
      </c>
      <c r="B128" s="106"/>
      <c r="C128" s="106" t="s">
        <v>547</v>
      </c>
      <c r="D128" s="106"/>
      <c r="E128" s="107">
        <v>46139</v>
      </c>
      <c r="F128" s="106" t="s">
        <v>496</v>
      </c>
      <c r="G128" s="106"/>
      <c r="H128" s="155"/>
      <c r="I128" s="155"/>
      <c r="J128" s="106"/>
    </row>
    <row r="129" spans="1:10" ht="15.6" hidden="1" customHeight="1" x14ac:dyDescent="0.3">
      <c r="A129" s="109" t="s">
        <v>68</v>
      </c>
      <c r="B129" s="106"/>
      <c r="C129" s="106"/>
      <c r="D129" s="106"/>
      <c r="E129" s="107"/>
      <c r="F129" s="106"/>
      <c r="G129" s="106"/>
      <c r="H129" s="155"/>
      <c r="I129" s="155"/>
      <c r="J129" s="106"/>
    </row>
    <row r="130" spans="1:10" ht="15.6" customHeight="1" x14ac:dyDescent="0.3">
      <c r="A130" s="109" t="s">
        <v>480</v>
      </c>
      <c r="B130" s="106"/>
      <c r="C130" s="141" t="s">
        <v>492</v>
      </c>
      <c r="D130" s="106"/>
      <c r="E130" s="107">
        <v>46116</v>
      </c>
      <c r="F130" s="106" t="s">
        <v>490</v>
      </c>
      <c r="G130" s="106"/>
      <c r="H130" s="155"/>
      <c r="I130" s="155"/>
      <c r="J130" s="106">
        <v>16</v>
      </c>
    </row>
    <row r="131" spans="1:10" ht="15.6" hidden="1" customHeight="1" x14ac:dyDescent="0.3">
      <c r="A131" s="150" t="s">
        <v>69</v>
      </c>
      <c r="B131" s="106"/>
      <c r="C131" s="106" t="s">
        <v>505</v>
      </c>
      <c r="D131" s="106"/>
      <c r="E131" s="107">
        <v>46116</v>
      </c>
      <c r="F131" s="106" t="s">
        <v>490</v>
      </c>
      <c r="G131" s="106"/>
      <c r="H131" s="155"/>
      <c r="I131" s="155"/>
      <c r="J131" s="106"/>
    </row>
    <row r="132" spans="1:10" ht="15.6" hidden="1" customHeight="1" x14ac:dyDescent="0.3">
      <c r="A132" s="150"/>
      <c r="B132" s="106"/>
      <c r="C132" s="106"/>
      <c r="D132" s="106"/>
      <c r="E132" s="107"/>
      <c r="F132" s="106"/>
      <c r="G132" s="106"/>
      <c r="H132" s="155"/>
      <c r="I132" s="155"/>
      <c r="J132" s="106"/>
    </row>
    <row r="133" spans="1:10" ht="15.6" hidden="1" customHeight="1" x14ac:dyDescent="0.3">
      <c r="A133" s="150"/>
      <c r="B133" s="106"/>
      <c r="C133" s="106"/>
      <c r="D133" s="106"/>
      <c r="E133" s="107"/>
      <c r="F133" s="106"/>
      <c r="G133" s="106"/>
      <c r="H133" s="155"/>
      <c r="I133" s="155"/>
      <c r="J133" s="106"/>
    </row>
    <row r="134" spans="1:10" ht="15.6" hidden="1" customHeight="1" x14ac:dyDescent="0.3">
      <c r="A134" s="150" t="s">
        <v>70</v>
      </c>
      <c r="B134" s="106"/>
      <c r="C134" s="106" t="s">
        <v>533</v>
      </c>
      <c r="D134" s="106"/>
      <c r="E134" s="107">
        <v>46132</v>
      </c>
      <c r="F134" s="106" t="s">
        <v>499</v>
      </c>
      <c r="G134" s="106"/>
      <c r="H134" s="155"/>
      <c r="I134" s="155"/>
      <c r="J134" s="106"/>
    </row>
    <row r="135" spans="1:10" ht="15.6" hidden="1" customHeight="1" x14ac:dyDescent="0.3">
      <c r="A135" s="150"/>
      <c r="B135" s="106"/>
      <c r="C135" s="106"/>
      <c r="D135" s="106"/>
      <c r="E135" s="107"/>
      <c r="F135" s="106"/>
      <c r="G135" s="106"/>
      <c r="H135" s="155"/>
      <c r="I135" s="155"/>
      <c r="J135" s="106"/>
    </row>
    <row r="136" spans="1:10" ht="15.6" hidden="1" customHeight="1" x14ac:dyDescent="0.3">
      <c r="A136" s="150"/>
      <c r="B136" s="106"/>
      <c r="C136" s="106"/>
      <c r="D136" s="106"/>
      <c r="E136" s="107"/>
      <c r="F136" s="106"/>
      <c r="G136" s="106"/>
      <c r="H136" s="155"/>
      <c r="I136" s="155"/>
      <c r="J136" s="106"/>
    </row>
    <row r="137" spans="1:10" ht="15.6" hidden="1" customHeight="1" x14ac:dyDescent="0.3">
      <c r="A137" s="150" t="s">
        <v>71</v>
      </c>
      <c r="B137" s="106"/>
      <c r="C137" s="106"/>
      <c r="D137" s="106"/>
      <c r="E137" s="107"/>
      <c r="F137" s="106"/>
      <c r="G137" s="106"/>
      <c r="H137" s="155"/>
      <c r="I137" s="155"/>
      <c r="J137" s="106"/>
    </row>
    <row r="138" spans="1:10" ht="15.6" hidden="1" customHeight="1" x14ac:dyDescent="0.3">
      <c r="A138" s="150"/>
      <c r="B138" s="106"/>
      <c r="C138" s="106"/>
      <c r="D138" s="106"/>
      <c r="E138" s="107"/>
      <c r="F138" s="106"/>
      <c r="G138" s="106"/>
      <c r="H138" s="155"/>
      <c r="I138" s="155"/>
      <c r="J138" s="106"/>
    </row>
    <row r="139" spans="1:10" ht="15.6" hidden="1" customHeight="1" x14ac:dyDescent="0.3">
      <c r="A139" s="150"/>
      <c r="B139" s="106"/>
      <c r="C139" s="106"/>
      <c r="D139" s="106"/>
      <c r="E139" s="107"/>
      <c r="F139" s="106"/>
      <c r="G139" s="106"/>
      <c r="H139" s="155"/>
      <c r="I139" s="155"/>
      <c r="J139" s="106"/>
    </row>
    <row r="140" spans="1:10" ht="15.6" customHeight="1" x14ac:dyDescent="0.3">
      <c r="A140" s="109" t="s">
        <v>72</v>
      </c>
      <c r="B140" s="106"/>
      <c r="C140" s="141" t="s">
        <v>515</v>
      </c>
      <c r="D140" s="106"/>
      <c r="E140" s="107">
        <v>46125</v>
      </c>
      <c r="F140" s="106" t="s">
        <v>496</v>
      </c>
      <c r="G140" s="106"/>
      <c r="H140" s="155"/>
      <c r="I140" s="155"/>
      <c r="J140" s="19">
        <v>16</v>
      </c>
    </row>
    <row r="141" spans="1:10" ht="15.6" hidden="1" customHeight="1" x14ac:dyDescent="0.3">
      <c r="A141" s="109" t="s">
        <v>72</v>
      </c>
      <c r="B141" s="106"/>
      <c r="C141" s="106"/>
      <c r="D141" s="106"/>
      <c r="E141" s="107"/>
      <c r="F141" s="106"/>
      <c r="G141" s="106"/>
      <c r="H141" s="155"/>
      <c r="I141" s="155"/>
      <c r="J141" s="19"/>
    </row>
    <row r="142" spans="1:10" ht="15.6" hidden="1" customHeight="1" x14ac:dyDescent="0.3">
      <c r="A142" s="109" t="s">
        <v>72</v>
      </c>
      <c r="B142" s="106"/>
      <c r="C142" s="106"/>
      <c r="D142" s="106"/>
      <c r="E142" s="107"/>
      <c r="F142" s="106"/>
      <c r="G142" s="106"/>
      <c r="H142" s="155"/>
      <c r="I142" s="155"/>
      <c r="J142" s="19"/>
    </row>
    <row r="143" spans="1:10" ht="15.6" hidden="1" customHeight="1" x14ac:dyDescent="0.3">
      <c r="A143" s="109" t="s">
        <v>72</v>
      </c>
      <c r="B143" s="106"/>
      <c r="C143" s="106"/>
      <c r="D143" s="106"/>
      <c r="E143" s="107"/>
      <c r="F143" s="106"/>
      <c r="G143" s="106"/>
      <c r="H143" s="155"/>
      <c r="I143" s="155"/>
      <c r="J143" s="19"/>
    </row>
    <row r="144" spans="1:10" ht="15.6" hidden="1" customHeight="1" x14ac:dyDescent="0.3">
      <c r="A144" s="150" t="s">
        <v>73</v>
      </c>
      <c r="B144" s="106"/>
      <c r="C144" s="106"/>
      <c r="D144" s="106"/>
      <c r="E144" s="107"/>
      <c r="F144" s="106"/>
      <c r="G144" s="106"/>
      <c r="H144" s="155"/>
      <c r="I144" s="155"/>
      <c r="J144" s="106"/>
    </row>
    <row r="145" spans="1:10" ht="15.6" hidden="1" customHeight="1" x14ac:dyDescent="0.3">
      <c r="A145" s="150"/>
      <c r="B145" s="106"/>
      <c r="C145" s="106"/>
      <c r="D145" s="106"/>
      <c r="E145" s="107"/>
      <c r="F145" s="106"/>
      <c r="G145" s="106"/>
      <c r="H145" s="155"/>
      <c r="I145" s="155"/>
      <c r="J145" s="106"/>
    </row>
    <row r="146" spans="1:10" ht="15.6" hidden="1" customHeight="1" x14ac:dyDescent="0.3">
      <c r="A146" s="150"/>
      <c r="B146" s="106"/>
      <c r="C146" s="106"/>
      <c r="D146" s="106"/>
      <c r="E146" s="107"/>
      <c r="F146" s="106"/>
      <c r="G146" s="106"/>
      <c r="H146" s="155"/>
      <c r="I146" s="155"/>
      <c r="J146" s="106"/>
    </row>
    <row r="147" spans="1:10" ht="15.6" hidden="1" customHeight="1" x14ac:dyDescent="0.3">
      <c r="A147" s="150" t="s">
        <v>74</v>
      </c>
      <c r="B147" s="106"/>
      <c r="C147" s="106"/>
      <c r="D147" s="106"/>
      <c r="E147" s="107"/>
      <c r="F147" s="106"/>
      <c r="G147" s="106"/>
      <c r="H147" s="155"/>
      <c r="I147" s="155"/>
      <c r="J147" s="106"/>
    </row>
    <row r="148" spans="1:10" ht="15.6" hidden="1" customHeight="1" x14ac:dyDescent="0.3">
      <c r="A148" s="150"/>
      <c r="B148" s="106"/>
      <c r="C148" s="106"/>
      <c r="D148" s="106"/>
      <c r="E148" s="107"/>
      <c r="F148" s="106"/>
      <c r="G148" s="106"/>
      <c r="H148" s="155"/>
      <c r="I148" s="155"/>
      <c r="J148" s="106"/>
    </row>
    <row r="149" spans="1:10" ht="15.6" hidden="1" customHeight="1" x14ac:dyDescent="0.3">
      <c r="A149" s="150"/>
      <c r="B149" s="106"/>
      <c r="C149" s="106"/>
      <c r="D149" s="106"/>
      <c r="E149" s="107"/>
      <c r="F149" s="106"/>
      <c r="G149" s="106"/>
      <c r="H149" s="155"/>
      <c r="I149" s="155"/>
      <c r="J149" s="106"/>
    </row>
    <row r="150" spans="1:10" ht="15.6" hidden="1" customHeight="1" x14ac:dyDescent="0.3">
      <c r="A150" s="150" t="s">
        <v>75</v>
      </c>
      <c r="B150" s="108"/>
      <c r="C150" s="106"/>
      <c r="D150" s="108"/>
      <c r="E150" s="107"/>
      <c r="F150" s="106"/>
      <c r="G150" s="108"/>
      <c r="H150" s="155"/>
      <c r="I150" s="155"/>
      <c r="J150" s="106"/>
    </row>
    <row r="151" spans="1:10" ht="15.6" hidden="1" customHeight="1" x14ac:dyDescent="0.3">
      <c r="A151" s="150"/>
      <c r="B151" s="108"/>
      <c r="C151" s="106"/>
      <c r="D151" s="108"/>
      <c r="E151" s="107"/>
      <c r="F151" s="106"/>
      <c r="G151" s="108"/>
      <c r="H151" s="155"/>
      <c r="I151" s="155"/>
      <c r="J151" s="106"/>
    </row>
    <row r="152" spans="1:10" ht="15.6" hidden="1" customHeight="1" x14ac:dyDescent="0.3">
      <c r="A152" s="150"/>
      <c r="B152" s="108"/>
      <c r="C152" s="106"/>
      <c r="D152" s="108"/>
      <c r="E152" s="107"/>
      <c r="F152" s="106"/>
      <c r="G152" s="108"/>
      <c r="H152" s="155"/>
      <c r="I152" s="155"/>
      <c r="J152" s="106"/>
    </row>
    <row r="153" spans="1:10" ht="15.6" hidden="1" customHeight="1" x14ac:dyDescent="0.3">
      <c r="A153" s="151" t="s">
        <v>76</v>
      </c>
      <c r="B153" s="108"/>
      <c r="C153" s="108"/>
      <c r="D153" s="108"/>
      <c r="E153" s="112"/>
      <c r="F153" s="108"/>
      <c r="G153" s="108"/>
      <c r="H153" s="155"/>
      <c r="I153" s="155"/>
      <c r="J153" s="108"/>
    </row>
    <row r="154" spans="1:10" ht="15.6" hidden="1" customHeight="1" x14ac:dyDescent="0.3">
      <c r="A154" s="151"/>
      <c r="B154" s="108"/>
      <c r="C154" s="108"/>
      <c r="D154" s="108"/>
      <c r="E154" s="112"/>
      <c r="F154" s="108"/>
      <c r="G154" s="108"/>
      <c r="H154" s="155"/>
      <c r="I154" s="155"/>
      <c r="J154" s="108"/>
    </row>
    <row r="155" spans="1:10" ht="15.6" hidden="1" customHeight="1" x14ac:dyDescent="0.3">
      <c r="A155" s="151"/>
      <c r="B155" s="108"/>
      <c r="C155" s="108"/>
      <c r="D155" s="108"/>
      <c r="E155" s="112"/>
      <c r="F155" s="108"/>
      <c r="G155" s="108"/>
      <c r="H155" s="155"/>
      <c r="I155" s="155"/>
      <c r="J155" s="108"/>
    </row>
    <row r="156" spans="1:10" ht="15.6" hidden="1" customHeight="1" x14ac:dyDescent="0.3">
      <c r="A156" s="151" t="s">
        <v>77</v>
      </c>
      <c r="B156" s="108"/>
      <c r="C156" s="108"/>
      <c r="D156" s="108"/>
      <c r="E156" s="108"/>
      <c r="F156" s="108"/>
      <c r="G156" s="108"/>
      <c r="H156" s="155"/>
      <c r="I156" s="155"/>
      <c r="J156" s="108"/>
    </row>
    <row r="157" spans="1:10" ht="15.6" hidden="1" customHeight="1" x14ac:dyDescent="0.3">
      <c r="A157" s="151"/>
      <c r="B157" s="108"/>
      <c r="C157" s="108"/>
      <c r="D157" s="108"/>
      <c r="E157" s="108"/>
      <c r="F157" s="108"/>
      <c r="G157" s="108"/>
      <c r="H157" s="155"/>
      <c r="I157" s="155"/>
      <c r="J157" s="108"/>
    </row>
    <row r="158" spans="1:10" ht="15.6" hidden="1" customHeight="1" x14ac:dyDescent="0.3">
      <c r="A158" s="151"/>
      <c r="B158" s="108"/>
      <c r="C158" s="108"/>
      <c r="D158" s="108"/>
      <c r="E158" s="108"/>
      <c r="F158" s="108"/>
      <c r="G158" s="108"/>
      <c r="H158" s="155"/>
      <c r="I158" s="155"/>
      <c r="J158" s="108"/>
    </row>
    <row r="159" spans="1:10" ht="15.6" hidden="1" customHeight="1" x14ac:dyDescent="0.3">
      <c r="A159" s="151" t="s">
        <v>78</v>
      </c>
      <c r="B159" s="108"/>
      <c r="C159" s="108"/>
      <c r="D159" s="108"/>
      <c r="E159" s="108"/>
      <c r="F159" s="108"/>
      <c r="G159" s="108"/>
      <c r="H159" s="155"/>
      <c r="I159" s="155"/>
      <c r="J159" s="108"/>
    </row>
    <row r="160" spans="1:10" ht="15.6" hidden="1" customHeight="1" x14ac:dyDescent="0.3">
      <c r="A160" s="151"/>
      <c r="B160" s="108"/>
      <c r="C160" s="108"/>
      <c r="D160" s="108"/>
      <c r="E160" s="108"/>
      <c r="F160" s="108"/>
      <c r="G160" s="108"/>
      <c r="H160" s="155"/>
      <c r="I160" s="155"/>
      <c r="J160" s="108"/>
    </row>
    <row r="161" spans="1:10" ht="15.6" hidden="1" customHeight="1" x14ac:dyDescent="0.3">
      <c r="A161" s="151"/>
      <c r="B161" s="108"/>
      <c r="C161" s="108"/>
      <c r="D161" s="108"/>
      <c r="E161" s="108"/>
      <c r="F161" s="108"/>
      <c r="G161" s="108"/>
      <c r="H161" s="155"/>
      <c r="I161" s="155"/>
      <c r="J161" s="108"/>
    </row>
    <row r="162" spans="1:10" ht="15.6" hidden="1" customHeight="1" x14ac:dyDescent="0.3">
      <c r="A162" s="109" t="s">
        <v>79</v>
      </c>
      <c r="B162" s="106"/>
      <c r="C162" s="106"/>
      <c r="D162" s="106"/>
      <c r="E162" s="107"/>
      <c r="F162" s="106"/>
      <c r="G162" s="106"/>
      <c r="H162" s="155"/>
      <c r="I162" s="155"/>
      <c r="J162" s="106"/>
    </row>
    <row r="163" spans="1:10" ht="15.6" hidden="1" customHeight="1" x14ac:dyDescent="0.3">
      <c r="A163" s="109" t="s">
        <v>79</v>
      </c>
      <c r="B163" s="106"/>
      <c r="C163" s="106"/>
      <c r="D163" s="106"/>
      <c r="E163" s="107"/>
      <c r="F163" s="106"/>
      <c r="G163" s="106"/>
      <c r="H163" s="155"/>
      <c r="I163" s="155"/>
      <c r="J163" s="106"/>
    </row>
    <row r="164" spans="1:10" ht="15.6" hidden="1" customHeight="1" x14ac:dyDescent="0.3">
      <c r="A164" s="109" t="s">
        <v>79</v>
      </c>
      <c r="B164" s="106"/>
      <c r="C164" s="106"/>
      <c r="D164" s="106"/>
      <c r="E164" s="107"/>
      <c r="F164" s="106"/>
      <c r="G164" s="106"/>
      <c r="H164" s="155"/>
      <c r="I164" s="155"/>
      <c r="J164" s="106"/>
    </row>
    <row r="165" spans="1:10" ht="15.6" hidden="1" customHeight="1" x14ac:dyDescent="0.3">
      <c r="A165" s="150" t="s">
        <v>80</v>
      </c>
      <c r="B165" s="106"/>
      <c r="C165" s="106"/>
      <c r="D165" s="106"/>
      <c r="E165" s="107"/>
      <c r="F165" s="106"/>
      <c r="G165" s="106"/>
      <c r="H165" s="155"/>
      <c r="I165" s="155"/>
      <c r="J165" s="106"/>
    </row>
    <row r="166" spans="1:10" ht="15.6" hidden="1" customHeight="1" x14ac:dyDescent="0.3">
      <c r="A166" s="150"/>
      <c r="B166" s="106"/>
      <c r="C166" s="106"/>
      <c r="D166" s="106"/>
      <c r="E166" s="107"/>
      <c r="F166" s="106"/>
      <c r="G166" s="106"/>
      <c r="H166" s="155"/>
      <c r="I166" s="155"/>
      <c r="J166" s="106"/>
    </row>
    <row r="167" spans="1:10" ht="15.6" hidden="1" customHeight="1" x14ac:dyDescent="0.3">
      <c r="A167" s="150"/>
      <c r="B167" s="106"/>
      <c r="C167" s="106"/>
      <c r="D167" s="106"/>
      <c r="E167" s="107"/>
      <c r="F167" s="106"/>
      <c r="G167" s="106"/>
      <c r="H167" s="155"/>
      <c r="I167" s="155"/>
      <c r="J167" s="106"/>
    </row>
    <row r="168" spans="1:10" ht="15.6" hidden="1" customHeight="1" x14ac:dyDescent="0.3">
      <c r="A168" s="150" t="s">
        <v>81</v>
      </c>
      <c r="B168" s="106"/>
      <c r="C168" s="106"/>
      <c r="D168" s="106"/>
      <c r="E168" s="107"/>
      <c r="F168" s="106"/>
      <c r="G168" s="106"/>
      <c r="H168" s="155"/>
      <c r="I168" s="155"/>
      <c r="J168" s="106"/>
    </row>
    <row r="169" spans="1:10" ht="15.6" hidden="1" customHeight="1" x14ac:dyDescent="0.3">
      <c r="A169" s="150"/>
      <c r="B169" s="106"/>
      <c r="C169" s="106"/>
      <c r="D169" s="106"/>
      <c r="E169" s="107"/>
      <c r="F169" s="106"/>
      <c r="G169" s="106"/>
      <c r="H169" s="155"/>
      <c r="I169" s="155"/>
      <c r="J169" s="106"/>
    </row>
    <row r="170" spans="1:10" ht="15.6" hidden="1" customHeight="1" x14ac:dyDescent="0.3">
      <c r="A170" s="150"/>
      <c r="B170" s="106"/>
      <c r="C170" s="106"/>
      <c r="D170" s="106"/>
      <c r="E170" s="107"/>
      <c r="F170" s="106"/>
      <c r="G170" s="106"/>
      <c r="H170" s="155"/>
      <c r="I170" s="155"/>
      <c r="J170" s="106"/>
    </row>
    <row r="171" spans="1:10" ht="15.6" hidden="1" customHeight="1" x14ac:dyDescent="0.3">
      <c r="A171" s="150" t="s">
        <v>82</v>
      </c>
      <c r="B171" s="106"/>
      <c r="C171" s="106"/>
      <c r="D171" s="106"/>
      <c r="E171" s="107"/>
      <c r="F171" s="106"/>
      <c r="G171" s="106"/>
      <c r="H171" s="155"/>
      <c r="I171" s="155"/>
      <c r="J171" s="106"/>
    </row>
    <row r="172" spans="1:10" ht="15.6" hidden="1" customHeight="1" x14ac:dyDescent="0.3">
      <c r="A172" s="150"/>
      <c r="B172" s="106"/>
      <c r="C172" s="106"/>
      <c r="D172" s="106"/>
      <c r="E172" s="107"/>
      <c r="F172" s="106"/>
      <c r="G172" s="106"/>
      <c r="H172" s="155"/>
      <c r="I172" s="155"/>
      <c r="J172" s="106"/>
    </row>
    <row r="173" spans="1:10" ht="15.6" hidden="1" customHeight="1" x14ac:dyDescent="0.3">
      <c r="A173" s="150"/>
      <c r="B173" s="106"/>
      <c r="C173" s="106"/>
      <c r="D173" s="106"/>
      <c r="E173" s="107"/>
      <c r="F173" s="106"/>
      <c r="G173" s="106"/>
      <c r="H173" s="155"/>
      <c r="I173" s="155"/>
      <c r="J173" s="106"/>
    </row>
    <row r="174" spans="1:10" s="20" customFormat="1" ht="15.6" hidden="1" customHeight="1" x14ac:dyDescent="0.3">
      <c r="A174" s="109" t="s">
        <v>83</v>
      </c>
      <c r="B174" s="106"/>
      <c r="C174" s="113" t="s">
        <v>509</v>
      </c>
      <c r="D174" s="106"/>
      <c r="E174" s="107">
        <v>46118</v>
      </c>
      <c r="F174" s="113" t="s">
        <v>510</v>
      </c>
      <c r="G174" s="106"/>
      <c r="H174" s="155"/>
      <c r="I174" s="155"/>
      <c r="J174" s="106"/>
    </row>
    <row r="175" spans="1:10" s="20" customFormat="1" ht="15.6" hidden="1" customHeight="1" x14ac:dyDescent="0.3">
      <c r="A175" s="109" t="s">
        <v>83</v>
      </c>
      <c r="B175" s="106"/>
      <c r="C175" s="113" t="s">
        <v>549</v>
      </c>
      <c r="D175" s="106"/>
      <c r="E175" s="107">
        <v>46139</v>
      </c>
      <c r="F175" s="113" t="s">
        <v>550</v>
      </c>
      <c r="G175" s="106"/>
      <c r="H175" s="155"/>
      <c r="I175" s="155"/>
      <c r="J175" s="106"/>
    </row>
    <row r="176" spans="1:10" s="20" customFormat="1" ht="15.6" hidden="1" customHeight="1" x14ac:dyDescent="0.3">
      <c r="A176" s="109" t="s">
        <v>83</v>
      </c>
      <c r="B176" s="106"/>
      <c r="C176" s="113"/>
      <c r="D176" s="106"/>
      <c r="E176" s="107"/>
      <c r="F176" s="113"/>
      <c r="G176" s="106"/>
      <c r="H176" s="155"/>
      <c r="I176" s="155"/>
      <c r="J176" s="106"/>
    </row>
    <row r="177" spans="1:10" ht="15.6" hidden="1" customHeight="1" x14ac:dyDescent="0.3">
      <c r="A177" s="109" t="s">
        <v>84</v>
      </c>
      <c r="B177" s="106"/>
      <c r="C177" s="106"/>
      <c r="D177" s="106"/>
      <c r="E177" s="107"/>
      <c r="F177" s="106"/>
      <c r="G177" s="106"/>
      <c r="H177" s="155"/>
      <c r="I177" s="155"/>
      <c r="J177" s="106"/>
    </row>
    <row r="178" spans="1:10" ht="15.6" hidden="1" customHeight="1" x14ac:dyDescent="0.3">
      <c r="A178" s="109" t="s">
        <v>84</v>
      </c>
      <c r="B178" s="106"/>
      <c r="C178" s="106"/>
      <c r="D178" s="106"/>
      <c r="E178" s="107"/>
      <c r="F178" s="106"/>
      <c r="G178" s="106"/>
      <c r="H178" s="155"/>
      <c r="I178" s="155"/>
      <c r="J178" s="106"/>
    </row>
    <row r="179" spans="1:10" ht="15.6" hidden="1" customHeight="1" x14ac:dyDescent="0.3">
      <c r="A179" s="109" t="s">
        <v>84</v>
      </c>
      <c r="B179" s="106"/>
      <c r="C179" s="106"/>
      <c r="D179" s="106"/>
      <c r="E179" s="107"/>
      <c r="F179" s="106"/>
      <c r="G179" s="106"/>
      <c r="H179" s="155"/>
      <c r="I179" s="155"/>
      <c r="J179" s="106"/>
    </row>
    <row r="180" spans="1:10" ht="15.6" hidden="1" customHeight="1" x14ac:dyDescent="0.3">
      <c r="A180" s="109" t="s">
        <v>84</v>
      </c>
      <c r="B180" s="106"/>
      <c r="C180" s="106"/>
      <c r="D180" s="106"/>
      <c r="E180" s="107"/>
      <c r="F180" s="106"/>
      <c r="G180" s="106"/>
      <c r="H180" s="155"/>
      <c r="I180" s="155"/>
      <c r="J180" s="106"/>
    </row>
    <row r="181" spans="1:10" ht="15.6" hidden="1" customHeight="1" x14ac:dyDescent="0.3">
      <c r="A181" s="109" t="s">
        <v>85</v>
      </c>
      <c r="B181" s="106"/>
      <c r="C181" s="106"/>
      <c r="D181" s="106"/>
      <c r="E181" s="107"/>
      <c r="F181" s="106"/>
      <c r="G181" s="106"/>
      <c r="H181" s="155"/>
      <c r="I181" s="155"/>
      <c r="J181" s="106"/>
    </row>
    <row r="182" spans="1:10" ht="15.6" hidden="1" customHeight="1" x14ac:dyDescent="0.3">
      <c r="A182" s="109" t="s">
        <v>85</v>
      </c>
      <c r="B182" s="106"/>
      <c r="C182" s="106"/>
      <c r="D182" s="106"/>
      <c r="E182" s="107"/>
      <c r="F182" s="106"/>
      <c r="G182" s="106"/>
      <c r="H182" s="155"/>
      <c r="I182" s="155"/>
      <c r="J182" s="106"/>
    </row>
    <row r="183" spans="1:10" ht="15.6" hidden="1" customHeight="1" x14ac:dyDescent="0.3">
      <c r="A183" s="109" t="s">
        <v>85</v>
      </c>
      <c r="B183" s="106"/>
      <c r="C183" s="106"/>
      <c r="D183" s="106"/>
      <c r="E183" s="107"/>
      <c r="F183" s="106"/>
      <c r="G183" s="106"/>
      <c r="H183" s="155"/>
      <c r="I183" s="155"/>
      <c r="J183" s="106"/>
    </row>
    <row r="184" spans="1:10" s="20" customFormat="1" ht="15.6" hidden="1" customHeight="1" x14ac:dyDescent="0.3">
      <c r="A184" s="109" t="s">
        <v>86</v>
      </c>
      <c r="B184" s="108"/>
      <c r="C184" s="106"/>
      <c r="D184" s="114"/>
      <c r="E184" s="107"/>
      <c r="F184" s="106"/>
      <c r="G184" s="106"/>
      <c r="H184" s="155"/>
      <c r="I184" s="155"/>
      <c r="J184" s="106"/>
    </row>
    <row r="185" spans="1:10" s="20" customFormat="1" ht="15.6" hidden="1" customHeight="1" x14ac:dyDescent="0.3">
      <c r="A185" s="109" t="s">
        <v>86</v>
      </c>
      <c r="B185" s="108"/>
      <c r="C185" s="106"/>
      <c r="D185" s="114"/>
      <c r="E185" s="107"/>
      <c r="F185" s="106"/>
      <c r="G185" s="106"/>
      <c r="H185" s="155"/>
      <c r="I185" s="155"/>
      <c r="J185" s="106"/>
    </row>
    <row r="186" spans="1:10" s="20" customFormat="1" ht="15.6" hidden="1" customHeight="1" x14ac:dyDescent="0.3">
      <c r="A186" s="109" t="s">
        <v>86</v>
      </c>
      <c r="B186" s="108"/>
      <c r="C186" s="106"/>
      <c r="D186" s="114"/>
      <c r="E186" s="107"/>
      <c r="F186" s="106"/>
      <c r="G186" s="106"/>
      <c r="H186" s="155"/>
      <c r="I186" s="155"/>
      <c r="J186" s="106"/>
    </row>
    <row r="187" spans="1:10" ht="15.6" hidden="1" customHeight="1" x14ac:dyDescent="0.3">
      <c r="A187" s="109" t="s">
        <v>87</v>
      </c>
      <c r="B187" s="106"/>
      <c r="C187" s="106"/>
      <c r="D187" s="106"/>
      <c r="E187" s="107"/>
      <c r="F187" s="106"/>
      <c r="G187" s="106"/>
      <c r="H187" s="155"/>
      <c r="I187" s="155"/>
      <c r="J187" s="106"/>
    </row>
    <row r="188" spans="1:10" ht="15.6" hidden="1" customHeight="1" x14ac:dyDescent="0.3">
      <c r="A188" s="109" t="s">
        <v>87</v>
      </c>
      <c r="B188" s="106"/>
      <c r="C188" s="106"/>
      <c r="D188" s="106"/>
      <c r="E188" s="107"/>
      <c r="F188" s="106"/>
      <c r="G188" s="106"/>
      <c r="H188" s="155"/>
      <c r="I188" s="155"/>
      <c r="J188" s="106"/>
    </row>
    <row r="189" spans="1:10" ht="15.6" hidden="1" customHeight="1" x14ac:dyDescent="0.3">
      <c r="A189" s="109" t="s">
        <v>87</v>
      </c>
      <c r="B189" s="106"/>
      <c r="C189" s="106"/>
      <c r="D189" s="106"/>
      <c r="E189" s="107"/>
      <c r="F189" s="106"/>
      <c r="G189" s="106"/>
      <c r="H189" s="155"/>
      <c r="I189" s="155"/>
      <c r="J189" s="106"/>
    </row>
    <row r="190" spans="1:10" ht="15.6" hidden="1" customHeight="1" x14ac:dyDescent="0.3">
      <c r="A190" s="109" t="s">
        <v>87</v>
      </c>
      <c r="B190" s="106"/>
      <c r="C190" s="106"/>
      <c r="D190" s="106"/>
      <c r="E190" s="107"/>
      <c r="F190" s="106"/>
      <c r="G190" s="106"/>
      <c r="H190" s="155"/>
      <c r="I190" s="155"/>
      <c r="J190" s="106"/>
    </row>
    <row r="191" spans="1:10" ht="15.6" hidden="1" customHeight="1" x14ac:dyDescent="0.3">
      <c r="A191" s="109" t="s">
        <v>87</v>
      </c>
      <c r="B191" s="106"/>
      <c r="C191" s="106"/>
      <c r="D191" s="106"/>
      <c r="E191" s="107"/>
      <c r="F191" s="106"/>
      <c r="G191" s="106"/>
      <c r="H191" s="155"/>
      <c r="I191" s="155"/>
      <c r="J191" s="106"/>
    </row>
    <row r="192" spans="1:10" ht="15.6" customHeight="1" x14ac:dyDescent="0.3">
      <c r="A192" s="109" t="s">
        <v>88</v>
      </c>
      <c r="B192" s="106"/>
      <c r="C192" s="141" t="s">
        <v>517</v>
      </c>
      <c r="D192" s="106"/>
      <c r="E192" s="107">
        <v>46126</v>
      </c>
      <c r="F192" s="106" t="s">
        <v>478</v>
      </c>
      <c r="G192" s="106"/>
      <c r="H192" s="155"/>
      <c r="I192" s="155"/>
      <c r="J192" s="106">
        <v>6</v>
      </c>
    </row>
    <row r="193" spans="1:10" ht="15.6" hidden="1" customHeight="1" x14ac:dyDescent="0.3">
      <c r="A193" s="109" t="s">
        <v>88</v>
      </c>
      <c r="B193" s="106"/>
      <c r="C193" s="106"/>
      <c r="D193" s="106"/>
      <c r="E193" s="107"/>
      <c r="F193" s="106"/>
      <c r="G193" s="106"/>
      <c r="H193" s="155"/>
      <c r="I193" s="155"/>
      <c r="J193" s="106"/>
    </row>
    <row r="194" spans="1:10" ht="15.6" hidden="1" customHeight="1" x14ac:dyDescent="0.3">
      <c r="A194" s="109" t="s">
        <v>88</v>
      </c>
      <c r="B194" s="106"/>
      <c r="C194" s="106"/>
      <c r="D194" s="106"/>
      <c r="E194" s="107"/>
      <c r="F194" s="106"/>
      <c r="G194" s="106"/>
      <c r="H194" s="155"/>
      <c r="I194" s="155"/>
      <c r="J194" s="106"/>
    </row>
    <row r="195" spans="1:10" ht="15.6" hidden="1" customHeight="1" x14ac:dyDescent="0.3">
      <c r="A195" s="109" t="s">
        <v>89</v>
      </c>
      <c r="B195" s="106"/>
      <c r="C195" s="106"/>
      <c r="D195" s="106"/>
      <c r="E195" s="107"/>
      <c r="F195" s="106"/>
      <c r="G195" s="106"/>
      <c r="H195" s="155"/>
      <c r="I195" s="155"/>
      <c r="J195" s="106"/>
    </row>
    <row r="196" spans="1:10" ht="15.6" hidden="1" customHeight="1" x14ac:dyDescent="0.3">
      <c r="A196" s="109" t="s">
        <v>89</v>
      </c>
      <c r="B196" s="106"/>
      <c r="C196" s="106"/>
      <c r="D196" s="107"/>
      <c r="E196" s="107"/>
      <c r="F196" s="106"/>
      <c r="G196" s="106"/>
      <c r="H196" s="155"/>
      <c r="I196" s="155"/>
      <c r="J196" s="106"/>
    </row>
    <row r="197" spans="1:10" ht="15.6" hidden="1" customHeight="1" x14ac:dyDescent="0.3">
      <c r="A197" s="109" t="s">
        <v>89</v>
      </c>
      <c r="B197" s="106"/>
      <c r="C197" s="106"/>
      <c r="D197" s="107"/>
      <c r="E197" s="107"/>
      <c r="F197" s="106"/>
      <c r="G197" s="106"/>
      <c r="H197" s="155"/>
      <c r="I197" s="155"/>
      <c r="J197" s="106"/>
    </row>
    <row r="198" spans="1:10" ht="15.6" hidden="1" customHeight="1" x14ac:dyDescent="0.3">
      <c r="A198" s="150" t="s">
        <v>90</v>
      </c>
      <c r="B198" s="106"/>
      <c r="C198" s="106"/>
      <c r="D198" s="106"/>
      <c r="E198" s="107"/>
      <c r="F198" s="106"/>
      <c r="G198" s="106"/>
      <c r="H198" s="155"/>
      <c r="I198" s="155"/>
      <c r="J198" s="106"/>
    </row>
    <row r="199" spans="1:10" ht="15.6" hidden="1" customHeight="1" x14ac:dyDescent="0.3">
      <c r="A199" s="150"/>
      <c r="B199" s="106"/>
      <c r="C199" s="106"/>
      <c r="D199" s="106"/>
      <c r="E199" s="107"/>
      <c r="F199" s="106"/>
      <c r="G199" s="106"/>
      <c r="H199" s="155"/>
      <c r="I199" s="155"/>
      <c r="J199" s="106"/>
    </row>
    <row r="200" spans="1:10" ht="15.6" hidden="1" customHeight="1" x14ac:dyDescent="0.3">
      <c r="A200" s="150"/>
      <c r="B200" s="106"/>
      <c r="C200" s="106"/>
      <c r="D200" s="106"/>
      <c r="E200" s="107"/>
      <c r="F200" s="106"/>
      <c r="G200" s="106"/>
      <c r="H200" s="155"/>
      <c r="I200" s="155"/>
      <c r="J200" s="106"/>
    </row>
    <row r="201" spans="1:10" ht="15.6" hidden="1" customHeight="1" x14ac:dyDescent="0.3">
      <c r="A201" s="111" t="s">
        <v>91</v>
      </c>
      <c r="B201" s="106"/>
      <c r="C201" s="106"/>
      <c r="D201" s="106"/>
      <c r="E201" s="107"/>
      <c r="F201" s="106"/>
      <c r="G201" s="106"/>
      <c r="H201" s="155"/>
      <c r="I201" s="155"/>
      <c r="J201" s="106"/>
    </row>
    <row r="202" spans="1:10" ht="15.6" hidden="1" customHeight="1" x14ac:dyDescent="0.3">
      <c r="A202" s="150" t="s">
        <v>91</v>
      </c>
      <c r="B202" s="108"/>
      <c r="C202" s="106"/>
      <c r="D202" s="106"/>
      <c r="E202" s="107"/>
      <c r="F202" s="106"/>
      <c r="G202" s="106"/>
      <c r="H202" s="155"/>
      <c r="I202" s="155"/>
      <c r="J202" s="106"/>
    </row>
    <row r="203" spans="1:10" ht="15.6" hidden="1" customHeight="1" x14ac:dyDescent="0.3">
      <c r="A203" s="150"/>
      <c r="B203" s="108"/>
      <c r="C203" s="106"/>
      <c r="D203" s="106"/>
      <c r="E203" s="107"/>
      <c r="F203" s="106"/>
      <c r="G203" s="106"/>
      <c r="H203" s="155"/>
      <c r="I203" s="155"/>
      <c r="J203" s="106"/>
    </row>
    <row r="204" spans="1:10" ht="15.6" hidden="1" customHeight="1" x14ac:dyDescent="0.3">
      <c r="A204" s="150"/>
      <c r="B204" s="108"/>
      <c r="C204" s="106"/>
      <c r="D204" s="106"/>
      <c r="E204" s="107"/>
      <c r="F204" s="106"/>
      <c r="G204" s="106"/>
      <c r="H204" s="155"/>
      <c r="I204" s="155"/>
      <c r="J204" s="106"/>
    </row>
    <row r="205" spans="1:10" ht="15.6" hidden="1" customHeight="1" x14ac:dyDescent="0.3">
      <c r="A205" s="150" t="s">
        <v>92</v>
      </c>
      <c r="B205" s="108"/>
      <c r="C205" s="106"/>
      <c r="D205" s="106"/>
      <c r="E205" s="107"/>
      <c r="F205" s="106"/>
      <c r="G205" s="106"/>
      <c r="H205" s="155"/>
      <c r="I205" s="155"/>
      <c r="J205" s="106"/>
    </row>
    <row r="206" spans="1:10" ht="15.6" hidden="1" customHeight="1" x14ac:dyDescent="0.3">
      <c r="A206" s="150"/>
      <c r="B206" s="108"/>
      <c r="C206" s="106"/>
      <c r="D206" s="106"/>
      <c r="E206" s="107"/>
      <c r="F206" s="106"/>
      <c r="G206" s="106"/>
      <c r="H206" s="155"/>
      <c r="I206" s="155"/>
      <c r="J206" s="106"/>
    </row>
    <row r="207" spans="1:10" ht="15.6" hidden="1" customHeight="1" x14ac:dyDescent="0.3">
      <c r="A207" s="150"/>
      <c r="B207" s="108"/>
      <c r="C207" s="106"/>
      <c r="D207" s="106"/>
      <c r="E207" s="107"/>
      <c r="F207" s="106"/>
      <c r="G207" s="106"/>
      <c r="H207" s="155"/>
      <c r="I207" s="155"/>
      <c r="J207" s="106"/>
    </row>
    <row r="208" spans="1:10" ht="15.6" hidden="1" customHeight="1" x14ac:dyDescent="0.3">
      <c r="A208" s="150" t="s">
        <v>93</v>
      </c>
      <c r="B208" s="108"/>
      <c r="C208" s="106"/>
      <c r="D208" s="106"/>
      <c r="E208" s="107"/>
      <c r="F208" s="106"/>
      <c r="G208" s="108"/>
      <c r="H208" s="155"/>
      <c r="I208" s="155"/>
      <c r="J208" s="106"/>
    </row>
    <row r="209" spans="1:10" ht="15.6" hidden="1" customHeight="1" x14ac:dyDescent="0.3">
      <c r="A209" s="150"/>
      <c r="B209" s="108"/>
      <c r="C209" s="106"/>
      <c r="D209" s="106"/>
      <c r="E209" s="107"/>
      <c r="F209" s="106"/>
      <c r="G209" s="108"/>
      <c r="H209" s="155"/>
      <c r="I209" s="155"/>
      <c r="J209" s="106"/>
    </row>
    <row r="210" spans="1:10" ht="15.6" hidden="1" customHeight="1" x14ac:dyDescent="0.3">
      <c r="A210" s="150"/>
      <c r="B210" s="108"/>
      <c r="C210" s="106"/>
      <c r="D210" s="106"/>
      <c r="E210" s="107"/>
      <c r="F210" s="106"/>
      <c r="G210" s="108"/>
      <c r="H210" s="155"/>
      <c r="I210" s="155"/>
      <c r="J210" s="106"/>
    </row>
    <row r="211" spans="1:10" ht="15.6" hidden="1" customHeight="1" x14ac:dyDescent="0.3">
      <c r="A211" s="109" t="s">
        <v>94</v>
      </c>
      <c r="B211" s="106"/>
      <c r="C211" s="106"/>
      <c r="D211" s="106"/>
      <c r="E211" s="107"/>
      <c r="F211" s="106"/>
      <c r="G211" s="106"/>
      <c r="H211" s="155"/>
      <c r="I211" s="155"/>
      <c r="J211" s="106"/>
    </row>
    <row r="212" spans="1:10" ht="15.6" hidden="1" customHeight="1" x14ac:dyDescent="0.3">
      <c r="A212" s="109" t="s">
        <v>94</v>
      </c>
      <c r="B212" s="106"/>
      <c r="C212" s="106"/>
      <c r="D212" s="106"/>
      <c r="E212" s="107"/>
      <c r="F212" s="106"/>
      <c r="G212" s="106"/>
      <c r="H212" s="155"/>
      <c r="I212" s="155"/>
      <c r="J212" s="106"/>
    </row>
    <row r="213" spans="1:10" ht="15.6" hidden="1" customHeight="1" x14ac:dyDescent="0.3">
      <c r="A213" s="109" t="s">
        <v>94</v>
      </c>
      <c r="B213" s="106"/>
      <c r="C213" s="106"/>
      <c r="D213" s="106"/>
      <c r="E213" s="107"/>
      <c r="F213" s="106"/>
      <c r="G213" s="106"/>
      <c r="H213" s="155"/>
      <c r="I213" s="155"/>
      <c r="J213" s="106"/>
    </row>
    <row r="214" spans="1:10" ht="15.6" hidden="1" customHeight="1" x14ac:dyDescent="0.3">
      <c r="A214" s="151" t="s">
        <v>95</v>
      </c>
      <c r="B214" s="106"/>
      <c r="C214" s="106"/>
      <c r="D214" s="106"/>
      <c r="E214" s="107"/>
      <c r="F214" s="106"/>
      <c r="G214" s="106"/>
      <c r="H214" s="155"/>
      <c r="I214" s="155"/>
      <c r="J214" s="106"/>
    </row>
    <row r="215" spans="1:10" ht="15.6" hidden="1" customHeight="1" x14ac:dyDescent="0.3">
      <c r="A215" s="151"/>
      <c r="B215" s="106"/>
      <c r="C215" s="106"/>
      <c r="D215" s="106"/>
      <c r="E215" s="107"/>
      <c r="F215" s="106"/>
      <c r="G215" s="106"/>
      <c r="H215" s="155"/>
      <c r="I215" s="155"/>
      <c r="J215" s="106"/>
    </row>
    <row r="216" spans="1:10" ht="15.6" hidden="1" customHeight="1" x14ac:dyDescent="0.3">
      <c r="A216" s="151"/>
      <c r="B216" s="106"/>
      <c r="C216" s="106"/>
      <c r="D216" s="106"/>
      <c r="E216" s="107"/>
      <c r="F216" s="106"/>
      <c r="G216" s="106"/>
      <c r="H216" s="155"/>
      <c r="I216" s="155"/>
      <c r="J216" s="106"/>
    </row>
    <row r="217" spans="1:10" ht="15.6" hidden="1" customHeight="1" x14ac:dyDescent="0.3">
      <c r="A217" s="151" t="s">
        <v>96</v>
      </c>
      <c r="B217" s="108"/>
      <c r="C217" s="108"/>
      <c r="D217" s="108"/>
      <c r="E217" s="108"/>
      <c r="F217" s="108"/>
      <c r="G217" s="108"/>
      <c r="H217" s="155"/>
      <c r="I217" s="155"/>
      <c r="J217" s="108"/>
    </row>
    <row r="218" spans="1:10" ht="15.6" hidden="1" customHeight="1" x14ac:dyDescent="0.3">
      <c r="A218" s="151"/>
      <c r="B218" s="108"/>
      <c r="C218" s="108"/>
      <c r="D218" s="108"/>
      <c r="E218" s="108"/>
      <c r="F218" s="108"/>
      <c r="G218" s="108"/>
      <c r="H218" s="155"/>
      <c r="I218" s="155"/>
      <c r="J218" s="108"/>
    </row>
    <row r="219" spans="1:10" ht="15.6" hidden="1" customHeight="1" x14ac:dyDescent="0.3">
      <c r="A219" s="151"/>
      <c r="B219" s="108"/>
      <c r="C219" s="108"/>
      <c r="D219" s="108"/>
      <c r="E219" s="108"/>
      <c r="F219" s="108"/>
      <c r="G219" s="108"/>
      <c r="H219" s="155"/>
      <c r="I219" s="155"/>
      <c r="J219" s="108"/>
    </row>
    <row r="220" spans="1:10" ht="15.6" hidden="1" customHeight="1" x14ac:dyDescent="0.3">
      <c r="A220" s="150" t="s">
        <v>97</v>
      </c>
      <c r="B220" s="106"/>
      <c r="C220" s="106"/>
      <c r="D220" s="106"/>
      <c r="E220" s="107"/>
      <c r="F220" s="106"/>
      <c r="G220" s="106"/>
      <c r="H220" s="155"/>
      <c r="I220" s="155"/>
      <c r="J220" s="106"/>
    </row>
    <row r="221" spans="1:10" ht="15.6" hidden="1" customHeight="1" x14ac:dyDescent="0.3">
      <c r="A221" s="150"/>
      <c r="B221" s="106"/>
      <c r="C221" s="106"/>
      <c r="D221" s="106"/>
      <c r="E221" s="107"/>
      <c r="F221" s="106"/>
      <c r="G221" s="106"/>
      <c r="H221" s="155"/>
      <c r="I221" s="155"/>
      <c r="J221" s="106"/>
    </row>
    <row r="222" spans="1:10" ht="15.6" hidden="1" customHeight="1" x14ac:dyDescent="0.3">
      <c r="A222" s="150"/>
      <c r="B222" s="106"/>
      <c r="C222" s="106"/>
      <c r="D222" s="106"/>
      <c r="E222" s="107"/>
      <c r="F222" s="106"/>
      <c r="G222" s="106"/>
      <c r="H222" s="155"/>
      <c r="I222" s="155"/>
      <c r="J222" s="106"/>
    </row>
    <row r="223" spans="1:10" s="20" customFormat="1" ht="15.6" hidden="1" customHeight="1" x14ac:dyDescent="0.3">
      <c r="A223" s="150" t="s">
        <v>98</v>
      </c>
      <c r="B223" s="108"/>
      <c r="C223" s="106"/>
      <c r="D223" s="106"/>
      <c r="E223" s="107"/>
      <c r="F223" s="106"/>
      <c r="G223" s="106"/>
      <c r="H223" s="155"/>
      <c r="I223" s="155"/>
      <c r="J223" s="106"/>
    </row>
    <row r="224" spans="1:10" s="20" customFormat="1" ht="15.6" hidden="1" customHeight="1" x14ac:dyDescent="0.3">
      <c r="A224" s="150"/>
      <c r="B224" s="108"/>
      <c r="C224" s="106"/>
      <c r="D224" s="106"/>
      <c r="E224" s="107"/>
      <c r="F224" s="106"/>
      <c r="G224" s="106"/>
      <c r="H224" s="155"/>
      <c r="I224" s="155"/>
      <c r="J224" s="106"/>
    </row>
    <row r="225" spans="1:10" s="20" customFormat="1" ht="15.6" hidden="1" customHeight="1" x14ac:dyDescent="0.3">
      <c r="A225" s="150"/>
      <c r="B225" s="108"/>
      <c r="C225" s="106"/>
      <c r="D225" s="106"/>
      <c r="E225" s="107"/>
      <c r="F225" s="106"/>
      <c r="G225" s="106"/>
      <c r="H225" s="155"/>
      <c r="I225" s="155"/>
      <c r="J225" s="106"/>
    </row>
    <row r="226" spans="1:10" ht="15.6" hidden="1" customHeight="1" x14ac:dyDescent="0.3">
      <c r="A226" s="151" t="s">
        <v>99</v>
      </c>
      <c r="B226" s="106"/>
      <c r="C226" s="106"/>
      <c r="D226" s="106"/>
      <c r="E226" s="107"/>
      <c r="F226" s="106"/>
      <c r="G226" s="106"/>
      <c r="H226" s="155"/>
      <c r="I226" s="155"/>
      <c r="J226" s="106"/>
    </row>
    <row r="227" spans="1:10" ht="15.6" hidden="1" customHeight="1" x14ac:dyDescent="0.3">
      <c r="A227" s="151"/>
      <c r="B227" s="106"/>
      <c r="C227" s="106"/>
      <c r="D227" s="106"/>
      <c r="E227" s="107"/>
      <c r="F227" s="106"/>
      <c r="G227" s="106"/>
      <c r="H227" s="155"/>
      <c r="I227" s="155"/>
      <c r="J227" s="106"/>
    </row>
    <row r="228" spans="1:10" ht="15.6" hidden="1" customHeight="1" x14ac:dyDescent="0.3">
      <c r="A228" s="151"/>
      <c r="B228" s="106"/>
      <c r="C228" s="106"/>
      <c r="D228" s="106"/>
      <c r="E228" s="107"/>
      <c r="F228" s="106"/>
      <c r="G228" s="106"/>
      <c r="H228" s="155"/>
      <c r="I228" s="155"/>
      <c r="J228" s="106"/>
    </row>
    <row r="229" spans="1:10" ht="15.6" hidden="1" customHeight="1" x14ac:dyDescent="0.3">
      <c r="A229" s="150" t="s">
        <v>100</v>
      </c>
      <c r="B229" s="106"/>
      <c r="C229" s="106"/>
      <c r="D229" s="106"/>
      <c r="E229" s="107"/>
      <c r="F229" s="106"/>
      <c r="G229" s="106"/>
      <c r="H229" s="155"/>
      <c r="I229" s="155"/>
      <c r="J229" s="106"/>
    </row>
    <row r="230" spans="1:10" ht="15.6" hidden="1" customHeight="1" x14ac:dyDescent="0.3">
      <c r="A230" s="150"/>
      <c r="B230" s="106"/>
      <c r="C230" s="106"/>
      <c r="D230" s="106"/>
      <c r="E230" s="107"/>
      <c r="F230" s="106"/>
      <c r="G230" s="106"/>
      <c r="H230" s="155"/>
      <c r="I230" s="155"/>
      <c r="J230" s="106"/>
    </row>
    <row r="231" spans="1:10" ht="15.6" hidden="1" customHeight="1" x14ac:dyDescent="0.3">
      <c r="A231" s="150"/>
      <c r="B231" s="106"/>
      <c r="C231" s="106"/>
      <c r="D231" s="106"/>
      <c r="E231" s="107"/>
      <c r="F231" s="106"/>
      <c r="G231" s="106"/>
      <c r="H231" s="155"/>
      <c r="I231" s="155"/>
      <c r="J231" s="106"/>
    </row>
    <row r="232" spans="1:10" ht="15.6" hidden="1" customHeight="1" x14ac:dyDescent="0.3">
      <c r="A232" s="151" t="s">
        <v>101</v>
      </c>
      <c r="B232" s="108"/>
      <c r="C232" s="108"/>
      <c r="D232" s="108"/>
      <c r="E232" s="115"/>
      <c r="F232" s="108"/>
      <c r="G232" s="108"/>
      <c r="H232" s="155"/>
      <c r="I232" s="155"/>
      <c r="J232" s="108"/>
    </row>
    <row r="233" spans="1:10" ht="15.6" hidden="1" customHeight="1" x14ac:dyDescent="0.3">
      <c r="A233" s="151"/>
      <c r="B233" s="108"/>
      <c r="C233" s="108"/>
      <c r="D233" s="108"/>
      <c r="E233" s="115"/>
      <c r="F233" s="108"/>
      <c r="G233" s="108"/>
      <c r="H233" s="155"/>
      <c r="I233" s="155"/>
      <c r="J233" s="108"/>
    </row>
    <row r="234" spans="1:10" ht="15.6" hidden="1" customHeight="1" x14ac:dyDescent="0.3">
      <c r="A234" s="151"/>
      <c r="B234" s="108"/>
      <c r="C234" s="108"/>
      <c r="D234" s="108"/>
      <c r="E234" s="115"/>
      <c r="F234" s="108"/>
      <c r="G234" s="108"/>
      <c r="H234" s="155"/>
      <c r="I234" s="155"/>
      <c r="J234" s="108"/>
    </row>
    <row r="235" spans="1:10" ht="15.6" hidden="1" customHeight="1" x14ac:dyDescent="0.3">
      <c r="A235" s="150" t="s">
        <v>102</v>
      </c>
      <c r="B235" s="106"/>
      <c r="C235" s="106"/>
      <c r="D235" s="106"/>
      <c r="E235" s="107"/>
      <c r="F235" s="106"/>
      <c r="G235" s="106"/>
      <c r="H235" s="155"/>
      <c r="I235" s="155"/>
      <c r="J235" s="106"/>
    </row>
    <row r="236" spans="1:10" ht="15.6" hidden="1" customHeight="1" x14ac:dyDescent="0.3">
      <c r="A236" s="150"/>
      <c r="B236" s="106"/>
      <c r="C236" s="106"/>
      <c r="D236" s="106"/>
      <c r="E236" s="107"/>
      <c r="F236" s="106"/>
      <c r="G236" s="106"/>
      <c r="H236" s="155"/>
      <c r="I236" s="155"/>
      <c r="J236" s="106"/>
    </row>
    <row r="237" spans="1:10" ht="15.6" hidden="1" customHeight="1" x14ac:dyDescent="0.3">
      <c r="A237" s="150"/>
      <c r="B237" s="106"/>
      <c r="C237" s="106"/>
      <c r="D237" s="106"/>
      <c r="E237" s="107"/>
      <c r="F237" s="106"/>
      <c r="G237" s="106"/>
      <c r="H237" s="155"/>
      <c r="I237" s="155"/>
      <c r="J237" s="106"/>
    </row>
    <row r="238" spans="1:10" ht="15.6" hidden="1" customHeight="1" x14ac:dyDescent="0.3">
      <c r="A238" s="111" t="s">
        <v>103</v>
      </c>
      <c r="B238" s="106"/>
      <c r="C238" s="106"/>
      <c r="D238" s="106"/>
      <c r="E238" s="107"/>
      <c r="F238" s="106"/>
      <c r="G238" s="106"/>
      <c r="H238" s="155"/>
      <c r="I238" s="155"/>
      <c r="J238" s="106"/>
    </row>
    <row r="239" spans="1:10" ht="15.6" hidden="1" customHeight="1" x14ac:dyDescent="0.3">
      <c r="A239" s="150" t="s">
        <v>103</v>
      </c>
      <c r="B239" s="106"/>
      <c r="C239" s="106"/>
      <c r="D239" s="106"/>
      <c r="E239" s="107"/>
      <c r="F239" s="106"/>
      <c r="G239" s="106"/>
      <c r="H239" s="155"/>
      <c r="I239" s="155"/>
      <c r="J239" s="106"/>
    </row>
    <row r="240" spans="1:10" ht="15.6" hidden="1" customHeight="1" x14ac:dyDescent="0.3">
      <c r="A240" s="150"/>
      <c r="B240" s="106"/>
      <c r="C240" s="106"/>
      <c r="D240" s="106"/>
      <c r="E240" s="107"/>
      <c r="F240" s="106"/>
      <c r="G240" s="106"/>
      <c r="H240" s="155"/>
      <c r="I240" s="155"/>
      <c r="J240" s="106"/>
    </row>
    <row r="241" spans="1:10" ht="15.6" hidden="1" customHeight="1" x14ac:dyDescent="0.3">
      <c r="A241" s="150"/>
      <c r="B241" s="106"/>
      <c r="C241" s="106"/>
      <c r="D241" s="106"/>
      <c r="E241" s="107"/>
      <c r="F241" s="106"/>
      <c r="G241" s="106"/>
      <c r="H241" s="155"/>
      <c r="I241" s="155"/>
      <c r="J241" s="106"/>
    </row>
    <row r="242" spans="1:10" ht="15.6" hidden="1" customHeight="1" x14ac:dyDescent="0.3">
      <c r="A242" s="109" t="s">
        <v>104</v>
      </c>
      <c r="B242" s="106"/>
      <c r="C242" s="106" t="s">
        <v>514</v>
      </c>
      <c r="D242" s="106"/>
      <c r="E242" s="107">
        <v>46121</v>
      </c>
      <c r="F242" s="106" t="s">
        <v>499</v>
      </c>
      <c r="G242" s="106"/>
      <c r="H242" s="155"/>
      <c r="I242" s="155"/>
      <c r="J242" s="106"/>
    </row>
    <row r="243" spans="1:10" ht="15.6" hidden="1" customHeight="1" x14ac:dyDescent="0.3">
      <c r="A243" s="109" t="s">
        <v>104</v>
      </c>
      <c r="B243" s="106"/>
      <c r="C243" s="106"/>
      <c r="D243" s="106"/>
      <c r="E243" s="107"/>
      <c r="F243" s="106"/>
      <c r="G243" s="106"/>
      <c r="H243" s="155"/>
      <c r="I243" s="155"/>
      <c r="J243" s="106"/>
    </row>
    <row r="244" spans="1:10" ht="15.6" hidden="1" customHeight="1" x14ac:dyDescent="0.3">
      <c r="A244" s="109" t="s">
        <v>104</v>
      </c>
      <c r="B244" s="106"/>
      <c r="C244" s="106"/>
      <c r="D244" s="106"/>
      <c r="E244" s="107"/>
      <c r="F244" s="106"/>
      <c r="G244" s="106"/>
      <c r="H244" s="155"/>
      <c r="I244" s="155"/>
      <c r="J244" s="106"/>
    </row>
    <row r="245" spans="1:10" ht="15.6" hidden="1" customHeight="1" x14ac:dyDescent="0.3">
      <c r="A245" s="109" t="s">
        <v>105</v>
      </c>
      <c r="B245" s="106"/>
      <c r="C245" s="106"/>
      <c r="D245" s="106"/>
      <c r="E245" s="107"/>
      <c r="F245" s="106"/>
      <c r="G245" s="106"/>
      <c r="H245" s="155"/>
      <c r="I245" s="155"/>
      <c r="J245" s="106"/>
    </row>
    <row r="246" spans="1:10" ht="15.6" hidden="1" customHeight="1" x14ac:dyDescent="0.3">
      <c r="A246" s="109" t="s">
        <v>105</v>
      </c>
      <c r="B246" s="106"/>
      <c r="C246" s="106"/>
      <c r="D246" s="106"/>
      <c r="E246" s="107"/>
      <c r="F246" s="106"/>
      <c r="G246" s="106"/>
      <c r="H246" s="155"/>
      <c r="I246" s="155"/>
      <c r="J246" s="106"/>
    </row>
    <row r="247" spans="1:10" ht="15.6" hidden="1" customHeight="1" x14ac:dyDescent="0.3">
      <c r="A247" s="109" t="s">
        <v>105</v>
      </c>
      <c r="B247" s="106"/>
      <c r="C247" s="106"/>
      <c r="D247" s="106"/>
      <c r="E247" s="107"/>
      <c r="F247" s="106"/>
      <c r="G247" s="106"/>
      <c r="H247" s="155"/>
      <c r="I247" s="155"/>
      <c r="J247" s="106"/>
    </row>
    <row r="248" spans="1:10" ht="15.6" hidden="1" customHeight="1" x14ac:dyDescent="0.3">
      <c r="A248" s="150" t="s">
        <v>106</v>
      </c>
      <c r="B248" s="106"/>
      <c r="C248" s="106"/>
      <c r="D248" s="106"/>
      <c r="E248" s="107"/>
      <c r="F248" s="106"/>
      <c r="G248" s="106"/>
      <c r="H248" s="155"/>
      <c r="I248" s="155"/>
      <c r="J248" s="106"/>
    </row>
    <row r="249" spans="1:10" ht="15.6" hidden="1" customHeight="1" x14ac:dyDescent="0.3">
      <c r="A249" s="150"/>
      <c r="B249" s="106"/>
      <c r="C249" s="106"/>
      <c r="D249" s="106"/>
      <c r="E249" s="107"/>
      <c r="F249" s="106"/>
      <c r="G249" s="106"/>
      <c r="H249" s="155"/>
      <c r="I249" s="155"/>
      <c r="J249" s="106"/>
    </row>
    <row r="250" spans="1:10" ht="15.6" hidden="1" customHeight="1" x14ac:dyDescent="0.3">
      <c r="A250" s="150"/>
      <c r="B250" s="106"/>
      <c r="C250" s="106"/>
      <c r="D250" s="106"/>
      <c r="E250" s="107"/>
      <c r="F250" s="106"/>
      <c r="G250" s="106"/>
      <c r="H250" s="155"/>
      <c r="I250" s="155"/>
      <c r="J250" s="106"/>
    </row>
    <row r="251" spans="1:10" ht="15.6" hidden="1" customHeight="1" x14ac:dyDescent="0.3">
      <c r="A251" s="150" t="s">
        <v>107</v>
      </c>
      <c r="B251" s="106"/>
      <c r="C251" s="106"/>
      <c r="D251" s="106"/>
      <c r="E251" s="107"/>
      <c r="F251" s="106"/>
      <c r="G251" s="106"/>
      <c r="H251" s="155"/>
      <c r="I251" s="155"/>
      <c r="J251" s="106"/>
    </row>
    <row r="252" spans="1:10" ht="15.6" hidden="1" customHeight="1" x14ac:dyDescent="0.3">
      <c r="A252" s="150"/>
      <c r="B252" s="106"/>
      <c r="C252" s="106"/>
      <c r="D252" s="106"/>
      <c r="E252" s="107"/>
      <c r="F252" s="106"/>
      <c r="G252" s="106"/>
      <c r="H252" s="155"/>
      <c r="I252" s="155"/>
      <c r="J252" s="106"/>
    </row>
    <row r="253" spans="1:10" ht="15.6" hidden="1" customHeight="1" x14ac:dyDescent="0.3">
      <c r="A253" s="150"/>
      <c r="B253" s="106"/>
      <c r="C253" s="106"/>
      <c r="D253" s="106"/>
      <c r="E253" s="107"/>
      <c r="F253" s="106"/>
      <c r="G253" s="106"/>
      <c r="H253" s="155"/>
      <c r="I253" s="155"/>
      <c r="J253" s="106"/>
    </row>
    <row r="254" spans="1:10" s="20" customFormat="1" ht="15.6" hidden="1" customHeight="1" x14ac:dyDescent="0.3">
      <c r="A254" s="150" t="s">
        <v>108</v>
      </c>
      <c r="B254" s="108"/>
      <c r="C254" s="106"/>
      <c r="D254" s="106"/>
      <c r="E254" s="107"/>
      <c r="F254" s="106"/>
      <c r="G254" s="106"/>
      <c r="H254" s="155"/>
      <c r="I254" s="155"/>
      <c r="J254" s="106"/>
    </row>
    <row r="255" spans="1:10" s="20" customFormat="1" ht="15.6" hidden="1" customHeight="1" x14ac:dyDescent="0.3">
      <c r="A255" s="150"/>
      <c r="B255" s="108"/>
      <c r="C255" s="106"/>
      <c r="D255" s="106"/>
      <c r="E255" s="107"/>
      <c r="F255" s="106"/>
      <c r="G255" s="106"/>
      <c r="H255" s="155"/>
      <c r="I255" s="155"/>
      <c r="J255" s="106"/>
    </row>
    <row r="256" spans="1:10" s="20" customFormat="1" ht="15.6" hidden="1" customHeight="1" x14ac:dyDescent="0.3">
      <c r="A256" s="150"/>
      <c r="B256" s="108"/>
      <c r="C256" s="106"/>
      <c r="D256" s="106"/>
      <c r="E256" s="107"/>
      <c r="F256" s="106"/>
      <c r="G256" s="106"/>
      <c r="H256" s="155"/>
      <c r="I256" s="155"/>
      <c r="J256" s="106"/>
    </row>
    <row r="257" spans="1:10" ht="15.6" customHeight="1" x14ac:dyDescent="0.3">
      <c r="A257" s="109" t="s">
        <v>109</v>
      </c>
      <c r="B257" s="116"/>
      <c r="C257" s="141" t="s">
        <v>498</v>
      </c>
      <c r="D257" s="106"/>
      <c r="E257" s="107">
        <v>46114</v>
      </c>
      <c r="F257" s="106" t="s">
        <v>499</v>
      </c>
      <c r="G257" s="106"/>
      <c r="H257" s="155"/>
      <c r="I257" s="155"/>
      <c r="J257" s="106">
        <v>16</v>
      </c>
    </row>
    <row r="258" spans="1:10" ht="15.6" hidden="1" customHeight="1" x14ac:dyDescent="0.3">
      <c r="A258" s="109" t="s">
        <v>109</v>
      </c>
      <c r="B258" s="116"/>
      <c r="C258" s="106" t="s">
        <v>500</v>
      </c>
      <c r="D258" s="106"/>
      <c r="E258" s="107">
        <v>46114</v>
      </c>
      <c r="F258" s="106" t="s">
        <v>499</v>
      </c>
      <c r="G258" s="106"/>
      <c r="H258" s="155"/>
      <c r="I258" s="155"/>
      <c r="J258" s="106"/>
    </row>
    <row r="259" spans="1:10" ht="15.6" hidden="1" customHeight="1" x14ac:dyDescent="0.3">
      <c r="A259" s="109" t="s">
        <v>109</v>
      </c>
      <c r="B259" s="116"/>
      <c r="C259" s="106"/>
      <c r="D259" s="106"/>
      <c r="E259" s="107"/>
      <c r="F259" s="106"/>
      <c r="G259" s="106"/>
      <c r="H259" s="155"/>
      <c r="I259" s="155"/>
      <c r="J259" s="106"/>
    </row>
    <row r="260" spans="1:10" ht="15.6" hidden="1" customHeight="1" x14ac:dyDescent="0.3">
      <c r="A260" s="109" t="s">
        <v>110</v>
      </c>
      <c r="B260" s="106"/>
      <c r="C260" s="106"/>
      <c r="D260" s="106"/>
      <c r="E260" s="107"/>
      <c r="F260" s="106"/>
      <c r="G260" s="106"/>
      <c r="H260" s="155"/>
      <c r="I260" s="155"/>
      <c r="J260" s="106"/>
    </row>
    <row r="261" spans="1:10" ht="15.6" hidden="1" customHeight="1" x14ac:dyDescent="0.3">
      <c r="A261" s="109" t="s">
        <v>110</v>
      </c>
      <c r="B261" s="106"/>
      <c r="C261" s="106"/>
      <c r="D261" s="106"/>
      <c r="E261" s="107"/>
      <c r="F261" s="106"/>
      <c r="G261" s="106"/>
      <c r="H261" s="155"/>
      <c r="I261" s="155"/>
      <c r="J261" s="106"/>
    </row>
    <row r="262" spans="1:10" ht="15.6" hidden="1" customHeight="1" x14ac:dyDescent="0.3">
      <c r="A262" s="109" t="s">
        <v>110</v>
      </c>
      <c r="B262" s="106"/>
      <c r="C262" s="106"/>
      <c r="D262" s="106"/>
      <c r="E262" s="107"/>
      <c r="F262" s="106"/>
      <c r="G262" s="106"/>
      <c r="H262" s="155"/>
      <c r="I262" s="155"/>
      <c r="J262" s="106"/>
    </row>
    <row r="263" spans="1:10" s="21" customFormat="1" ht="15.6" hidden="1" customHeight="1" x14ac:dyDescent="0.3">
      <c r="A263" s="150" t="s">
        <v>111</v>
      </c>
      <c r="B263" s="108"/>
      <c r="C263" s="106"/>
      <c r="D263" s="106"/>
      <c r="E263" s="107"/>
      <c r="F263" s="106"/>
      <c r="G263" s="106"/>
      <c r="H263" s="155"/>
      <c r="I263" s="155"/>
      <c r="J263" s="106"/>
    </row>
    <row r="264" spans="1:10" s="21" customFormat="1" ht="15.6" hidden="1" customHeight="1" x14ac:dyDescent="0.3">
      <c r="A264" s="150"/>
      <c r="B264" s="108"/>
      <c r="C264" s="106"/>
      <c r="D264" s="106"/>
      <c r="E264" s="107"/>
      <c r="F264" s="106"/>
      <c r="G264" s="106"/>
      <c r="H264" s="155"/>
      <c r="I264" s="155"/>
      <c r="J264" s="106"/>
    </row>
    <row r="265" spans="1:10" s="21" customFormat="1" ht="15.6" hidden="1" customHeight="1" x14ac:dyDescent="0.3">
      <c r="A265" s="150"/>
      <c r="B265" s="108"/>
      <c r="C265" s="106"/>
      <c r="D265" s="106"/>
      <c r="E265" s="107"/>
      <c r="F265" s="106"/>
      <c r="G265" s="106"/>
      <c r="H265" s="155"/>
      <c r="I265" s="155"/>
      <c r="J265" s="106"/>
    </row>
    <row r="266" spans="1:10" ht="15.6" hidden="1" customHeight="1" x14ac:dyDescent="0.3">
      <c r="A266" s="150" t="s">
        <v>112</v>
      </c>
      <c r="B266" s="106"/>
      <c r="C266" s="106"/>
      <c r="D266" s="106"/>
      <c r="E266" s="107"/>
      <c r="F266" s="106"/>
      <c r="G266" s="106"/>
      <c r="H266" s="155"/>
      <c r="I266" s="155"/>
      <c r="J266" s="106"/>
    </row>
    <row r="267" spans="1:10" ht="15.6" hidden="1" customHeight="1" x14ac:dyDescent="0.3">
      <c r="A267" s="150"/>
      <c r="B267" s="106"/>
      <c r="C267" s="106"/>
      <c r="D267" s="106"/>
      <c r="E267" s="107"/>
      <c r="F267" s="106"/>
      <c r="G267" s="106"/>
      <c r="H267" s="155"/>
      <c r="I267" s="155"/>
      <c r="J267" s="106"/>
    </row>
    <row r="268" spans="1:10" ht="15.6" hidden="1" customHeight="1" x14ac:dyDescent="0.3">
      <c r="A268" s="150"/>
      <c r="B268" s="106"/>
      <c r="C268" s="106"/>
      <c r="D268" s="106"/>
      <c r="E268" s="107"/>
      <c r="F268" s="106"/>
      <c r="G268" s="106"/>
      <c r="H268" s="155"/>
      <c r="I268" s="155"/>
      <c r="J268" s="106"/>
    </row>
    <row r="269" spans="1:10" ht="15.6" hidden="1" customHeight="1" x14ac:dyDescent="0.3">
      <c r="A269" s="150" t="s">
        <v>113</v>
      </c>
      <c r="B269" s="108"/>
      <c r="C269" s="106"/>
      <c r="D269" s="108"/>
      <c r="E269" s="107"/>
      <c r="F269" s="106"/>
      <c r="G269" s="108"/>
      <c r="H269" s="155"/>
      <c r="I269" s="155"/>
      <c r="J269" s="108"/>
    </row>
    <row r="270" spans="1:10" ht="15.6" hidden="1" customHeight="1" x14ac:dyDescent="0.3">
      <c r="A270" s="150"/>
      <c r="B270" s="108"/>
      <c r="C270" s="106"/>
      <c r="D270" s="108"/>
      <c r="E270" s="107"/>
      <c r="F270" s="106"/>
      <c r="G270" s="108"/>
      <c r="H270" s="155"/>
      <c r="I270" s="155"/>
      <c r="J270" s="108"/>
    </row>
    <row r="271" spans="1:10" ht="15.6" hidden="1" customHeight="1" x14ac:dyDescent="0.3">
      <c r="A271" s="150"/>
      <c r="B271" s="108"/>
      <c r="C271" s="106"/>
      <c r="D271" s="108"/>
      <c r="E271" s="107"/>
      <c r="F271" s="106"/>
      <c r="G271" s="108"/>
      <c r="H271" s="155"/>
      <c r="I271" s="155"/>
      <c r="J271" s="108"/>
    </row>
    <row r="272" spans="1:10" ht="15.6" hidden="1" customHeight="1" x14ac:dyDescent="0.3">
      <c r="A272" s="150" t="s">
        <v>114</v>
      </c>
      <c r="B272" s="108"/>
      <c r="C272" s="106"/>
      <c r="D272" s="108"/>
      <c r="E272" s="107"/>
      <c r="F272" s="106"/>
      <c r="G272" s="108"/>
      <c r="H272" s="155"/>
      <c r="I272" s="155"/>
      <c r="J272" s="108"/>
    </row>
    <row r="273" spans="1:10" ht="15.6" hidden="1" customHeight="1" x14ac:dyDescent="0.3">
      <c r="A273" s="150"/>
      <c r="B273" s="108"/>
      <c r="C273" s="106"/>
      <c r="D273" s="108"/>
      <c r="E273" s="107"/>
      <c r="F273" s="106"/>
      <c r="G273" s="108"/>
      <c r="H273" s="155"/>
      <c r="I273" s="155"/>
      <c r="J273" s="108"/>
    </row>
    <row r="274" spans="1:10" ht="15.6" hidden="1" customHeight="1" x14ac:dyDescent="0.3">
      <c r="A274" s="150"/>
      <c r="B274" s="108"/>
      <c r="C274" s="106"/>
      <c r="D274" s="108"/>
      <c r="E274" s="107"/>
      <c r="F274" s="106"/>
      <c r="G274" s="108"/>
      <c r="H274" s="155"/>
      <c r="I274" s="155"/>
      <c r="J274" s="108"/>
    </row>
    <row r="275" spans="1:10" ht="15.6" hidden="1" customHeight="1" x14ac:dyDescent="0.3">
      <c r="A275" s="150" t="s">
        <v>115</v>
      </c>
      <c r="B275" s="108"/>
      <c r="C275" s="108"/>
      <c r="D275" s="108"/>
      <c r="E275" s="108"/>
      <c r="F275" s="108"/>
      <c r="G275" s="108"/>
      <c r="H275" s="155"/>
      <c r="I275" s="155"/>
      <c r="J275" s="108"/>
    </row>
    <row r="276" spans="1:10" ht="15.6" hidden="1" customHeight="1" x14ac:dyDescent="0.3">
      <c r="A276" s="150"/>
      <c r="B276" s="108"/>
      <c r="C276" s="108"/>
      <c r="D276" s="108"/>
      <c r="E276" s="108"/>
      <c r="F276" s="108"/>
      <c r="G276" s="108"/>
      <c r="H276" s="155"/>
      <c r="I276" s="155"/>
      <c r="J276" s="108"/>
    </row>
    <row r="277" spans="1:10" ht="15.6" hidden="1" customHeight="1" x14ac:dyDescent="0.3">
      <c r="A277" s="150"/>
      <c r="B277" s="108"/>
      <c r="C277" s="108"/>
      <c r="D277" s="108"/>
      <c r="E277" s="108"/>
      <c r="F277" s="108"/>
      <c r="G277" s="108"/>
      <c r="H277" s="155"/>
      <c r="I277" s="155"/>
      <c r="J277" s="108"/>
    </row>
    <row r="278" spans="1:10" s="22" customFormat="1" ht="15.6" hidden="1" customHeight="1" x14ac:dyDescent="0.3">
      <c r="A278" s="109" t="s">
        <v>116</v>
      </c>
      <c r="B278" s="106"/>
      <c r="C278" s="106"/>
      <c r="D278" s="106"/>
      <c r="E278" s="107"/>
      <c r="F278" s="106"/>
      <c r="G278" s="106"/>
      <c r="H278" s="155"/>
      <c r="I278" s="155"/>
      <c r="J278" s="106"/>
    </row>
    <row r="279" spans="1:10" s="22" customFormat="1" ht="15.6" hidden="1" customHeight="1" x14ac:dyDescent="0.3">
      <c r="A279" s="109" t="s">
        <v>116</v>
      </c>
      <c r="B279" s="106"/>
      <c r="C279" s="106"/>
      <c r="D279" s="106"/>
      <c r="E279" s="107"/>
      <c r="F279" s="106"/>
      <c r="G279" s="106"/>
      <c r="H279" s="155"/>
      <c r="I279" s="155"/>
      <c r="J279" s="106"/>
    </row>
    <row r="280" spans="1:10" s="22" customFormat="1" ht="15.6" hidden="1" customHeight="1" x14ac:dyDescent="0.3">
      <c r="A280" s="109" t="s">
        <v>116</v>
      </c>
      <c r="B280" s="106"/>
      <c r="C280" s="106"/>
      <c r="D280" s="106"/>
      <c r="E280" s="107"/>
      <c r="F280" s="106"/>
      <c r="G280" s="106"/>
      <c r="H280" s="155"/>
      <c r="I280" s="155"/>
      <c r="J280" s="106"/>
    </row>
    <row r="281" spans="1:10" ht="15.6" hidden="1" customHeight="1" x14ac:dyDescent="0.3">
      <c r="A281" s="109" t="s">
        <v>117</v>
      </c>
      <c r="B281" s="106"/>
      <c r="C281" s="106"/>
      <c r="D281" s="106"/>
      <c r="E281" s="107"/>
      <c r="F281" s="106"/>
      <c r="G281" s="106"/>
      <c r="H281" s="155"/>
      <c r="I281" s="155"/>
      <c r="J281" s="106"/>
    </row>
    <row r="282" spans="1:10" ht="15.6" hidden="1" customHeight="1" x14ac:dyDescent="0.3">
      <c r="A282" s="109" t="s">
        <v>117</v>
      </c>
      <c r="B282" s="106"/>
      <c r="C282" s="106"/>
      <c r="D282" s="106"/>
      <c r="E282" s="107"/>
      <c r="F282" s="106"/>
      <c r="G282" s="106"/>
      <c r="H282" s="155"/>
      <c r="I282" s="155"/>
      <c r="J282" s="106"/>
    </row>
    <row r="283" spans="1:10" ht="15.6" hidden="1" customHeight="1" x14ac:dyDescent="0.3">
      <c r="A283" s="109" t="s">
        <v>117</v>
      </c>
      <c r="B283" s="106"/>
      <c r="C283" s="106"/>
      <c r="D283" s="106"/>
      <c r="E283" s="107"/>
      <c r="F283" s="106"/>
      <c r="G283" s="106"/>
      <c r="H283" s="155"/>
      <c r="I283" s="155"/>
      <c r="J283" s="106"/>
    </row>
    <row r="284" spans="1:10" ht="15.6" hidden="1" customHeight="1" x14ac:dyDescent="0.3">
      <c r="A284" s="109" t="s">
        <v>118</v>
      </c>
      <c r="B284" s="106"/>
      <c r="C284" s="106"/>
      <c r="D284" s="106"/>
      <c r="E284" s="107"/>
      <c r="F284" s="106"/>
      <c r="G284" s="106"/>
      <c r="H284" s="155"/>
      <c r="I284" s="155"/>
      <c r="J284" s="106"/>
    </row>
    <row r="285" spans="1:10" ht="15.6" hidden="1" customHeight="1" x14ac:dyDescent="0.3">
      <c r="A285" s="109" t="s">
        <v>118</v>
      </c>
      <c r="B285" s="106"/>
      <c r="C285" s="106"/>
      <c r="D285" s="106"/>
      <c r="E285" s="107"/>
      <c r="F285" s="106"/>
      <c r="G285" s="106"/>
      <c r="H285" s="155"/>
      <c r="I285" s="155"/>
      <c r="J285" s="106"/>
    </row>
    <row r="286" spans="1:10" ht="15.6" hidden="1" customHeight="1" x14ac:dyDescent="0.3">
      <c r="A286" s="109" t="s">
        <v>118</v>
      </c>
      <c r="B286" s="106"/>
      <c r="C286" s="106"/>
      <c r="D286" s="106"/>
      <c r="E286" s="107"/>
      <c r="F286" s="106"/>
      <c r="G286" s="106"/>
      <c r="H286" s="155"/>
      <c r="I286" s="155"/>
      <c r="J286" s="106"/>
    </row>
    <row r="287" spans="1:10" ht="15.6" hidden="1" customHeight="1" x14ac:dyDescent="0.3">
      <c r="A287" s="150" t="s">
        <v>119</v>
      </c>
      <c r="B287" s="106"/>
      <c r="C287" s="106"/>
      <c r="D287" s="106"/>
      <c r="E287" s="107"/>
      <c r="F287" s="106"/>
      <c r="G287" s="106"/>
      <c r="H287" s="155"/>
      <c r="I287" s="155"/>
      <c r="J287" s="106"/>
    </row>
    <row r="288" spans="1:10" ht="15.6" hidden="1" customHeight="1" x14ac:dyDescent="0.3">
      <c r="A288" s="150"/>
      <c r="B288" s="106"/>
      <c r="C288" s="106"/>
      <c r="D288" s="106"/>
      <c r="E288" s="107"/>
      <c r="F288" s="106"/>
      <c r="G288" s="106"/>
      <c r="H288" s="155"/>
      <c r="I288" s="155"/>
      <c r="J288" s="106"/>
    </row>
    <row r="289" spans="1:10" ht="15.6" hidden="1" customHeight="1" x14ac:dyDescent="0.3">
      <c r="A289" s="150"/>
      <c r="B289" s="106"/>
      <c r="C289" s="106"/>
      <c r="D289" s="106"/>
      <c r="E289" s="107"/>
      <c r="F289" s="106"/>
      <c r="G289" s="106"/>
      <c r="H289" s="155"/>
      <c r="I289" s="155"/>
      <c r="J289" s="106"/>
    </row>
    <row r="290" spans="1:10" ht="15.6" hidden="1" customHeight="1" x14ac:dyDescent="0.3">
      <c r="A290" s="151" t="s">
        <v>120</v>
      </c>
      <c r="B290" s="106"/>
      <c r="C290" s="106"/>
      <c r="D290" s="106"/>
      <c r="E290" s="107"/>
      <c r="F290" s="106"/>
      <c r="G290" s="106"/>
      <c r="H290" s="155"/>
      <c r="I290" s="155"/>
      <c r="J290" s="106"/>
    </row>
    <row r="291" spans="1:10" ht="15.6" hidden="1" customHeight="1" x14ac:dyDescent="0.3">
      <c r="A291" s="151"/>
      <c r="B291" s="106"/>
      <c r="C291" s="106"/>
      <c r="D291" s="106"/>
      <c r="E291" s="107"/>
      <c r="F291" s="106"/>
      <c r="G291" s="106"/>
      <c r="H291" s="155"/>
      <c r="I291" s="155"/>
      <c r="J291" s="106"/>
    </row>
    <row r="292" spans="1:10" ht="15.6" hidden="1" customHeight="1" x14ac:dyDescent="0.3">
      <c r="A292" s="151"/>
      <c r="B292" s="106"/>
      <c r="C292" s="106"/>
      <c r="D292" s="106"/>
      <c r="E292" s="107"/>
      <c r="F292" s="106"/>
      <c r="G292" s="106"/>
      <c r="H292" s="155"/>
      <c r="I292" s="155"/>
      <c r="J292" s="106"/>
    </row>
    <row r="293" spans="1:10" ht="15.6" hidden="1" customHeight="1" x14ac:dyDescent="0.3">
      <c r="A293" s="150" t="s">
        <v>121</v>
      </c>
      <c r="B293" s="106"/>
      <c r="C293" s="106"/>
      <c r="D293" s="106"/>
      <c r="E293" s="107"/>
      <c r="F293" s="106"/>
      <c r="G293" s="106"/>
      <c r="H293" s="155"/>
      <c r="I293" s="155"/>
      <c r="J293" s="106"/>
    </row>
    <row r="294" spans="1:10" ht="15.6" hidden="1" customHeight="1" x14ac:dyDescent="0.3">
      <c r="A294" s="150"/>
      <c r="B294" s="106"/>
      <c r="C294" s="106"/>
      <c r="D294" s="106"/>
      <c r="E294" s="107"/>
      <c r="F294" s="106"/>
      <c r="G294" s="106"/>
      <c r="H294" s="155"/>
      <c r="I294" s="155"/>
      <c r="J294" s="106"/>
    </row>
    <row r="295" spans="1:10" ht="15.6" hidden="1" customHeight="1" x14ac:dyDescent="0.3">
      <c r="A295" s="150"/>
      <c r="B295" s="106"/>
      <c r="C295" s="106"/>
      <c r="D295" s="106"/>
      <c r="E295" s="107"/>
      <c r="F295" s="106"/>
      <c r="G295" s="106"/>
      <c r="H295" s="155"/>
      <c r="I295" s="155"/>
      <c r="J295" s="106"/>
    </row>
    <row r="296" spans="1:10" ht="15.6" hidden="1" customHeight="1" x14ac:dyDescent="0.3">
      <c r="A296" s="150" t="s">
        <v>122</v>
      </c>
      <c r="B296" s="108"/>
      <c r="C296" s="106"/>
      <c r="D296" s="108"/>
      <c r="E296" s="107"/>
      <c r="F296" s="106"/>
      <c r="G296" s="108"/>
      <c r="H296" s="155"/>
      <c r="I296" s="155"/>
      <c r="J296" s="108"/>
    </row>
    <row r="297" spans="1:10" ht="15.6" hidden="1" customHeight="1" x14ac:dyDescent="0.3">
      <c r="A297" s="150"/>
      <c r="B297" s="108"/>
      <c r="C297" s="106"/>
      <c r="D297" s="108"/>
      <c r="E297" s="107"/>
      <c r="F297" s="106"/>
      <c r="G297" s="108"/>
      <c r="H297" s="155"/>
      <c r="I297" s="155"/>
      <c r="J297" s="108"/>
    </row>
    <row r="298" spans="1:10" ht="15.6" hidden="1" customHeight="1" x14ac:dyDescent="0.3">
      <c r="A298" s="150"/>
      <c r="B298" s="108"/>
      <c r="C298" s="106"/>
      <c r="D298" s="108"/>
      <c r="E298" s="107"/>
      <c r="F298" s="106"/>
      <c r="G298" s="108"/>
      <c r="H298" s="155"/>
      <c r="I298" s="155"/>
      <c r="J298" s="108"/>
    </row>
    <row r="299" spans="1:10" ht="15.6" hidden="1" customHeight="1" x14ac:dyDescent="0.3">
      <c r="A299" s="150" t="s">
        <v>123</v>
      </c>
      <c r="B299" s="106"/>
      <c r="C299" s="106"/>
      <c r="D299" s="106"/>
      <c r="E299" s="107"/>
      <c r="F299" s="106"/>
      <c r="G299" s="106"/>
      <c r="H299" s="155"/>
      <c r="I299" s="155"/>
      <c r="J299" s="106"/>
    </row>
    <row r="300" spans="1:10" ht="15.6" hidden="1" customHeight="1" x14ac:dyDescent="0.3">
      <c r="A300" s="150"/>
      <c r="B300" s="106"/>
      <c r="C300" s="106"/>
      <c r="D300" s="106"/>
      <c r="E300" s="107"/>
      <c r="F300" s="106"/>
      <c r="G300" s="106"/>
      <c r="H300" s="155"/>
      <c r="I300" s="155"/>
      <c r="J300" s="106"/>
    </row>
    <row r="301" spans="1:10" ht="15.6" hidden="1" customHeight="1" x14ac:dyDescent="0.3">
      <c r="A301" s="150"/>
      <c r="B301" s="106"/>
      <c r="C301" s="106"/>
      <c r="D301" s="106"/>
      <c r="E301" s="107"/>
      <c r="F301" s="106"/>
      <c r="G301" s="106"/>
      <c r="H301" s="155"/>
      <c r="I301" s="155"/>
      <c r="J301" s="106"/>
    </row>
    <row r="302" spans="1:10" ht="15.6" hidden="1" customHeight="1" x14ac:dyDescent="0.3">
      <c r="A302" s="150" t="s">
        <v>124</v>
      </c>
      <c r="B302" s="106"/>
      <c r="C302" s="106"/>
      <c r="D302" s="106"/>
      <c r="E302" s="107"/>
      <c r="F302" s="106"/>
      <c r="G302" s="106"/>
      <c r="H302" s="155"/>
      <c r="I302" s="155"/>
      <c r="J302" s="106"/>
    </row>
    <row r="303" spans="1:10" ht="15.6" hidden="1" customHeight="1" x14ac:dyDescent="0.3">
      <c r="A303" s="150"/>
      <c r="B303" s="106"/>
      <c r="C303" s="106"/>
      <c r="D303" s="106"/>
      <c r="E303" s="107"/>
      <c r="F303" s="106"/>
      <c r="G303" s="106"/>
      <c r="H303" s="155"/>
      <c r="I303" s="155"/>
      <c r="J303" s="106"/>
    </row>
    <row r="304" spans="1:10" ht="15.6" hidden="1" customHeight="1" x14ac:dyDescent="0.3">
      <c r="A304" s="150"/>
      <c r="B304" s="106"/>
      <c r="C304" s="106"/>
      <c r="D304" s="106"/>
      <c r="E304" s="107"/>
      <c r="F304" s="106"/>
      <c r="G304" s="106"/>
      <c r="H304" s="155"/>
      <c r="I304" s="155"/>
      <c r="J304" s="106"/>
    </row>
    <row r="305" spans="1:10" ht="15.6" hidden="1" customHeight="1" x14ac:dyDescent="0.3">
      <c r="A305" s="150" t="s">
        <v>125</v>
      </c>
      <c r="B305" s="106"/>
      <c r="C305" s="106"/>
      <c r="D305" s="106"/>
      <c r="E305" s="107"/>
      <c r="F305" s="106"/>
      <c r="G305" s="106"/>
      <c r="H305" s="155"/>
      <c r="I305" s="155"/>
      <c r="J305" s="106"/>
    </row>
    <row r="306" spans="1:10" ht="15.6" hidden="1" customHeight="1" x14ac:dyDescent="0.3">
      <c r="A306" s="150"/>
      <c r="B306" s="106"/>
      <c r="C306" s="106"/>
      <c r="D306" s="106"/>
      <c r="E306" s="107"/>
      <c r="F306" s="106"/>
      <c r="G306" s="106"/>
      <c r="H306" s="155"/>
      <c r="I306" s="155"/>
      <c r="J306" s="106"/>
    </row>
    <row r="307" spans="1:10" ht="15.6" hidden="1" customHeight="1" x14ac:dyDescent="0.3">
      <c r="A307" s="150"/>
      <c r="B307" s="106"/>
      <c r="C307" s="106"/>
      <c r="D307" s="106"/>
      <c r="E307" s="107"/>
      <c r="F307" s="106"/>
      <c r="G307" s="106"/>
      <c r="H307" s="155"/>
      <c r="I307" s="155"/>
      <c r="J307" s="106"/>
    </row>
    <row r="308" spans="1:10" ht="15.6" hidden="1" customHeight="1" x14ac:dyDescent="0.3">
      <c r="A308" s="150" t="s">
        <v>126</v>
      </c>
      <c r="B308" s="108"/>
      <c r="C308" s="108"/>
      <c r="D308" s="108"/>
      <c r="E308" s="115"/>
      <c r="F308" s="108"/>
      <c r="G308" s="108"/>
      <c r="H308" s="155"/>
      <c r="I308" s="155"/>
      <c r="J308" s="108"/>
    </row>
    <row r="309" spans="1:10" ht="15.6" hidden="1" customHeight="1" x14ac:dyDescent="0.3">
      <c r="A309" s="150"/>
      <c r="B309" s="108"/>
      <c r="C309" s="108"/>
      <c r="D309" s="108"/>
      <c r="E309" s="115"/>
      <c r="F309" s="108"/>
      <c r="G309" s="108"/>
      <c r="H309" s="155"/>
      <c r="I309" s="155"/>
      <c r="J309" s="108"/>
    </row>
    <row r="310" spans="1:10" ht="15.6" hidden="1" customHeight="1" x14ac:dyDescent="0.3">
      <c r="A310" s="150"/>
      <c r="B310" s="108"/>
      <c r="C310" s="108"/>
      <c r="D310" s="108"/>
      <c r="E310" s="115"/>
      <c r="F310" s="108"/>
      <c r="G310" s="108"/>
      <c r="H310" s="155"/>
      <c r="I310" s="155"/>
      <c r="J310" s="108"/>
    </row>
    <row r="311" spans="1:10" ht="15.6" hidden="1" customHeight="1" x14ac:dyDescent="0.3">
      <c r="A311" s="111" t="s">
        <v>127</v>
      </c>
      <c r="B311" s="108"/>
      <c r="C311" s="106" t="s">
        <v>507</v>
      </c>
      <c r="D311" s="108"/>
      <c r="E311" s="107">
        <v>46138</v>
      </c>
      <c r="F311" s="106" t="s">
        <v>490</v>
      </c>
      <c r="G311" s="108"/>
      <c r="H311" s="155"/>
      <c r="I311" s="155"/>
      <c r="J311" s="108"/>
    </row>
    <row r="312" spans="1:10" ht="15.6" customHeight="1" x14ac:dyDescent="0.3">
      <c r="A312" s="151" t="s">
        <v>127</v>
      </c>
      <c r="B312" s="116"/>
      <c r="C312" s="106" t="s">
        <v>529</v>
      </c>
      <c r="D312" s="106"/>
      <c r="E312" s="107">
        <v>46128</v>
      </c>
      <c r="F312" s="106" t="s">
        <v>499</v>
      </c>
      <c r="G312" s="106"/>
      <c r="H312" s="155"/>
      <c r="I312" s="155"/>
      <c r="J312" s="106">
        <v>30</v>
      </c>
    </row>
    <row r="313" spans="1:10" ht="15.6" hidden="1" customHeight="1" x14ac:dyDescent="0.3">
      <c r="A313" s="151"/>
      <c r="B313" s="116"/>
      <c r="C313" s="106"/>
      <c r="D313" s="106"/>
      <c r="E313" s="107"/>
      <c r="F313" s="106"/>
      <c r="G313" s="106"/>
      <c r="H313" s="155"/>
      <c r="I313" s="155"/>
      <c r="J313" s="106"/>
    </row>
    <row r="314" spans="1:10" ht="15.6" hidden="1" customHeight="1" x14ac:dyDescent="0.3">
      <c r="A314" s="151"/>
      <c r="B314" s="116"/>
      <c r="C314" s="106"/>
      <c r="D314" s="106"/>
      <c r="E314" s="107"/>
      <c r="F314" s="106"/>
      <c r="G314" s="106"/>
      <c r="H314" s="155"/>
      <c r="I314" s="155"/>
      <c r="J314" s="106"/>
    </row>
    <row r="315" spans="1:10" ht="15.6" hidden="1" customHeight="1" x14ac:dyDescent="0.3">
      <c r="A315" s="150" t="s">
        <v>128</v>
      </c>
      <c r="B315" s="108"/>
      <c r="C315" s="106"/>
      <c r="D315" s="108"/>
      <c r="E315" s="107"/>
      <c r="F315" s="106"/>
      <c r="G315" s="108"/>
      <c r="H315" s="155"/>
      <c r="I315" s="155"/>
      <c r="J315" s="108"/>
    </row>
    <row r="316" spans="1:10" ht="15.6" hidden="1" customHeight="1" x14ac:dyDescent="0.3">
      <c r="A316" s="150"/>
      <c r="B316" s="108"/>
      <c r="C316" s="106"/>
      <c r="D316" s="108"/>
      <c r="E316" s="107"/>
      <c r="F316" s="106"/>
      <c r="G316" s="108"/>
      <c r="H316" s="155"/>
      <c r="I316" s="155"/>
      <c r="J316" s="108"/>
    </row>
    <row r="317" spans="1:10" ht="15.6" hidden="1" customHeight="1" x14ac:dyDescent="0.3">
      <c r="A317" s="150"/>
      <c r="B317" s="108"/>
      <c r="C317" s="106"/>
      <c r="D317" s="108"/>
      <c r="E317" s="107"/>
      <c r="F317" s="106"/>
      <c r="G317" s="108"/>
      <c r="H317" s="155"/>
      <c r="I317" s="155"/>
      <c r="J317" s="108"/>
    </row>
    <row r="318" spans="1:10" ht="15.6" hidden="1" customHeight="1" x14ac:dyDescent="0.3">
      <c r="A318" s="150" t="s">
        <v>129</v>
      </c>
      <c r="B318" s="108"/>
      <c r="C318" s="108"/>
      <c r="D318" s="108"/>
      <c r="E318" s="115"/>
      <c r="F318" s="108"/>
      <c r="G318" s="108"/>
      <c r="H318" s="155"/>
      <c r="I318" s="155"/>
      <c r="J318" s="108"/>
    </row>
    <row r="319" spans="1:10" ht="15.6" hidden="1" customHeight="1" x14ac:dyDescent="0.3">
      <c r="A319" s="150"/>
      <c r="B319" s="108"/>
      <c r="C319" s="108"/>
      <c r="D319" s="108"/>
      <c r="E319" s="115"/>
      <c r="F319" s="108"/>
      <c r="G319" s="108"/>
      <c r="H319" s="155"/>
      <c r="I319" s="155"/>
      <c r="J319" s="108"/>
    </row>
    <row r="320" spans="1:10" ht="15.6" hidden="1" customHeight="1" x14ac:dyDescent="0.3">
      <c r="A320" s="150"/>
      <c r="B320" s="108"/>
      <c r="C320" s="108"/>
      <c r="D320" s="108"/>
      <c r="E320" s="115"/>
      <c r="F320" s="108"/>
      <c r="G320" s="108"/>
      <c r="H320" s="155"/>
      <c r="I320" s="155"/>
      <c r="J320" s="108"/>
    </row>
    <row r="321" spans="1:10" ht="15.6" hidden="1" customHeight="1" x14ac:dyDescent="0.3">
      <c r="A321" s="151" t="s">
        <v>130</v>
      </c>
      <c r="B321" s="106"/>
      <c r="C321" s="117"/>
      <c r="D321" s="106"/>
      <c r="E321" s="107"/>
      <c r="F321" s="117"/>
      <c r="G321" s="106"/>
      <c r="H321" s="155"/>
      <c r="I321" s="155"/>
      <c r="J321" s="106"/>
    </row>
    <row r="322" spans="1:10" ht="15.6" hidden="1" customHeight="1" x14ac:dyDescent="0.3">
      <c r="A322" s="151"/>
      <c r="B322" s="106"/>
      <c r="C322" s="117"/>
      <c r="D322" s="106"/>
      <c r="E322" s="107"/>
      <c r="F322" s="117"/>
      <c r="G322" s="106"/>
      <c r="H322" s="155"/>
      <c r="I322" s="155"/>
      <c r="J322" s="106"/>
    </row>
    <row r="323" spans="1:10" ht="15.6" hidden="1" customHeight="1" x14ac:dyDescent="0.3">
      <c r="A323" s="151"/>
      <c r="B323" s="106"/>
      <c r="C323" s="117"/>
      <c r="D323" s="106"/>
      <c r="E323" s="107"/>
      <c r="F323" s="117"/>
      <c r="G323" s="106"/>
      <c r="H323" s="155"/>
      <c r="I323" s="155"/>
      <c r="J323" s="106"/>
    </row>
    <row r="324" spans="1:10" ht="15.6" hidden="1" customHeight="1" x14ac:dyDescent="0.3">
      <c r="A324" s="150" t="s">
        <v>131</v>
      </c>
      <c r="B324" s="106"/>
      <c r="C324" s="106"/>
      <c r="D324" s="106"/>
      <c r="E324" s="107"/>
      <c r="F324" s="106"/>
      <c r="G324" s="106"/>
      <c r="H324" s="155"/>
      <c r="I324" s="155"/>
      <c r="J324" s="106"/>
    </row>
    <row r="325" spans="1:10" ht="15.6" hidden="1" customHeight="1" x14ac:dyDescent="0.3">
      <c r="A325" s="150"/>
      <c r="B325" s="106"/>
      <c r="C325" s="106"/>
      <c r="D325" s="106"/>
      <c r="E325" s="107"/>
      <c r="F325" s="106"/>
      <c r="G325" s="106"/>
      <c r="H325" s="155"/>
      <c r="I325" s="155"/>
      <c r="J325" s="106"/>
    </row>
    <row r="326" spans="1:10" ht="15.6" hidden="1" customHeight="1" x14ac:dyDescent="0.3">
      <c r="A326" s="150"/>
      <c r="B326" s="106"/>
      <c r="C326" s="106"/>
      <c r="D326" s="106"/>
      <c r="E326" s="107"/>
      <c r="F326" s="106"/>
      <c r="G326" s="106"/>
      <c r="H326" s="155"/>
      <c r="I326" s="155"/>
      <c r="J326" s="106"/>
    </row>
    <row r="327" spans="1:10" s="20" customFormat="1" ht="15.6" hidden="1" customHeight="1" x14ac:dyDescent="0.3">
      <c r="A327" s="150" t="s">
        <v>132</v>
      </c>
      <c r="B327" s="106"/>
      <c r="C327" s="106"/>
      <c r="D327" s="106"/>
      <c r="E327" s="107"/>
      <c r="F327" s="106"/>
      <c r="G327" s="106"/>
      <c r="H327" s="155"/>
      <c r="I327" s="155"/>
      <c r="J327" s="106"/>
    </row>
    <row r="328" spans="1:10" s="20" customFormat="1" ht="15.6" hidden="1" customHeight="1" x14ac:dyDescent="0.3">
      <c r="A328" s="150"/>
      <c r="B328" s="106"/>
      <c r="C328" s="106"/>
      <c r="D328" s="106"/>
      <c r="E328" s="107"/>
      <c r="F328" s="106"/>
      <c r="G328" s="106"/>
      <c r="H328" s="155"/>
      <c r="I328" s="155"/>
      <c r="J328" s="106"/>
    </row>
    <row r="329" spans="1:10" s="20" customFormat="1" ht="15.6" hidden="1" customHeight="1" x14ac:dyDescent="0.3">
      <c r="A329" s="150"/>
      <c r="B329" s="106"/>
      <c r="C329" s="106"/>
      <c r="D329" s="106"/>
      <c r="E329" s="107"/>
      <c r="F329" s="106"/>
      <c r="G329" s="106"/>
      <c r="H329" s="155"/>
      <c r="I329" s="155"/>
      <c r="J329" s="106"/>
    </row>
    <row r="330" spans="1:10" s="20" customFormat="1" ht="15.6" hidden="1" customHeight="1" x14ac:dyDescent="0.3">
      <c r="A330" s="111" t="s">
        <v>133</v>
      </c>
      <c r="B330" s="106"/>
      <c r="C330" s="106" t="s">
        <v>545</v>
      </c>
      <c r="D330" s="106"/>
      <c r="E330" s="107">
        <v>46139</v>
      </c>
      <c r="F330" s="106" t="s">
        <v>499</v>
      </c>
      <c r="G330" s="106"/>
      <c r="H330" s="155"/>
      <c r="I330" s="155"/>
      <c r="J330" s="106"/>
    </row>
    <row r="331" spans="1:10" ht="15.6" hidden="1" customHeight="1" x14ac:dyDescent="0.3">
      <c r="A331" s="151" t="s">
        <v>133</v>
      </c>
      <c r="B331" s="106"/>
      <c r="C331" s="106"/>
      <c r="D331" s="106"/>
      <c r="E331" s="107"/>
      <c r="F331" s="106"/>
      <c r="G331" s="106"/>
      <c r="H331" s="155"/>
      <c r="I331" s="155"/>
      <c r="J331" s="106"/>
    </row>
    <row r="332" spans="1:10" ht="15.6" hidden="1" customHeight="1" x14ac:dyDescent="0.3">
      <c r="A332" s="151"/>
      <c r="B332" s="106"/>
      <c r="C332" s="106"/>
      <c r="D332" s="106"/>
      <c r="E332" s="107"/>
      <c r="F332" s="106"/>
      <c r="G332" s="106"/>
      <c r="H332" s="155"/>
      <c r="I332" s="155"/>
      <c r="J332" s="106"/>
    </row>
    <row r="333" spans="1:10" ht="15.6" hidden="1" customHeight="1" x14ac:dyDescent="0.3">
      <c r="A333" s="151"/>
      <c r="B333" s="106"/>
      <c r="C333" s="106"/>
      <c r="D333" s="106"/>
      <c r="E333" s="107"/>
      <c r="F333" s="106"/>
      <c r="G333" s="106"/>
      <c r="H333" s="155"/>
      <c r="I333" s="155"/>
      <c r="J333" s="106"/>
    </row>
    <row r="334" spans="1:10" ht="15.6" hidden="1" customHeight="1" x14ac:dyDescent="0.3">
      <c r="A334" s="109" t="s">
        <v>134</v>
      </c>
      <c r="B334" s="106"/>
      <c r="C334" s="106"/>
      <c r="D334" s="106"/>
      <c r="E334" s="107"/>
      <c r="F334" s="106"/>
      <c r="G334" s="106"/>
      <c r="H334" s="155"/>
      <c r="I334" s="155"/>
      <c r="J334" s="106"/>
    </row>
    <row r="335" spans="1:10" ht="15.6" hidden="1" customHeight="1" x14ac:dyDescent="0.3">
      <c r="A335" s="109" t="s">
        <v>134</v>
      </c>
      <c r="B335" s="106"/>
      <c r="C335" s="106"/>
      <c r="D335" s="106"/>
      <c r="E335" s="107"/>
      <c r="F335" s="106"/>
      <c r="G335" s="106"/>
      <c r="H335" s="155"/>
      <c r="I335" s="155"/>
      <c r="J335" s="106"/>
    </row>
    <row r="336" spans="1:10" ht="15.6" hidden="1" customHeight="1" x14ac:dyDescent="0.3">
      <c r="A336" s="109" t="s">
        <v>134</v>
      </c>
      <c r="B336" s="106"/>
      <c r="C336" s="106"/>
      <c r="D336" s="106"/>
      <c r="E336" s="107"/>
      <c r="F336" s="106"/>
      <c r="G336" s="106"/>
      <c r="H336" s="155"/>
      <c r="I336" s="155"/>
      <c r="J336" s="106"/>
    </row>
    <row r="337" spans="1:10" ht="15.6" hidden="1" customHeight="1" x14ac:dyDescent="0.3">
      <c r="A337" s="109" t="s">
        <v>134</v>
      </c>
      <c r="B337" s="106"/>
      <c r="C337" s="106"/>
      <c r="D337" s="106"/>
      <c r="E337" s="107"/>
      <c r="F337" s="106"/>
      <c r="G337" s="106"/>
      <c r="H337" s="155"/>
      <c r="I337" s="155"/>
      <c r="J337" s="106"/>
    </row>
    <row r="338" spans="1:10" ht="15.6" hidden="1" customHeight="1" x14ac:dyDescent="0.3">
      <c r="A338" s="150" t="s">
        <v>135</v>
      </c>
      <c r="B338" s="108"/>
      <c r="C338" s="108"/>
      <c r="D338" s="108"/>
      <c r="E338" s="108"/>
      <c r="F338" s="108"/>
      <c r="G338" s="108"/>
      <c r="H338" s="155"/>
      <c r="I338" s="155"/>
      <c r="J338" s="108"/>
    </row>
    <row r="339" spans="1:10" ht="15.6" hidden="1" customHeight="1" x14ac:dyDescent="0.3">
      <c r="A339" s="150"/>
      <c r="B339" s="108"/>
      <c r="C339" s="108"/>
      <c r="D339" s="108"/>
      <c r="E339" s="108"/>
      <c r="F339" s="108"/>
      <c r="G339" s="108"/>
      <c r="H339" s="155"/>
      <c r="I339" s="155"/>
      <c r="J339" s="108"/>
    </row>
    <row r="340" spans="1:10" ht="15.6" hidden="1" customHeight="1" x14ac:dyDescent="0.3">
      <c r="A340" s="150"/>
      <c r="B340" s="108"/>
      <c r="C340" s="108"/>
      <c r="D340" s="108"/>
      <c r="E340" s="108"/>
      <c r="F340" s="108"/>
      <c r="G340" s="108"/>
      <c r="H340" s="155"/>
      <c r="I340" s="155"/>
      <c r="J340" s="108"/>
    </row>
    <row r="341" spans="1:10" ht="15.6" hidden="1" customHeight="1" x14ac:dyDescent="0.3">
      <c r="A341" s="150" t="s">
        <v>136</v>
      </c>
      <c r="B341" s="108"/>
      <c r="C341" s="108"/>
      <c r="D341" s="108"/>
      <c r="E341" s="108"/>
      <c r="F341" s="108"/>
      <c r="G341" s="108"/>
      <c r="H341" s="155"/>
      <c r="I341" s="155"/>
      <c r="J341" s="108"/>
    </row>
    <row r="342" spans="1:10" ht="15.6" hidden="1" customHeight="1" x14ac:dyDescent="0.3">
      <c r="A342" s="150"/>
      <c r="B342" s="108"/>
      <c r="C342" s="108"/>
      <c r="D342" s="108"/>
      <c r="E342" s="108"/>
      <c r="F342" s="108"/>
      <c r="G342" s="108"/>
      <c r="H342" s="155"/>
      <c r="I342" s="155"/>
      <c r="J342" s="108"/>
    </row>
    <row r="343" spans="1:10" ht="15.6" hidden="1" customHeight="1" x14ac:dyDescent="0.3">
      <c r="A343" s="150"/>
      <c r="B343" s="108"/>
      <c r="C343" s="108"/>
      <c r="D343" s="108"/>
      <c r="E343" s="108"/>
      <c r="F343" s="108"/>
      <c r="G343" s="108"/>
      <c r="H343" s="155"/>
      <c r="I343" s="155"/>
      <c r="J343" s="108"/>
    </row>
    <row r="344" spans="1:10" ht="15.6" hidden="1" customHeight="1" x14ac:dyDescent="0.3">
      <c r="A344" s="110" t="s">
        <v>137</v>
      </c>
      <c r="B344" s="106"/>
      <c r="C344" s="106"/>
      <c r="D344" s="106"/>
      <c r="E344" s="107"/>
      <c r="F344" s="106"/>
      <c r="G344" s="106"/>
      <c r="H344" s="155"/>
      <c r="I344" s="155"/>
      <c r="J344" s="106"/>
    </row>
    <row r="345" spans="1:10" ht="15.6" hidden="1" customHeight="1" x14ac:dyDescent="0.3">
      <c r="A345" s="110" t="s">
        <v>137</v>
      </c>
      <c r="B345" s="106"/>
      <c r="C345" s="106"/>
      <c r="D345" s="106"/>
      <c r="E345" s="107"/>
      <c r="F345" s="106"/>
      <c r="G345" s="106"/>
      <c r="H345" s="155"/>
      <c r="I345" s="155"/>
      <c r="J345" s="106"/>
    </row>
    <row r="346" spans="1:10" ht="15.6" hidden="1" customHeight="1" x14ac:dyDescent="0.3">
      <c r="A346" s="110" t="s">
        <v>137</v>
      </c>
      <c r="B346" s="106"/>
      <c r="C346" s="106"/>
      <c r="D346" s="106"/>
      <c r="E346" s="107"/>
      <c r="F346" s="106"/>
      <c r="G346" s="106"/>
      <c r="H346" s="155"/>
      <c r="I346" s="155"/>
      <c r="J346" s="106"/>
    </row>
    <row r="347" spans="1:10" ht="15.6" hidden="1" customHeight="1" x14ac:dyDescent="0.3">
      <c r="A347" s="150" t="s">
        <v>138</v>
      </c>
      <c r="B347" s="108"/>
      <c r="C347" s="108"/>
      <c r="D347" s="108"/>
      <c r="E347" s="115"/>
      <c r="F347" s="108"/>
      <c r="G347" s="108"/>
      <c r="H347" s="155"/>
      <c r="I347" s="155"/>
      <c r="J347" s="108"/>
    </row>
    <row r="348" spans="1:10" ht="15.6" hidden="1" customHeight="1" x14ac:dyDescent="0.3">
      <c r="A348" s="150"/>
      <c r="B348" s="108"/>
      <c r="C348" s="108"/>
      <c r="D348" s="108"/>
      <c r="E348" s="115"/>
      <c r="F348" s="108"/>
      <c r="G348" s="108"/>
      <c r="H348" s="155"/>
      <c r="I348" s="155"/>
      <c r="J348" s="108"/>
    </row>
    <row r="349" spans="1:10" ht="15.6" hidden="1" customHeight="1" x14ac:dyDescent="0.3">
      <c r="A349" s="150"/>
      <c r="B349" s="108"/>
      <c r="C349" s="108"/>
      <c r="D349" s="108"/>
      <c r="E349" s="115"/>
      <c r="F349" s="108"/>
      <c r="G349" s="108"/>
      <c r="H349" s="155"/>
      <c r="I349" s="155"/>
      <c r="J349" s="108"/>
    </row>
    <row r="350" spans="1:10" ht="15.6" hidden="1" customHeight="1" x14ac:dyDescent="0.3">
      <c r="A350" s="151" t="s">
        <v>139</v>
      </c>
      <c r="B350" s="106"/>
      <c r="C350" s="106"/>
      <c r="D350" s="106"/>
      <c r="E350" s="107"/>
      <c r="F350" s="106"/>
      <c r="G350" s="106"/>
      <c r="H350" s="155"/>
      <c r="I350" s="155"/>
      <c r="J350" s="106"/>
    </row>
    <row r="351" spans="1:10" ht="15.6" hidden="1" customHeight="1" x14ac:dyDescent="0.3">
      <c r="A351" s="151"/>
      <c r="B351" s="106"/>
      <c r="C351" s="106"/>
      <c r="D351" s="106"/>
      <c r="E351" s="107"/>
      <c r="F351" s="106"/>
      <c r="G351" s="106"/>
      <c r="H351" s="155"/>
      <c r="I351" s="155"/>
      <c r="J351" s="106"/>
    </row>
    <row r="352" spans="1:10" ht="15.6" hidden="1" customHeight="1" x14ac:dyDescent="0.3">
      <c r="A352" s="151"/>
      <c r="B352" s="106"/>
      <c r="C352" s="106"/>
      <c r="D352" s="106"/>
      <c r="E352" s="107"/>
      <c r="F352" s="106"/>
      <c r="G352" s="106"/>
      <c r="H352" s="155"/>
      <c r="I352" s="155"/>
      <c r="J352" s="106"/>
    </row>
    <row r="353" spans="1:10" ht="15.6" hidden="1" customHeight="1" x14ac:dyDescent="0.3">
      <c r="A353" s="150" t="s">
        <v>140</v>
      </c>
      <c r="B353" s="106"/>
      <c r="C353" s="106"/>
      <c r="D353" s="106"/>
      <c r="E353" s="107"/>
      <c r="F353" s="106"/>
      <c r="G353" s="106"/>
      <c r="H353" s="155"/>
      <c r="I353" s="155"/>
      <c r="J353" s="106"/>
    </row>
    <row r="354" spans="1:10" ht="15.6" hidden="1" customHeight="1" x14ac:dyDescent="0.3">
      <c r="A354" s="150"/>
      <c r="B354" s="106"/>
      <c r="C354" s="106"/>
      <c r="D354" s="106"/>
      <c r="E354" s="107"/>
      <c r="F354" s="106"/>
      <c r="G354" s="106"/>
      <c r="H354" s="155"/>
      <c r="I354" s="155"/>
      <c r="J354" s="106"/>
    </row>
    <row r="355" spans="1:10" ht="15.6" hidden="1" customHeight="1" x14ac:dyDescent="0.3">
      <c r="A355" s="150"/>
      <c r="B355" s="106"/>
      <c r="C355" s="106"/>
      <c r="D355" s="106"/>
      <c r="E355" s="107"/>
      <c r="F355" s="106"/>
      <c r="G355" s="106"/>
      <c r="H355" s="155"/>
      <c r="I355" s="155"/>
      <c r="J355" s="106"/>
    </row>
    <row r="356" spans="1:10" ht="15.6" hidden="1" customHeight="1" x14ac:dyDescent="0.3">
      <c r="A356" s="151" t="s">
        <v>141</v>
      </c>
      <c r="B356" s="106"/>
      <c r="C356" s="106"/>
      <c r="D356" s="106"/>
      <c r="E356" s="107"/>
      <c r="F356" s="106"/>
      <c r="G356" s="106"/>
      <c r="H356" s="155"/>
      <c r="I356" s="155"/>
      <c r="J356" s="106"/>
    </row>
    <row r="357" spans="1:10" ht="15.6" hidden="1" customHeight="1" x14ac:dyDescent="0.3">
      <c r="A357" s="151"/>
      <c r="B357" s="106"/>
      <c r="C357" s="106"/>
      <c r="D357" s="106"/>
      <c r="E357" s="107"/>
      <c r="F357" s="106"/>
      <c r="G357" s="106"/>
      <c r="H357" s="155"/>
      <c r="I357" s="155"/>
      <c r="J357" s="106"/>
    </row>
    <row r="358" spans="1:10" ht="15.6" hidden="1" customHeight="1" x14ac:dyDescent="0.3">
      <c r="A358" s="151"/>
      <c r="B358" s="106"/>
      <c r="C358" s="106"/>
      <c r="D358" s="106"/>
      <c r="E358" s="107"/>
      <c r="F358" s="106"/>
      <c r="G358" s="106"/>
      <c r="H358" s="155"/>
      <c r="I358" s="155"/>
      <c r="J358" s="106"/>
    </row>
    <row r="359" spans="1:10" ht="15.6" hidden="1" customHeight="1" x14ac:dyDescent="0.3">
      <c r="A359" s="109" t="s">
        <v>142</v>
      </c>
      <c r="B359" s="106"/>
      <c r="C359" s="106"/>
      <c r="D359" s="106"/>
      <c r="E359" s="107"/>
      <c r="F359" s="107"/>
      <c r="G359" s="106"/>
      <c r="H359" s="155"/>
      <c r="I359" s="155"/>
      <c r="J359" s="106"/>
    </row>
    <row r="360" spans="1:10" ht="15.6" hidden="1" customHeight="1" x14ac:dyDescent="0.3">
      <c r="A360" s="109" t="s">
        <v>142</v>
      </c>
      <c r="B360" s="106"/>
      <c r="C360" s="106"/>
      <c r="D360" s="106"/>
      <c r="E360" s="107"/>
      <c r="F360" s="107"/>
      <c r="G360" s="106"/>
      <c r="H360" s="155"/>
      <c r="I360" s="155"/>
      <c r="J360" s="106"/>
    </row>
    <row r="361" spans="1:10" ht="15.6" hidden="1" customHeight="1" x14ac:dyDescent="0.3">
      <c r="A361" s="109" t="s">
        <v>142</v>
      </c>
      <c r="B361" s="106"/>
      <c r="C361" s="106"/>
      <c r="D361" s="106"/>
      <c r="E361" s="107"/>
      <c r="F361" s="107"/>
      <c r="G361" s="106"/>
      <c r="H361" s="155"/>
      <c r="I361" s="155"/>
      <c r="J361" s="106"/>
    </row>
    <row r="362" spans="1:10" ht="15.6" hidden="1" customHeight="1" x14ac:dyDescent="0.3">
      <c r="A362" s="150" t="s">
        <v>143</v>
      </c>
      <c r="B362" s="106"/>
      <c r="C362" s="106"/>
      <c r="D362" s="106"/>
      <c r="E362" s="107"/>
      <c r="F362" s="106"/>
      <c r="G362" s="106"/>
      <c r="H362" s="155"/>
      <c r="I362" s="155"/>
      <c r="J362" s="106"/>
    </row>
    <row r="363" spans="1:10" ht="15.6" hidden="1" customHeight="1" x14ac:dyDescent="0.3">
      <c r="A363" s="150"/>
      <c r="B363" s="106"/>
      <c r="C363" s="106"/>
      <c r="D363" s="106"/>
      <c r="E363" s="107"/>
      <c r="F363" s="106"/>
      <c r="G363" s="106"/>
      <c r="H363" s="155"/>
      <c r="I363" s="155"/>
      <c r="J363" s="106"/>
    </row>
    <row r="364" spans="1:10" ht="15.6" hidden="1" customHeight="1" x14ac:dyDescent="0.3">
      <c r="A364" s="150"/>
      <c r="B364" s="106"/>
      <c r="C364" s="106"/>
      <c r="D364" s="106"/>
      <c r="E364" s="107"/>
      <c r="F364" s="106"/>
      <c r="G364" s="106"/>
      <c r="H364" s="155"/>
      <c r="I364" s="155"/>
      <c r="J364" s="106"/>
    </row>
    <row r="365" spans="1:10" ht="15.6" hidden="1" customHeight="1" x14ac:dyDescent="0.3">
      <c r="A365" s="111" t="s">
        <v>144</v>
      </c>
      <c r="B365" s="106"/>
      <c r="C365" s="106"/>
      <c r="D365" s="106"/>
      <c r="E365" s="107"/>
      <c r="F365" s="106"/>
      <c r="G365" s="106"/>
      <c r="H365" s="155"/>
      <c r="I365" s="155"/>
      <c r="J365" s="106"/>
    </row>
    <row r="366" spans="1:10" ht="15.6" hidden="1" customHeight="1" x14ac:dyDescent="0.3">
      <c r="A366" s="150" t="s">
        <v>144</v>
      </c>
      <c r="B366" s="106"/>
      <c r="C366" s="106"/>
      <c r="D366" s="106"/>
      <c r="E366" s="107"/>
      <c r="F366" s="106"/>
      <c r="G366" s="106"/>
      <c r="H366" s="155"/>
      <c r="I366" s="155"/>
      <c r="J366" s="106"/>
    </row>
    <row r="367" spans="1:10" ht="15.6" hidden="1" customHeight="1" x14ac:dyDescent="0.3">
      <c r="A367" s="150"/>
      <c r="B367" s="106"/>
      <c r="C367" s="106"/>
      <c r="D367" s="106"/>
      <c r="E367" s="107"/>
      <c r="F367" s="106"/>
      <c r="G367" s="106"/>
      <c r="H367" s="155"/>
      <c r="I367" s="155"/>
      <c r="J367" s="106"/>
    </row>
    <row r="368" spans="1:10" ht="15.6" hidden="1" customHeight="1" x14ac:dyDescent="0.3">
      <c r="A368" s="150"/>
      <c r="B368" s="106"/>
      <c r="C368" s="106"/>
      <c r="D368" s="106"/>
      <c r="E368" s="107"/>
      <c r="F368" s="106"/>
      <c r="G368" s="106"/>
      <c r="H368" s="155"/>
      <c r="I368" s="155"/>
      <c r="J368" s="106"/>
    </row>
    <row r="369" spans="1:10" ht="15.6" hidden="1" customHeight="1" x14ac:dyDescent="0.3">
      <c r="A369" s="151" t="s">
        <v>145</v>
      </c>
      <c r="B369" s="106"/>
      <c r="C369" s="106"/>
      <c r="D369" s="107"/>
      <c r="E369" s="107"/>
      <c r="F369" s="106"/>
      <c r="G369" s="106"/>
      <c r="H369" s="155"/>
      <c r="I369" s="155"/>
      <c r="J369" s="106"/>
    </row>
    <row r="370" spans="1:10" ht="15.6" hidden="1" customHeight="1" x14ac:dyDescent="0.3">
      <c r="A370" s="151"/>
      <c r="B370" s="106"/>
      <c r="C370" s="106"/>
      <c r="D370" s="107"/>
      <c r="E370" s="107"/>
      <c r="F370" s="106"/>
      <c r="G370" s="106"/>
      <c r="H370" s="155"/>
      <c r="I370" s="155"/>
      <c r="J370" s="106"/>
    </row>
    <row r="371" spans="1:10" ht="15.6" hidden="1" customHeight="1" x14ac:dyDescent="0.3">
      <c r="A371" s="151"/>
      <c r="B371" s="106"/>
      <c r="C371" s="106"/>
      <c r="D371" s="107"/>
      <c r="E371" s="107"/>
      <c r="F371" s="106"/>
      <c r="G371" s="106"/>
      <c r="H371" s="155"/>
      <c r="I371" s="155"/>
      <c r="J371" s="106"/>
    </row>
    <row r="372" spans="1:10" ht="15.6" hidden="1" customHeight="1" x14ac:dyDescent="0.3">
      <c r="A372" s="109" t="s">
        <v>146</v>
      </c>
      <c r="B372" s="106"/>
      <c r="C372" s="106"/>
      <c r="D372" s="106"/>
      <c r="E372" s="107"/>
      <c r="F372" s="106"/>
      <c r="G372" s="106"/>
      <c r="H372" s="155"/>
      <c r="I372" s="155"/>
      <c r="J372" s="106"/>
    </row>
    <row r="373" spans="1:10" ht="15.6" hidden="1" customHeight="1" x14ac:dyDescent="0.3">
      <c r="A373" s="109" t="s">
        <v>146</v>
      </c>
      <c r="B373" s="106"/>
      <c r="C373" s="106"/>
      <c r="D373" s="106"/>
      <c r="E373" s="107"/>
      <c r="F373" s="106"/>
      <c r="G373" s="106"/>
      <c r="H373" s="155"/>
      <c r="I373" s="155"/>
      <c r="J373" s="106"/>
    </row>
    <row r="374" spans="1:10" ht="15.6" hidden="1" customHeight="1" x14ac:dyDescent="0.3">
      <c r="A374" s="109" t="s">
        <v>146</v>
      </c>
      <c r="B374" s="106"/>
      <c r="C374" s="106"/>
      <c r="D374" s="106"/>
      <c r="E374" s="107"/>
      <c r="F374" s="106"/>
      <c r="G374" s="106"/>
      <c r="H374" s="155"/>
      <c r="I374" s="155"/>
      <c r="J374" s="106"/>
    </row>
    <row r="375" spans="1:10" ht="15.6" hidden="1" customHeight="1" x14ac:dyDescent="0.3">
      <c r="A375" s="151" t="s">
        <v>147</v>
      </c>
      <c r="B375" s="106"/>
      <c r="C375" s="106"/>
      <c r="D375" s="107"/>
      <c r="E375" s="107"/>
      <c r="F375" s="106"/>
      <c r="G375" s="106"/>
      <c r="H375" s="155"/>
      <c r="I375" s="155"/>
      <c r="J375" s="106"/>
    </row>
    <row r="376" spans="1:10" ht="15.6" hidden="1" customHeight="1" x14ac:dyDescent="0.3">
      <c r="A376" s="151"/>
      <c r="B376" s="106"/>
      <c r="C376" s="106"/>
      <c r="D376" s="107"/>
      <c r="E376" s="107"/>
      <c r="F376" s="106"/>
      <c r="G376" s="106"/>
      <c r="H376" s="155"/>
      <c r="I376" s="155"/>
      <c r="J376" s="106"/>
    </row>
    <row r="377" spans="1:10" ht="15.6" hidden="1" customHeight="1" x14ac:dyDescent="0.3">
      <c r="A377" s="151"/>
      <c r="B377" s="106"/>
      <c r="C377" s="106"/>
      <c r="D377" s="107"/>
      <c r="E377" s="107"/>
      <c r="F377" s="106"/>
      <c r="G377" s="106"/>
      <c r="H377" s="155"/>
      <c r="I377" s="155"/>
      <c r="J377" s="106"/>
    </row>
    <row r="378" spans="1:10" ht="15.6" hidden="1" customHeight="1" x14ac:dyDescent="0.3">
      <c r="A378" s="110" t="s">
        <v>148</v>
      </c>
      <c r="B378" s="106"/>
      <c r="C378" s="106" t="s">
        <v>541</v>
      </c>
      <c r="D378" s="106"/>
      <c r="E378" s="107">
        <v>46133</v>
      </c>
      <c r="F378" s="106" t="s">
        <v>478</v>
      </c>
      <c r="G378" s="106"/>
      <c r="H378" s="155"/>
      <c r="I378" s="155"/>
      <c r="J378" s="106"/>
    </row>
    <row r="379" spans="1:10" ht="15.6" hidden="1" customHeight="1" x14ac:dyDescent="0.3">
      <c r="A379" s="110" t="s">
        <v>148</v>
      </c>
      <c r="B379" s="106"/>
      <c r="C379" s="106"/>
      <c r="D379" s="106"/>
      <c r="E379" s="107"/>
      <c r="F379" s="106"/>
      <c r="G379" s="106"/>
      <c r="H379" s="155"/>
      <c r="I379" s="155"/>
      <c r="J379" s="106"/>
    </row>
    <row r="380" spans="1:10" ht="15.6" hidden="1" customHeight="1" x14ac:dyDescent="0.3">
      <c r="A380" s="110" t="s">
        <v>148</v>
      </c>
      <c r="B380" s="106"/>
      <c r="C380" s="106"/>
      <c r="D380" s="106"/>
      <c r="E380" s="107"/>
      <c r="F380" s="106"/>
      <c r="G380" s="106"/>
      <c r="H380" s="155"/>
      <c r="I380" s="155"/>
      <c r="J380" s="106"/>
    </row>
    <row r="381" spans="1:10" ht="15.6" hidden="1" customHeight="1" x14ac:dyDescent="0.3">
      <c r="A381" s="109" t="s">
        <v>149</v>
      </c>
      <c r="B381" s="116"/>
      <c r="C381" s="106"/>
      <c r="D381" s="106"/>
      <c r="E381" s="107"/>
      <c r="F381" s="106"/>
      <c r="G381" s="106"/>
      <c r="H381" s="155"/>
      <c r="I381" s="155"/>
      <c r="J381" s="106"/>
    </row>
    <row r="382" spans="1:10" ht="15.6" hidden="1" customHeight="1" x14ac:dyDescent="0.3">
      <c r="A382" s="109" t="s">
        <v>149</v>
      </c>
      <c r="B382" s="116"/>
      <c r="C382" s="106"/>
      <c r="D382" s="106"/>
      <c r="E382" s="107"/>
      <c r="F382" s="106"/>
      <c r="G382" s="106"/>
      <c r="H382" s="155"/>
      <c r="I382" s="155"/>
      <c r="J382" s="106"/>
    </row>
    <row r="383" spans="1:10" ht="15.6" hidden="1" customHeight="1" x14ac:dyDescent="0.3">
      <c r="A383" s="109" t="s">
        <v>149</v>
      </c>
      <c r="B383" s="116"/>
      <c r="C383" s="106"/>
      <c r="D383" s="106"/>
      <c r="E383" s="107"/>
      <c r="F383" s="106"/>
      <c r="G383" s="106"/>
      <c r="H383" s="155"/>
      <c r="I383" s="155"/>
      <c r="J383" s="106"/>
    </row>
    <row r="384" spans="1:10" ht="15.6" hidden="1" customHeight="1" x14ac:dyDescent="0.3">
      <c r="A384" s="150" t="s">
        <v>150</v>
      </c>
      <c r="B384" s="106"/>
      <c r="C384" s="106"/>
      <c r="D384" s="106"/>
      <c r="E384" s="107"/>
      <c r="F384" s="106"/>
      <c r="G384" s="106"/>
      <c r="H384" s="155"/>
      <c r="I384" s="155"/>
      <c r="J384" s="106"/>
    </row>
    <row r="385" spans="1:10" ht="15.6" hidden="1" customHeight="1" x14ac:dyDescent="0.3">
      <c r="A385" s="150"/>
      <c r="B385" s="106"/>
      <c r="C385" s="106"/>
      <c r="D385" s="106"/>
      <c r="E385" s="107"/>
      <c r="F385" s="106"/>
      <c r="G385" s="106"/>
      <c r="H385" s="155"/>
      <c r="I385" s="155"/>
      <c r="J385" s="106"/>
    </row>
    <row r="386" spans="1:10" ht="15.6" hidden="1" customHeight="1" x14ac:dyDescent="0.3">
      <c r="A386" s="150"/>
      <c r="B386" s="106"/>
      <c r="C386" s="106"/>
      <c r="D386" s="106"/>
      <c r="E386" s="107"/>
      <c r="F386" s="106"/>
      <c r="G386" s="106"/>
      <c r="H386" s="155"/>
      <c r="I386" s="155"/>
      <c r="J386" s="106"/>
    </row>
    <row r="387" spans="1:10" ht="15.6" customHeight="1" x14ac:dyDescent="0.3">
      <c r="A387" s="109" t="s">
        <v>151</v>
      </c>
      <c r="B387" s="106"/>
      <c r="C387" s="141" t="s">
        <v>521</v>
      </c>
      <c r="D387" s="106"/>
      <c r="E387" s="107">
        <v>46127</v>
      </c>
      <c r="F387" s="106" t="s">
        <v>478</v>
      </c>
      <c r="G387" s="106"/>
      <c r="H387" s="155"/>
      <c r="I387" s="155"/>
      <c r="J387" s="106">
        <v>16</v>
      </c>
    </row>
    <row r="388" spans="1:10" ht="15.6" hidden="1" customHeight="1" x14ac:dyDescent="0.3">
      <c r="A388" s="109" t="s">
        <v>151</v>
      </c>
      <c r="B388" s="106"/>
      <c r="C388" s="106" t="s">
        <v>522</v>
      </c>
      <c r="D388" s="106"/>
      <c r="E388" s="107">
        <v>46127</v>
      </c>
      <c r="F388" s="106" t="s">
        <v>478</v>
      </c>
      <c r="G388" s="106"/>
      <c r="H388" s="155"/>
      <c r="I388" s="155"/>
      <c r="J388" s="106"/>
    </row>
    <row r="389" spans="1:10" ht="15.6" hidden="1" customHeight="1" x14ac:dyDescent="0.3">
      <c r="A389" s="109" t="s">
        <v>151</v>
      </c>
      <c r="B389" s="106"/>
      <c r="C389" s="106"/>
      <c r="D389" s="106"/>
      <c r="E389" s="107"/>
      <c r="F389" s="106"/>
      <c r="G389" s="106"/>
      <c r="H389" s="155"/>
      <c r="I389" s="155"/>
      <c r="J389" s="106"/>
    </row>
    <row r="390" spans="1:10" ht="15.6" hidden="1" customHeight="1" x14ac:dyDescent="0.3">
      <c r="A390" s="109" t="s">
        <v>151</v>
      </c>
      <c r="B390" s="106"/>
      <c r="C390" s="106"/>
      <c r="D390" s="106"/>
      <c r="E390" s="107"/>
      <c r="F390" s="106"/>
      <c r="G390" s="106"/>
      <c r="H390" s="155"/>
      <c r="I390" s="155"/>
      <c r="J390" s="106"/>
    </row>
    <row r="391" spans="1:10" ht="15.6" hidden="1" customHeight="1" x14ac:dyDescent="0.3">
      <c r="A391" s="109" t="s">
        <v>151</v>
      </c>
      <c r="B391" s="106"/>
      <c r="C391" s="106"/>
      <c r="D391" s="106"/>
      <c r="E391" s="107"/>
      <c r="F391" s="106"/>
      <c r="G391" s="106"/>
      <c r="H391" s="155"/>
      <c r="I391" s="155"/>
      <c r="J391" s="106"/>
    </row>
    <row r="392" spans="1:10" ht="15.6" hidden="1" customHeight="1" x14ac:dyDescent="0.3">
      <c r="A392" s="150" t="s">
        <v>152</v>
      </c>
      <c r="B392" s="108"/>
      <c r="C392" s="108"/>
      <c r="D392" s="108"/>
      <c r="E392" s="108"/>
      <c r="F392" s="108"/>
      <c r="G392" s="108"/>
      <c r="H392" s="155"/>
      <c r="I392" s="155"/>
      <c r="J392" s="108"/>
    </row>
    <row r="393" spans="1:10" ht="15.6" hidden="1" customHeight="1" x14ac:dyDescent="0.3">
      <c r="A393" s="150"/>
      <c r="B393" s="108"/>
      <c r="C393" s="108"/>
      <c r="D393" s="108"/>
      <c r="E393" s="108"/>
      <c r="F393" s="108"/>
      <c r="G393" s="108"/>
      <c r="H393" s="155"/>
      <c r="I393" s="155"/>
      <c r="J393" s="108"/>
    </row>
    <row r="394" spans="1:10" ht="15.6" hidden="1" customHeight="1" x14ac:dyDescent="0.3">
      <c r="A394" s="150"/>
      <c r="B394" s="108"/>
      <c r="C394" s="108"/>
      <c r="D394" s="108"/>
      <c r="E394" s="108"/>
      <c r="F394" s="108"/>
      <c r="G394" s="108"/>
      <c r="H394" s="155"/>
      <c r="I394" s="155"/>
      <c r="J394" s="108"/>
    </row>
    <row r="395" spans="1:10" ht="15.6" hidden="1" customHeight="1" x14ac:dyDescent="0.3">
      <c r="A395" s="150" t="s">
        <v>153</v>
      </c>
      <c r="B395" s="106"/>
      <c r="C395" s="106"/>
      <c r="D395" s="106"/>
      <c r="E395" s="107"/>
      <c r="F395" s="106"/>
      <c r="G395" s="106"/>
      <c r="H395" s="155"/>
      <c r="I395" s="155"/>
      <c r="J395" s="106"/>
    </row>
    <row r="396" spans="1:10" ht="15.6" hidden="1" customHeight="1" x14ac:dyDescent="0.3">
      <c r="A396" s="150"/>
      <c r="B396" s="106"/>
      <c r="C396" s="106"/>
      <c r="D396" s="106"/>
      <c r="E396" s="107"/>
      <c r="F396" s="106"/>
      <c r="G396" s="106"/>
      <c r="H396" s="155"/>
      <c r="I396" s="155"/>
      <c r="J396" s="106"/>
    </row>
    <row r="397" spans="1:10" ht="15.6" hidden="1" customHeight="1" x14ac:dyDescent="0.3">
      <c r="A397" s="150"/>
      <c r="B397" s="106"/>
      <c r="C397" s="106"/>
      <c r="D397" s="106"/>
      <c r="E397" s="107"/>
      <c r="F397" s="106"/>
      <c r="G397" s="106"/>
      <c r="H397" s="155"/>
      <c r="I397" s="155"/>
      <c r="J397" s="106"/>
    </row>
    <row r="398" spans="1:10" ht="15.6" hidden="1" customHeight="1" x14ac:dyDescent="0.3">
      <c r="A398" s="109" t="s">
        <v>154</v>
      </c>
      <c r="B398" s="106"/>
      <c r="C398" s="106"/>
      <c r="D398" s="107"/>
      <c r="E398" s="107"/>
      <c r="F398" s="106"/>
      <c r="G398" s="106"/>
      <c r="H398" s="155"/>
      <c r="I398" s="155"/>
      <c r="J398" s="106"/>
    </row>
    <row r="399" spans="1:10" ht="15.6" hidden="1" customHeight="1" x14ac:dyDescent="0.3">
      <c r="A399" s="109" t="s">
        <v>154</v>
      </c>
      <c r="B399" s="106"/>
      <c r="C399" s="106"/>
      <c r="D399" s="107"/>
      <c r="E399" s="107"/>
      <c r="F399" s="106"/>
      <c r="G399" s="106"/>
      <c r="H399" s="155"/>
      <c r="I399" s="155"/>
      <c r="J399" s="106"/>
    </row>
    <row r="400" spans="1:10" ht="15.6" hidden="1" customHeight="1" x14ac:dyDescent="0.3">
      <c r="A400" s="109" t="s">
        <v>154</v>
      </c>
      <c r="B400" s="106"/>
      <c r="C400" s="106"/>
      <c r="D400" s="107"/>
      <c r="E400" s="107"/>
      <c r="F400" s="106"/>
      <c r="G400" s="106"/>
      <c r="H400" s="155"/>
      <c r="I400" s="155"/>
      <c r="J400" s="106"/>
    </row>
    <row r="401" spans="1:10" ht="15.6" hidden="1" customHeight="1" x14ac:dyDescent="0.3">
      <c r="A401" s="150" t="s">
        <v>155</v>
      </c>
      <c r="B401" s="106"/>
      <c r="C401" s="106"/>
      <c r="D401" s="106"/>
      <c r="E401" s="107"/>
      <c r="F401" s="106"/>
      <c r="G401" s="106"/>
      <c r="H401" s="155"/>
      <c r="I401" s="155"/>
      <c r="J401" s="106"/>
    </row>
    <row r="402" spans="1:10" ht="15.6" hidden="1" customHeight="1" x14ac:dyDescent="0.3">
      <c r="A402" s="150"/>
      <c r="B402" s="106"/>
      <c r="C402" s="106"/>
      <c r="D402" s="106"/>
      <c r="E402" s="107"/>
      <c r="F402" s="106"/>
      <c r="G402" s="106"/>
      <c r="H402" s="155"/>
      <c r="I402" s="155"/>
      <c r="J402" s="106"/>
    </row>
    <row r="403" spans="1:10" ht="15.6" hidden="1" customHeight="1" x14ac:dyDescent="0.3">
      <c r="A403" s="150"/>
      <c r="B403" s="106"/>
      <c r="C403" s="106"/>
      <c r="D403" s="106"/>
      <c r="E403" s="107"/>
      <c r="F403" s="106"/>
      <c r="G403" s="106"/>
      <c r="H403" s="155"/>
      <c r="I403" s="155"/>
      <c r="J403" s="106"/>
    </row>
    <row r="404" spans="1:10" ht="15.6" hidden="1" customHeight="1" x14ac:dyDescent="0.3">
      <c r="A404" s="150" t="s">
        <v>156</v>
      </c>
      <c r="B404" s="106"/>
      <c r="C404" s="106"/>
      <c r="D404" s="106"/>
      <c r="E404" s="107"/>
      <c r="F404" s="106"/>
      <c r="G404" s="106"/>
      <c r="H404" s="155"/>
      <c r="I404" s="155"/>
      <c r="J404" s="106"/>
    </row>
    <row r="405" spans="1:10" ht="15.6" hidden="1" customHeight="1" x14ac:dyDescent="0.3">
      <c r="A405" s="150"/>
      <c r="B405" s="106"/>
      <c r="C405" s="106"/>
      <c r="D405" s="106"/>
      <c r="E405" s="107"/>
      <c r="F405" s="106"/>
      <c r="G405" s="106"/>
      <c r="H405" s="155"/>
      <c r="I405" s="155"/>
      <c r="J405" s="106"/>
    </row>
    <row r="406" spans="1:10" ht="15.6" hidden="1" customHeight="1" x14ac:dyDescent="0.3">
      <c r="A406" s="150"/>
      <c r="B406" s="106"/>
      <c r="C406" s="106"/>
      <c r="D406" s="106"/>
      <c r="E406" s="107"/>
      <c r="F406" s="106"/>
      <c r="G406" s="106"/>
      <c r="H406" s="155"/>
      <c r="I406" s="155"/>
      <c r="J406" s="106"/>
    </row>
    <row r="407" spans="1:10" ht="15.6" hidden="1" customHeight="1" x14ac:dyDescent="0.3">
      <c r="A407" s="150" t="s">
        <v>157</v>
      </c>
      <c r="B407" s="106"/>
      <c r="C407" s="106"/>
      <c r="D407" s="106"/>
      <c r="E407" s="107"/>
      <c r="F407" s="106"/>
      <c r="G407" s="106"/>
      <c r="H407" s="155"/>
      <c r="I407" s="155"/>
      <c r="J407" s="106"/>
    </row>
    <row r="408" spans="1:10" ht="15.6" hidden="1" customHeight="1" x14ac:dyDescent="0.3">
      <c r="A408" s="150"/>
      <c r="B408" s="106"/>
      <c r="C408" s="106"/>
      <c r="D408" s="106"/>
      <c r="E408" s="107"/>
      <c r="F408" s="106"/>
      <c r="G408" s="106"/>
      <c r="H408" s="155"/>
      <c r="I408" s="155"/>
      <c r="J408" s="106"/>
    </row>
    <row r="409" spans="1:10" ht="15.6" hidden="1" customHeight="1" x14ac:dyDescent="0.3">
      <c r="A409" s="150"/>
      <c r="B409" s="106"/>
      <c r="C409" s="106"/>
      <c r="D409" s="106"/>
      <c r="E409" s="107"/>
      <c r="F409" s="106"/>
      <c r="G409" s="106"/>
      <c r="H409" s="155"/>
      <c r="I409" s="155"/>
      <c r="J409" s="106"/>
    </row>
    <row r="410" spans="1:10" ht="15.6" hidden="1" customHeight="1" x14ac:dyDescent="0.3">
      <c r="A410" s="110" t="s">
        <v>158</v>
      </c>
      <c r="B410" s="106"/>
      <c r="C410" s="106"/>
      <c r="D410" s="106"/>
      <c r="E410" s="107"/>
      <c r="F410" s="106"/>
      <c r="G410" s="106"/>
      <c r="H410" s="155"/>
      <c r="I410" s="155"/>
      <c r="J410" s="106"/>
    </row>
    <row r="411" spans="1:10" ht="15.6" hidden="1" customHeight="1" x14ac:dyDescent="0.3">
      <c r="A411" s="110" t="s">
        <v>158</v>
      </c>
      <c r="B411" s="106"/>
      <c r="C411" s="106"/>
      <c r="D411" s="106"/>
      <c r="E411" s="107"/>
      <c r="F411" s="106"/>
      <c r="G411" s="106"/>
      <c r="H411" s="155"/>
      <c r="I411" s="155"/>
      <c r="J411" s="106"/>
    </row>
    <row r="412" spans="1:10" ht="15.6" hidden="1" customHeight="1" x14ac:dyDescent="0.3">
      <c r="A412" s="110" t="s">
        <v>158</v>
      </c>
      <c r="B412" s="106"/>
      <c r="C412" s="106"/>
      <c r="D412" s="106"/>
      <c r="E412" s="107"/>
      <c r="F412" s="106"/>
      <c r="G412" s="106"/>
      <c r="H412" s="155"/>
      <c r="I412" s="155"/>
      <c r="J412" s="106"/>
    </row>
    <row r="413" spans="1:10" ht="15.6" hidden="1" customHeight="1" x14ac:dyDescent="0.3">
      <c r="A413" s="109" t="s">
        <v>159</v>
      </c>
      <c r="B413" s="106"/>
      <c r="C413" s="106" t="s">
        <v>511</v>
      </c>
      <c r="D413" s="118"/>
      <c r="E413" s="107">
        <v>46119</v>
      </c>
      <c r="F413" s="106" t="s">
        <v>499</v>
      </c>
      <c r="G413" s="106"/>
      <c r="H413" s="155"/>
      <c r="I413" s="155"/>
      <c r="J413" s="106"/>
    </row>
    <row r="414" spans="1:10" ht="15.6" hidden="1" customHeight="1" x14ac:dyDescent="0.3">
      <c r="A414" s="109" t="s">
        <v>159</v>
      </c>
      <c r="B414" s="106"/>
      <c r="C414" s="106"/>
      <c r="D414" s="118"/>
      <c r="E414" s="107"/>
      <c r="F414" s="106"/>
      <c r="G414" s="106"/>
      <c r="H414" s="155"/>
      <c r="I414" s="155"/>
      <c r="J414" s="106"/>
    </row>
    <row r="415" spans="1:10" ht="15.6" hidden="1" customHeight="1" x14ac:dyDescent="0.3">
      <c r="A415" s="109" t="s">
        <v>159</v>
      </c>
      <c r="B415" s="106"/>
      <c r="C415" s="106"/>
      <c r="D415" s="118"/>
      <c r="E415" s="107"/>
      <c r="F415" s="106"/>
      <c r="G415" s="106"/>
      <c r="H415" s="155"/>
      <c r="I415" s="155"/>
      <c r="J415" s="106"/>
    </row>
    <row r="416" spans="1:10" ht="15.6" hidden="1" customHeight="1" x14ac:dyDescent="0.3">
      <c r="A416" s="109" t="s">
        <v>160</v>
      </c>
      <c r="B416" s="106"/>
      <c r="C416" s="106"/>
      <c r="D416" s="106"/>
      <c r="E416" s="107"/>
      <c r="F416" s="106"/>
      <c r="G416" s="106"/>
      <c r="H416" s="155"/>
      <c r="I416" s="155"/>
      <c r="J416" s="106"/>
    </row>
    <row r="417" spans="1:10" ht="15.6" hidden="1" customHeight="1" x14ac:dyDescent="0.3">
      <c r="A417" s="109" t="s">
        <v>160</v>
      </c>
      <c r="B417" s="106"/>
      <c r="C417" s="106"/>
      <c r="D417" s="106"/>
      <c r="E417" s="107"/>
      <c r="F417" s="106"/>
      <c r="G417" s="106"/>
      <c r="H417" s="155"/>
      <c r="I417" s="155"/>
      <c r="J417" s="106"/>
    </row>
    <row r="418" spans="1:10" ht="15.6" hidden="1" customHeight="1" x14ac:dyDescent="0.3">
      <c r="A418" s="109" t="s">
        <v>160</v>
      </c>
      <c r="B418" s="106"/>
      <c r="C418" s="106"/>
      <c r="D418" s="106"/>
      <c r="E418" s="107"/>
      <c r="F418" s="106"/>
      <c r="G418" s="106"/>
      <c r="H418" s="155"/>
      <c r="I418" s="155"/>
      <c r="J418" s="106"/>
    </row>
    <row r="419" spans="1:10" ht="15.6" hidden="1" customHeight="1" x14ac:dyDescent="0.3">
      <c r="A419" s="150" t="s">
        <v>161</v>
      </c>
      <c r="B419" s="106"/>
      <c r="C419" s="106"/>
      <c r="D419" s="106"/>
      <c r="E419" s="107"/>
      <c r="F419" s="106"/>
      <c r="G419" s="106"/>
      <c r="H419" s="155"/>
      <c r="I419" s="155"/>
      <c r="J419" s="106"/>
    </row>
    <row r="420" spans="1:10" ht="15.6" hidden="1" customHeight="1" x14ac:dyDescent="0.3">
      <c r="A420" s="150"/>
      <c r="B420" s="106"/>
      <c r="C420" s="106"/>
      <c r="D420" s="106"/>
      <c r="E420" s="107"/>
      <c r="F420" s="106"/>
      <c r="G420" s="106"/>
      <c r="H420" s="155"/>
      <c r="I420" s="155"/>
      <c r="J420" s="106"/>
    </row>
    <row r="421" spans="1:10" ht="15.6" hidden="1" customHeight="1" x14ac:dyDescent="0.3">
      <c r="A421" s="150"/>
      <c r="B421" s="106"/>
      <c r="C421" s="106"/>
      <c r="D421" s="106"/>
      <c r="E421" s="107"/>
      <c r="F421" s="106"/>
      <c r="G421" s="106"/>
      <c r="H421" s="155"/>
      <c r="I421" s="155"/>
      <c r="J421" s="106"/>
    </row>
    <row r="422" spans="1:10" s="20" customFormat="1" ht="15.6" hidden="1" customHeight="1" x14ac:dyDescent="0.3">
      <c r="A422" s="150" t="s">
        <v>162</v>
      </c>
      <c r="B422" s="108"/>
      <c r="C422" s="106"/>
      <c r="D422" s="106"/>
      <c r="E422" s="107"/>
      <c r="F422" s="106"/>
      <c r="G422" s="106"/>
      <c r="H422" s="155"/>
      <c r="I422" s="155"/>
      <c r="J422" s="106"/>
    </row>
    <row r="423" spans="1:10" s="20" customFormat="1" ht="15.6" hidden="1" customHeight="1" x14ac:dyDescent="0.3">
      <c r="A423" s="150"/>
      <c r="B423" s="108"/>
      <c r="C423" s="106"/>
      <c r="D423" s="106"/>
      <c r="E423" s="107"/>
      <c r="F423" s="106"/>
      <c r="G423" s="106"/>
      <c r="H423" s="155"/>
      <c r="I423" s="155"/>
      <c r="J423" s="106"/>
    </row>
    <row r="424" spans="1:10" s="20" customFormat="1" ht="15.6" hidden="1" customHeight="1" x14ac:dyDescent="0.3">
      <c r="A424" s="150"/>
      <c r="B424" s="108"/>
      <c r="C424" s="106"/>
      <c r="D424" s="106"/>
      <c r="E424" s="107"/>
      <c r="F424" s="106"/>
      <c r="G424" s="106"/>
      <c r="H424" s="155"/>
      <c r="I424" s="155"/>
      <c r="J424" s="106"/>
    </row>
    <row r="425" spans="1:10" s="20" customFormat="1" ht="15.6" hidden="1" customHeight="1" x14ac:dyDescent="0.3">
      <c r="A425" s="109" t="s">
        <v>163</v>
      </c>
      <c r="B425" s="108"/>
      <c r="C425" s="106"/>
      <c r="D425" s="106"/>
      <c r="E425" s="107"/>
      <c r="F425" s="106"/>
      <c r="G425" s="106"/>
      <c r="H425" s="155"/>
      <c r="I425" s="155"/>
      <c r="J425" s="106"/>
    </row>
    <row r="426" spans="1:10" s="20" customFormat="1" ht="15.6" hidden="1" customHeight="1" x14ac:dyDescent="0.3">
      <c r="A426" s="109" t="s">
        <v>163</v>
      </c>
      <c r="B426" s="108"/>
      <c r="C426" s="106"/>
      <c r="D426" s="106"/>
      <c r="E426" s="107"/>
      <c r="F426" s="106"/>
      <c r="G426" s="106"/>
      <c r="H426" s="155"/>
      <c r="I426" s="155"/>
      <c r="J426" s="106"/>
    </row>
    <row r="427" spans="1:10" s="20" customFormat="1" ht="15.6" hidden="1" customHeight="1" x14ac:dyDescent="0.3">
      <c r="A427" s="109" t="s">
        <v>163</v>
      </c>
      <c r="B427" s="108"/>
      <c r="C427" s="106"/>
      <c r="D427" s="106"/>
      <c r="E427" s="107"/>
      <c r="F427" s="106"/>
      <c r="G427" s="106"/>
      <c r="H427" s="155"/>
      <c r="I427" s="155"/>
      <c r="J427" s="106"/>
    </row>
    <row r="428" spans="1:10" ht="15.6" hidden="1" customHeight="1" x14ac:dyDescent="0.3">
      <c r="A428" s="150" t="s">
        <v>164</v>
      </c>
      <c r="B428" s="108"/>
      <c r="C428" s="108"/>
      <c r="D428" s="108"/>
      <c r="E428" s="115"/>
      <c r="F428" s="108"/>
      <c r="G428" s="108"/>
      <c r="H428" s="155"/>
      <c r="I428" s="155"/>
      <c r="J428" s="108"/>
    </row>
    <row r="429" spans="1:10" ht="15.6" hidden="1" customHeight="1" x14ac:dyDescent="0.3">
      <c r="A429" s="150"/>
      <c r="B429" s="108"/>
      <c r="C429" s="108"/>
      <c r="D429" s="108"/>
      <c r="E429" s="115"/>
      <c r="F429" s="108"/>
      <c r="G429" s="108"/>
      <c r="H429" s="155"/>
      <c r="I429" s="155"/>
      <c r="J429" s="108"/>
    </row>
    <row r="430" spans="1:10" ht="15.6" hidden="1" customHeight="1" x14ac:dyDescent="0.3">
      <c r="A430" s="150"/>
      <c r="B430" s="108"/>
      <c r="C430" s="108"/>
      <c r="D430" s="108"/>
      <c r="E430" s="115"/>
      <c r="F430" s="108"/>
      <c r="G430" s="108"/>
      <c r="H430" s="155"/>
      <c r="I430" s="155"/>
      <c r="J430" s="108"/>
    </row>
    <row r="431" spans="1:10" ht="15.6" hidden="1" customHeight="1" x14ac:dyDescent="0.3">
      <c r="A431" s="151" t="s">
        <v>165</v>
      </c>
      <c r="B431" s="106"/>
      <c r="C431" s="106"/>
      <c r="D431" s="106"/>
      <c r="E431" s="107"/>
      <c r="F431" s="106"/>
      <c r="G431" s="106"/>
      <c r="H431" s="155"/>
      <c r="I431" s="155"/>
      <c r="J431" s="106"/>
    </row>
    <row r="432" spans="1:10" ht="15.6" hidden="1" customHeight="1" x14ac:dyDescent="0.3">
      <c r="A432" s="151"/>
      <c r="B432" s="106"/>
      <c r="C432" s="106"/>
      <c r="D432" s="106"/>
      <c r="E432" s="107"/>
      <c r="F432" s="106"/>
      <c r="G432" s="106"/>
      <c r="H432" s="155"/>
      <c r="I432" s="155"/>
      <c r="J432" s="106"/>
    </row>
    <row r="433" spans="1:10" ht="15.6" hidden="1" customHeight="1" x14ac:dyDescent="0.3">
      <c r="A433" s="151"/>
      <c r="B433" s="106"/>
      <c r="C433" s="106"/>
      <c r="D433" s="106"/>
      <c r="E433" s="107"/>
      <c r="F433" s="106"/>
      <c r="G433" s="106"/>
      <c r="H433" s="155"/>
      <c r="I433" s="155"/>
      <c r="J433" s="106"/>
    </row>
    <row r="434" spans="1:10" ht="15.6" hidden="1" customHeight="1" x14ac:dyDescent="0.3">
      <c r="A434" s="110" t="s">
        <v>166</v>
      </c>
      <c r="B434" s="106"/>
      <c r="C434" s="106"/>
      <c r="D434" s="106"/>
      <c r="E434" s="107"/>
      <c r="F434" s="106"/>
      <c r="G434" s="106"/>
      <c r="H434" s="155"/>
      <c r="I434" s="155"/>
      <c r="J434" s="106"/>
    </row>
    <row r="435" spans="1:10" ht="15.6" hidden="1" customHeight="1" x14ac:dyDescent="0.3">
      <c r="A435" s="110" t="s">
        <v>166</v>
      </c>
      <c r="B435" s="106"/>
      <c r="C435" s="106"/>
      <c r="D435" s="106"/>
      <c r="E435" s="107"/>
      <c r="F435" s="106"/>
      <c r="G435" s="106"/>
      <c r="H435" s="155"/>
      <c r="I435" s="155"/>
      <c r="J435" s="106"/>
    </row>
    <row r="436" spans="1:10" ht="15.6" hidden="1" customHeight="1" x14ac:dyDescent="0.3">
      <c r="A436" s="110" t="s">
        <v>166</v>
      </c>
      <c r="B436" s="106"/>
      <c r="C436" s="106"/>
      <c r="D436" s="106"/>
      <c r="E436" s="107"/>
      <c r="F436" s="106"/>
      <c r="G436" s="106"/>
      <c r="H436" s="155"/>
      <c r="I436" s="155"/>
      <c r="J436" s="106"/>
    </row>
    <row r="437" spans="1:10" ht="15.6" hidden="1" customHeight="1" x14ac:dyDescent="0.3">
      <c r="A437" s="110" t="s">
        <v>167</v>
      </c>
      <c r="B437" s="106"/>
      <c r="C437" s="106"/>
      <c r="D437" s="106"/>
      <c r="E437" s="107"/>
      <c r="F437" s="106"/>
      <c r="G437" s="106"/>
      <c r="H437" s="155"/>
      <c r="I437" s="155"/>
      <c r="J437" s="106"/>
    </row>
    <row r="438" spans="1:10" ht="15.6" hidden="1" customHeight="1" x14ac:dyDescent="0.3">
      <c r="A438" s="150" t="s">
        <v>167</v>
      </c>
      <c r="B438" s="106"/>
      <c r="C438" s="106"/>
      <c r="D438" s="106"/>
      <c r="E438" s="107"/>
      <c r="F438" s="106"/>
      <c r="G438" s="106"/>
      <c r="H438" s="155"/>
      <c r="I438" s="155"/>
      <c r="J438" s="106"/>
    </row>
    <row r="439" spans="1:10" ht="15.6" hidden="1" customHeight="1" x14ac:dyDescent="0.3">
      <c r="A439" s="150"/>
      <c r="B439" s="106"/>
      <c r="C439" s="106"/>
      <c r="D439" s="106"/>
      <c r="E439" s="107"/>
      <c r="F439" s="106"/>
      <c r="G439" s="106"/>
      <c r="H439" s="155"/>
      <c r="I439" s="155"/>
      <c r="J439" s="106"/>
    </row>
    <row r="440" spans="1:10" ht="15.6" hidden="1" customHeight="1" x14ac:dyDescent="0.3">
      <c r="A440" s="150"/>
      <c r="B440" s="106"/>
      <c r="C440" s="106"/>
      <c r="D440" s="106"/>
      <c r="E440" s="107"/>
      <c r="F440" s="106"/>
      <c r="G440" s="106"/>
      <c r="H440" s="155"/>
      <c r="I440" s="155"/>
      <c r="J440" s="106"/>
    </row>
    <row r="441" spans="1:10" ht="15.6" hidden="1" customHeight="1" x14ac:dyDescent="0.3">
      <c r="A441" s="150" t="s">
        <v>168</v>
      </c>
      <c r="B441" s="119"/>
      <c r="C441" s="106"/>
      <c r="D441" s="108"/>
      <c r="E441" s="107"/>
      <c r="F441" s="106"/>
      <c r="G441" s="108"/>
      <c r="H441" s="155"/>
      <c r="I441" s="155"/>
      <c r="J441" s="108"/>
    </row>
    <row r="442" spans="1:10" ht="15.6" hidden="1" customHeight="1" x14ac:dyDescent="0.3">
      <c r="A442" s="150"/>
      <c r="B442" s="119"/>
      <c r="C442" s="106"/>
      <c r="D442" s="108"/>
      <c r="E442" s="107"/>
      <c r="F442" s="106"/>
      <c r="G442" s="108"/>
      <c r="H442" s="155"/>
      <c r="I442" s="155"/>
      <c r="J442" s="108"/>
    </row>
    <row r="443" spans="1:10" ht="15.6" hidden="1" customHeight="1" x14ac:dyDescent="0.3">
      <c r="A443" s="150"/>
      <c r="B443" s="119"/>
      <c r="C443" s="106"/>
      <c r="D443" s="108"/>
      <c r="E443" s="107"/>
      <c r="F443" s="106"/>
      <c r="G443" s="108"/>
      <c r="H443" s="155"/>
      <c r="I443" s="155"/>
      <c r="J443" s="108"/>
    </row>
    <row r="444" spans="1:10" ht="15.6" hidden="1" customHeight="1" x14ac:dyDescent="0.3">
      <c r="A444" s="151" t="s">
        <v>169</v>
      </c>
      <c r="B444" s="108"/>
      <c r="C444" s="106"/>
      <c r="D444" s="106"/>
      <c r="E444" s="107"/>
      <c r="F444" s="106"/>
      <c r="G444" s="106"/>
      <c r="H444" s="155"/>
      <c r="I444" s="155"/>
      <c r="J444" s="106"/>
    </row>
    <row r="445" spans="1:10" ht="15.6" hidden="1" customHeight="1" x14ac:dyDescent="0.3">
      <c r="A445" s="151"/>
      <c r="B445" s="108"/>
      <c r="C445" s="106"/>
      <c r="D445" s="106"/>
      <c r="E445" s="107"/>
      <c r="F445" s="106"/>
      <c r="G445" s="106"/>
      <c r="H445" s="155"/>
      <c r="I445" s="155"/>
      <c r="J445" s="106"/>
    </row>
    <row r="446" spans="1:10" ht="15.6" hidden="1" customHeight="1" x14ac:dyDescent="0.3">
      <c r="A446" s="151"/>
      <c r="B446" s="108"/>
      <c r="C446" s="106"/>
      <c r="D446" s="106"/>
      <c r="E446" s="107"/>
      <c r="F446" s="106"/>
      <c r="G446" s="106"/>
      <c r="H446" s="155"/>
      <c r="I446" s="155"/>
      <c r="J446" s="106"/>
    </row>
    <row r="447" spans="1:10" ht="15.6" hidden="1" customHeight="1" x14ac:dyDescent="0.3">
      <c r="A447" s="109" t="s">
        <v>170</v>
      </c>
      <c r="B447" s="106"/>
      <c r="C447" s="106"/>
      <c r="D447" s="106"/>
      <c r="E447" s="107"/>
      <c r="F447" s="106"/>
      <c r="G447" s="106"/>
      <c r="H447" s="155"/>
      <c r="I447" s="155"/>
      <c r="J447" s="106"/>
    </row>
    <row r="448" spans="1:10" ht="15.6" hidden="1" customHeight="1" x14ac:dyDescent="0.3">
      <c r="A448" s="109" t="s">
        <v>170</v>
      </c>
      <c r="B448" s="106"/>
      <c r="C448" s="106"/>
      <c r="D448" s="106"/>
      <c r="E448" s="107"/>
      <c r="F448" s="106"/>
      <c r="G448" s="106"/>
      <c r="H448" s="155"/>
      <c r="I448" s="155"/>
      <c r="J448" s="106"/>
    </row>
    <row r="449" spans="1:10" ht="15.6" hidden="1" customHeight="1" x14ac:dyDescent="0.3">
      <c r="A449" s="109" t="s">
        <v>170</v>
      </c>
      <c r="B449" s="106"/>
      <c r="C449" s="106"/>
      <c r="D449" s="106"/>
      <c r="E449" s="107"/>
      <c r="F449" s="106"/>
      <c r="G449" s="106"/>
      <c r="H449" s="155"/>
      <c r="I449" s="155"/>
      <c r="J449" s="106"/>
    </row>
    <row r="450" spans="1:10" ht="15.6" hidden="1" customHeight="1" x14ac:dyDescent="0.3">
      <c r="A450" s="150" t="s">
        <v>171</v>
      </c>
      <c r="B450" s="108"/>
      <c r="C450" s="106"/>
      <c r="D450" s="108"/>
      <c r="E450" s="107"/>
      <c r="F450" s="106"/>
      <c r="G450" s="108"/>
      <c r="H450" s="155"/>
      <c r="I450" s="155"/>
      <c r="J450" s="108"/>
    </row>
    <row r="451" spans="1:10" ht="15.6" hidden="1" customHeight="1" x14ac:dyDescent="0.3">
      <c r="A451" s="150"/>
      <c r="B451" s="108"/>
      <c r="C451" s="106"/>
      <c r="D451" s="108"/>
      <c r="E451" s="107"/>
      <c r="F451" s="106"/>
      <c r="G451" s="108"/>
      <c r="H451" s="155"/>
      <c r="I451" s="155"/>
      <c r="J451" s="108"/>
    </row>
    <row r="452" spans="1:10" ht="15.6" hidden="1" customHeight="1" x14ac:dyDescent="0.3">
      <c r="A452" s="150"/>
      <c r="B452" s="108"/>
      <c r="C452" s="106"/>
      <c r="D452" s="108"/>
      <c r="E452" s="107"/>
      <c r="F452" s="106"/>
      <c r="G452" s="108"/>
      <c r="H452" s="155"/>
      <c r="I452" s="155"/>
      <c r="J452" s="108"/>
    </row>
    <row r="453" spans="1:10" ht="15.6" hidden="1" customHeight="1" x14ac:dyDescent="0.3">
      <c r="A453" s="150" t="s">
        <v>172</v>
      </c>
      <c r="B453" s="108"/>
      <c r="C453" s="108"/>
      <c r="D453" s="108"/>
      <c r="E453" s="115"/>
      <c r="F453" s="108"/>
      <c r="G453" s="108"/>
      <c r="H453" s="155"/>
      <c r="I453" s="155"/>
      <c r="J453" s="108"/>
    </row>
    <row r="454" spans="1:10" ht="15.6" hidden="1" customHeight="1" x14ac:dyDescent="0.3">
      <c r="A454" s="150"/>
      <c r="B454" s="108"/>
      <c r="C454" s="108"/>
      <c r="D454" s="108"/>
      <c r="E454" s="115"/>
      <c r="F454" s="108"/>
      <c r="G454" s="108"/>
      <c r="H454" s="155"/>
      <c r="I454" s="155"/>
      <c r="J454" s="108"/>
    </row>
    <row r="455" spans="1:10" ht="15.6" hidden="1" customHeight="1" x14ac:dyDescent="0.3">
      <c r="A455" s="150"/>
      <c r="B455" s="108"/>
      <c r="C455" s="108"/>
      <c r="D455" s="108"/>
      <c r="E455" s="115"/>
      <c r="F455" s="108"/>
      <c r="G455" s="108"/>
      <c r="H455" s="155"/>
      <c r="I455" s="155"/>
      <c r="J455" s="108"/>
    </row>
    <row r="456" spans="1:10" ht="15.6" hidden="1" customHeight="1" x14ac:dyDescent="0.3">
      <c r="A456" s="150" t="s">
        <v>173</v>
      </c>
      <c r="B456" s="108"/>
      <c r="C456" s="106"/>
      <c r="D456" s="108"/>
      <c r="E456" s="107"/>
      <c r="F456" s="106"/>
      <c r="G456" s="108"/>
      <c r="H456" s="155"/>
      <c r="I456" s="155"/>
      <c r="J456" s="108"/>
    </row>
    <row r="457" spans="1:10" ht="15.6" hidden="1" customHeight="1" x14ac:dyDescent="0.3">
      <c r="A457" s="150"/>
      <c r="B457" s="108"/>
      <c r="C457" s="106"/>
      <c r="D457" s="108"/>
      <c r="E457" s="107"/>
      <c r="F457" s="106"/>
      <c r="G457" s="108"/>
      <c r="H457" s="155"/>
      <c r="I457" s="155"/>
      <c r="J457" s="108"/>
    </row>
    <row r="458" spans="1:10" ht="15.6" hidden="1" customHeight="1" x14ac:dyDescent="0.3">
      <c r="A458" s="150"/>
      <c r="B458" s="108"/>
      <c r="C458" s="106"/>
      <c r="D458" s="108"/>
      <c r="E458" s="107"/>
      <c r="F458" s="106"/>
      <c r="G458" s="108"/>
      <c r="H458" s="155"/>
      <c r="I458" s="155"/>
      <c r="J458" s="108"/>
    </row>
    <row r="459" spans="1:10" ht="15.6" hidden="1" customHeight="1" x14ac:dyDescent="0.3">
      <c r="A459" s="150" t="s">
        <v>174</v>
      </c>
      <c r="B459" s="108"/>
      <c r="C459" s="109"/>
      <c r="D459" s="106"/>
      <c r="E459" s="107"/>
      <c r="F459" s="106"/>
      <c r="G459" s="106"/>
      <c r="H459" s="155"/>
      <c r="I459" s="155"/>
      <c r="J459" s="106"/>
    </row>
    <row r="460" spans="1:10" ht="15.6" hidden="1" customHeight="1" x14ac:dyDescent="0.3">
      <c r="A460" s="150"/>
      <c r="B460" s="108"/>
      <c r="C460" s="109"/>
      <c r="D460" s="106"/>
      <c r="E460" s="107"/>
      <c r="F460" s="106"/>
      <c r="G460" s="106"/>
      <c r="H460" s="155"/>
      <c r="I460" s="155"/>
      <c r="J460" s="106"/>
    </row>
    <row r="461" spans="1:10" ht="15.6" hidden="1" customHeight="1" x14ac:dyDescent="0.3">
      <c r="A461" s="150"/>
      <c r="B461" s="108"/>
      <c r="C461" s="109"/>
      <c r="D461" s="106"/>
      <c r="E461" s="107"/>
      <c r="F461" s="106"/>
      <c r="G461" s="106"/>
      <c r="H461" s="155"/>
      <c r="I461" s="155"/>
      <c r="J461" s="106"/>
    </row>
    <row r="462" spans="1:10" ht="15.6" hidden="1" customHeight="1" x14ac:dyDescent="0.3">
      <c r="A462" s="150" t="s">
        <v>175</v>
      </c>
      <c r="B462" s="108"/>
      <c r="C462" s="106"/>
      <c r="D462" s="106"/>
      <c r="E462" s="107"/>
      <c r="F462" s="106"/>
      <c r="G462" s="106"/>
      <c r="H462" s="155"/>
      <c r="I462" s="155"/>
      <c r="J462" s="106"/>
    </row>
    <row r="463" spans="1:10" ht="15.6" hidden="1" customHeight="1" x14ac:dyDescent="0.3">
      <c r="A463" s="150"/>
      <c r="B463" s="108"/>
      <c r="C463" s="106"/>
      <c r="D463" s="106"/>
      <c r="E463" s="107"/>
      <c r="F463" s="106"/>
      <c r="G463" s="106"/>
      <c r="H463" s="155"/>
      <c r="I463" s="155"/>
      <c r="J463" s="106"/>
    </row>
    <row r="464" spans="1:10" ht="15.6" hidden="1" customHeight="1" x14ac:dyDescent="0.3">
      <c r="A464" s="150"/>
      <c r="B464" s="108"/>
      <c r="C464" s="106"/>
      <c r="D464" s="106"/>
      <c r="E464" s="107"/>
      <c r="F464" s="106"/>
      <c r="G464" s="106"/>
      <c r="H464" s="155"/>
      <c r="I464" s="155"/>
      <c r="J464" s="106"/>
    </row>
    <row r="465" spans="1:10" ht="15.6" hidden="1" customHeight="1" x14ac:dyDescent="0.3">
      <c r="A465" s="150" t="s">
        <v>176</v>
      </c>
      <c r="B465" s="108"/>
      <c r="C465" s="106"/>
      <c r="D465" s="108"/>
      <c r="E465" s="107"/>
      <c r="F465" s="106"/>
      <c r="G465" s="108"/>
      <c r="H465" s="155"/>
      <c r="I465" s="155"/>
      <c r="J465" s="108"/>
    </row>
    <row r="466" spans="1:10" ht="15.6" hidden="1" customHeight="1" x14ac:dyDescent="0.3">
      <c r="A466" s="150"/>
      <c r="B466" s="108"/>
      <c r="C466" s="106"/>
      <c r="D466" s="108"/>
      <c r="E466" s="107"/>
      <c r="F466" s="106"/>
      <c r="G466" s="108"/>
      <c r="H466" s="155"/>
      <c r="I466" s="155"/>
      <c r="J466" s="108"/>
    </row>
    <row r="467" spans="1:10" ht="15.6" hidden="1" customHeight="1" x14ac:dyDescent="0.3">
      <c r="A467" s="150"/>
      <c r="B467" s="108"/>
      <c r="C467" s="106"/>
      <c r="D467" s="108"/>
      <c r="E467" s="107"/>
      <c r="F467" s="106"/>
      <c r="G467" s="108"/>
      <c r="H467" s="155"/>
      <c r="I467" s="155"/>
      <c r="J467" s="108"/>
    </row>
    <row r="468" spans="1:10" ht="15.6" hidden="1" customHeight="1" x14ac:dyDescent="0.3">
      <c r="A468" s="150" t="s">
        <v>177</v>
      </c>
      <c r="B468" s="108"/>
      <c r="C468" s="106"/>
      <c r="D468" s="108"/>
      <c r="E468" s="107"/>
      <c r="F468" s="106"/>
      <c r="G468" s="108"/>
      <c r="H468" s="155"/>
      <c r="I468" s="155"/>
      <c r="J468" s="108"/>
    </row>
    <row r="469" spans="1:10" ht="15.6" hidden="1" customHeight="1" x14ac:dyDescent="0.3">
      <c r="A469" s="150"/>
      <c r="B469" s="108"/>
      <c r="C469" s="106"/>
      <c r="D469" s="108"/>
      <c r="E469" s="107"/>
      <c r="F469" s="106"/>
      <c r="G469" s="108"/>
      <c r="H469" s="155"/>
      <c r="I469" s="155"/>
      <c r="J469" s="108"/>
    </row>
    <row r="470" spans="1:10" ht="15.6" hidden="1" customHeight="1" x14ac:dyDescent="0.3">
      <c r="A470" s="150"/>
      <c r="B470" s="108"/>
      <c r="C470" s="106"/>
      <c r="D470" s="108"/>
      <c r="E470" s="107"/>
      <c r="F470" s="106"/>
      <c r="G470" s="108"/>
      <c r="H470" s="155"/>
      <c r="I470" s="155"/>
      <c r="J470" s="108"/>
    </row>
    <row r="471" spans="1:10" ht="15.6" hidden="1" customHeight="1" x14ac:dyDescent="0.3">
      <c r="A471" s="150" t="s">
        <v>178</v>
      </c>
      <c r="B471" s="108"/>
      <c r="C471" s="106"/>
      <c r="D471" s="108"/>
      <c r="E471" s="107"/>
      <c r="F471" s="106"/>
      <c r="G471" s="108"/>
      <c r="H471" s="155"/>
      <c r="I471" s="155"/>
      <c r="J471" s="108"/>
    </row>
    <row r="472" spans="1:10" ht="15.6" hidden="1" customHeight="1" x14ac:dyDescent="0.3">
      <c r="A472" s="150"/>
      <c r="B472" s="108"/>
      <c r="C472" s="106"/>
      <c r="D472" s="108"/>
      <c r="E472" s="107"/>
      <c r="F472" s="106"/>
      <c r="G472" s="108"/>
      <c r="H472" s="155"/>
      <c r="I472" s="155"/>
      <c r="J472" s="108"/>
    </row>
    <row r="473" spans="1:10" ht="15.6" hidden="1" customHeight="1" x14ac:dyDescent="0.3">
      <c r="A473" s="150"/>
      <c r="B473" s="108"/>
      <c r="C473" s="106"/>
      <c r="D473" s="108"/>
      <c r="E473" s="107"/>
      <c r="F473" s="106"/>
      <c r="G473" s="108"/>
      <c r="H473" s="155"/>
      <c r="I473" s="155"/>
      <c r="J473" s="108"/>
    </row>
    <row r="474" spans="1:10" ht="15.6" hidden="1" customHeight="1" x14ac:dyDescent="0.3">
      <c r="A474" s="110" t="s">
        <v>179</v>
      </c>
      <c r="B474" s="106"/>
      <c r="C474" s="106"/>
      <c r="D474" s="106"/>
      <c r="E474" s="107"/>
      <c r="F474" s="106"/>
      <c r="G474" s="106"/>
      <c r="H474" s="155"/>
      <c r="I474" s="155"/>
      <c r="J474" s="106"/>
    </row>
    <row r="475" spans="1:10" ht="15.6" hidden="1" customHeight="1" x14ac:dyDescent="0.3">
      <c r="A475" s="110" t="s">
        <v>179</v>
      </c>
      <c r="B475" s="106"/>
      <c r="C475" s="106"/>
      <c r="D475" s="106"/>
      <c r="E475" s="107"/>
      <c r="F475" s="106"/>
      <c r="G475" s="106"/>
      <c r="H475" s="155"/>
      <c r="I475" s="155"/>
      <c r="J475" s="106"/>
    </row>
    <row r="476" spans="1:10" ht="15.6" hidden="1" customHeight="1" x14ac:dyDescent="0.3">
      <c r="A476" s="110" t="s">
        <v>179</v>
      </c>
      <c r="B476" s="106"/>
      <c r="C476" s="106"/>
      <c r="D476" s="106"/>
      <c r="E476" s="107"/>
      <c r="F476" s="106"/>
      <c r="G476" s="106"/>
      <c r="H476" s="155"/>
      <c r="I476" s="155"/>
      <c r="J476" s="106"/>
    </row>
    <row r="477" spans="1:10" ht="15.6" hidden="1" customHeight="1" x14ac:dyDescent="0.3">
      <c r="A477" s="150" t="s">
        <v>180</v>
      </c>
      <c r="B477" s="106"/>
      <c r="C477" s="106"/>
      <c r="D477" s="106"/>
      <c r="E477" s="107"/>
      <c r="F477" s="106"/>
      <c r="G477" s="106"/>
      <c r="H477" s="155"/>
      <c r="I477" s="155"/>
      <c r="J477" s="106"/>
    </row>
    <row r="478" spans="1:10" ht="15.6" hidden="1" customHeight="1" x14ac:dyDescent="0.3">
      <c r="A478" s="150"/>
      <c r="B478" s="106"/>
      <c r="C478" s="106"/>
      <c r="D478" s="106"/>
      <c r="E478" s="107"/>
      <c r="F478" s="106"/>
      <c r="G478" s="106"/>
      <c r="H478" s="155"/>
      <c r="I478" s="155"/>
      <c r="J478" s="106"/>
    </row>
    <row r="479" spans="1:10" ht="15.6" hidden="1" customHeight="1" x14ac:dyDescent="0.3">
      <c r="A479" s="150"/>
      <c r="B479" s="106"/>
      <c r="C479" s="106"/>
      <c r="D479" s="106"/>
      <c r="E479" s="107"/>
      <c r="F479" s="106"/>
      <c r="G479" s="106"/>
      <c r="H479" s="155"/>
      <c r="I479" s="155"/>
      <c r="J479" s="106"/>
    </row>
    <row r="480" spans="1:10" ht="15.6" hidden="1" customHeight="1" x14ac:dyDescent="0.3">
      <c r="A480" s="109" t="s">
        <v>181</v>
      </c>
      <c r="B480" s="106"/>
      <c r="C480" s="106"/>
      <c r="D480" s="106"/>
      <c r="E480" s="107"/>
      <c r="F480" s="106"/>
      <c r="G480" s="106"/>
      <c r="H480" s="155"/>
      <c r="I480" s="155"/>
      <c r="J480" s="106"/>
    </row>
    <row r="481" spans="1:10" ht="15.6" hidden="1" customHeight="1" x14ac:dyDescent="0.3">
      <c r="A481" s="109" t="s">
        <v>181</v>
      </c>
      <c r="B481" s="106"/>
      <c r="C481" s="106"/>
      <c r="D481" s="106"/>
      <c r="E481" s="107"/>
      <c r="F481" s="106"/>
      <c r="G481" s="106"/>
      <c r="H481" s="155"/>
      <c r="I481" s="155"/>
      <c r="J481" s="106"/>
    </row>
    <row r="482" spans="1:10" ht="15.6" hidden="1" customHeight="1" x14ac:dyDescent="0.3">
      <c r="A482" s="109" t="s">
        <v>181</v>
      </c>
      <c r="B482" s="106"/>
      <c r="C482" s="106"/>
      <c r="D482" s="106"/>
      <c r="E482" s="107"/>
      <c r="F482" s="106"/>
      <c r="G482" s="106"/>
      <c r="H482" s="155"/>
      <c r="I482" s="155"/>
      <c r="J482" s="106"/>
    </row>
    <row r="483" spans="1:10" s="20" customFormat="1" ht="15.6" hidden="1" customHeight="1" x14ac:dyDescent="0.3">
      <c r="A483" s="150" t="s">
        <v>182</v>
      </c>
      <c r="B483" s="108"/>
      <c r="C483" s="106"/>
      <c r="D483" s="106"/>
      <c r="E483" s="107"/>
      <c r="F483" s="106"/>
      <c r="G483" s="106"/>
      <c r="H483" s="155"/>
      <c r="I483" s="155"/>
      <c r="J483" s="106"/>
    </row>
    <row r="484" spans="1:10" s="20" customFormat="1" ht="15.6" hidden="1" customHeight="1" x14ac:dyDescent="0.3">
      <c r="A484" s="150"/>
      <c r="B484" s="108"/>
      <c r="C484" s="106"/>
      <c r="D484" s="106"/>
      <c r="E484" s="107"/>
      <c r="F484" s="106"/>
      <c r="G484" s="106"/>
      <c r="H484" s="155"/>
      <c r="I484" s="155"/>
      <c r="J484" s="106"/>
    </row>
    <row r="485" spans="1:10" s="20" customFormat="1" ht="15.6" hidden="1" customHeight="1" x14ac:dyDescent="0.3">
      <c r="A485" s="150"/>
      <c r="B485" s="108"/>
      <c r="C485" s="106"/>
      <c r="D485" s="106"/>
      <c r="E485" s="107"/>
      <c r="F485" s="106"/>
      <c r="G485" s="106"/>
      <c r="H485" s="155"/>
      <c r="I485" s="155"/>
      <c r="J485" s="106"/>
    </row>
    <row r="486" spans="1:10" ht="15.6" hidden="1" customHeight="1" x14ac:dyDescent="0.3">
      <c r="A486" s="109" t="s">
        <v>183</v>
      </c>
      <c r="B486" s="106"/>
      <c r="C486" s="106"/>
      <c r="D486" s="106"/>
      <c r="E486" s="107"/>
      <c r="F486" s="106"/>
      <c r="G486" s="106"/>
      <c r="H486" s="155"/>
      <c r="I486" s="155"/>
      <c r="J486" s="106"/>
    </row>
    <row r="487" spans="1:10" ht="15.6" hidden="1" customHeight="1" x14ac:dyDescent="0.3">
      <c r="A487" s="109" t="s">
        <v>183</v>
      </c>
      <c r="B487" s="106"/>
      <c r="C487" s="106"/>
      <c r="D487" s="106"/>
      <c r="E487" s="107"/>
      <c r="F487" s="106"/>
      <c r="G487" s="106"/>
      <c r="H487" s="155"/>
      <c r="I487" s="155"/>
      <c r="J487" s="106"/>
    </row>
    <row r="488" spans="1:10" ht="15.6" hidden="1" customHeight="1" x14ac:dyDescent="0.3">
      <c r="A488" s="109" t="s">
        <v>183</v>
      </c>
      <c r="B488" s="106"/>
      <c r="C488" s="106"/>
      <c r="D488" s="106"/>
      <c r="E488" s="107"/>
      <c r="F488" s="106"/>
      <c r="G488" s="106"/>
      <c r="H488" s="155"/>
      <c r="I488" s="155"/>
      <c r="J488" s="106"/>
    </row>
    <row r="489" spans="1:10" ht="15.6" hidden="1" customHeight="1" x14ac:dyDescent="0.3">
      <c r="A489" s="150" t="s">
        <v>184</v>
      </c>
      <c r="B489" s="108"/>
      <c r="C489" s="108"/>
      <c r="D489" s="108"/>
      <c r="E489" s="108"/>
      <c r="F489" s="108"/>
      <c r="G489" s="108"/>
      <c r="H489" s="155"/>
      <c r="I489" s="155"/>
      <c r="J489" s="108"/>
    </row>
    <row r="490" spans="1:10" ht="15.6" hidden="1" customHeight="1" x14ac:dyDescent="0.3">
      <c r="A490" s="150"/>
      <c r="B490" s="108"/>
      <c r="C490" s="108"/>
      <c r="D490" s="108"/>
      <c r="E490" s="108"/>
      <c r="F490" s="108"/>
      <c r="G490" s="108"/>
      <c r="H490" s="155"/>
      <c r="I490" s="155"/>
      <c r="J490" s="108"/>
    </row>
    <row r="491" spans="1:10" ht="15.6" hidden="1" customHeight="1" x14ac:dyDescent="0.3">
      <c r="A491" s="150"/>
      <c r="B491" s="108"/>
      <c r="C491" s="108"/>
      <c r="D491" s="108"/>
      <c r="E491" s="108"/>
      <c r="F491" s="108"/>
      <c r="G491" s="108"/>
      <c r="H491" s="155"/>
      <c r="I491" s="155"/>
      <c r="J491" s="108"/>
    </row>
    <row r="492" spans="1:10" ht="15.6" hidden="1" customHeight="1" x14ac:dyDescent="0.3">
      <c r="A492" s="150" t="s">
        <v>185</v>
      </c>
      <c r="B492" s="108"/>
      <c r="C492" s="106"/>
      <c r="D492" s="108"/>
      <c r="E492" s="107"/>
      <c r="F492" s="106"/>
      <c r="G492" s="108"/>
      <c r="H492" s="155"/>
      <c r="I492" s="155"/>
      <c r="J492" s="106"/>
    </row>
    <row r="493" spans="1:10" ht="15.6" hidden="1" customHeight="1" x14ac:dyDescent="0.3">
      <c r="A493" s="150"/>
      <c r="B493" s="108"/>
      <c r="C493" s="106"/>
      <c r="D493" s="108"/>
      <c r="E493" s="107"/>
      <c r="F493" s="106"/>
      <c r="G493" s="108"/>
      <c r="H493" s="155"/>
      <c r="I493" s="155"/>
      <c r="J493" s="106"/>
    </row>
    <row r="494" spans="1:10" ht="15.6" hidden="1" customHeight="1" x14ac:dyDescent="0.3">
      <c r="A494" s="150"/>
      <c r="B494" s="108"/>
      <c r="C494" s="106"/>
      <c r="D494" s="108"/>
      <c r="E494" s="107"/>
      <c r="F494" s="106"/>
      <c r="G494" s="108"/>
      <c r="H494" s="155"/>
      <c r="I494" s="155"/>
      <c r="J494" s="106"/>
    </row>
    <row r="495" spans="1:10" ht="15.6" hidden="1" customHeight="1" x14ac:dyDescent="0.3">
      <c r="A495" s="150" t="s">
        <v>186</v>
      </c>
      <c r="B495" s="108"/>
      <c r="C495" s="106"/>
      <c r="D495" s="108"/>
      <c r="E495" s="107"/>
      <c r="F495" s="106"/>
      <c r="G495" s="108"/>
      <c r="H495" s="155"/>
      <c r="I495" s="155"/>
      <c r="J495" s="106"/>
    </row>
    <row r="496" spans="1:10" ht="15.6" hidden="1" customHeight="1" x14ac:dyDescent="0.3">
      <c r="A496" s="150"/>
      <c r="B496" s="108"/>
      <c r="C496" s="106"/>
      <c r="D496" s="108"/>
      <c r="E496" s="107"/>
      <c r="F496" s="106"/>
      <c r="G496" s="108"/>
      <c r="H496" s="155"/>
      <c r="I496" s="155"/>
      <c r="J496" s="106"/>
    </row>
    <row r="497" spans="1:10" ht="15.6" hidden="1" customHeight="1" x14ac:dyDescent="0.3">
      <c r="A497" s="150"/>
      <c r="B497" s="108"/>
      <c r="C497" s="106"/>
      <c r="D497" s="108"/>
      <c r="E497" s="107"/>
      <c r="F497" s="106"/>
      <c r="G497" s="108"/>
      <c r="H497" s="155"/>
      <c r="I497" s="155"/>
      <c r="J497" s="106"/>
    </row>
    <row r="498" spans="1:10" ht="15.6" hidden="1" customHeight="1" x14ac:dyDescent="0.3">
      <c r="A498" s="150" t="s">
        <v>187</v>
      </c>
      <c r="B498" s="108"/>
      <c r="C498" s="108"/>
      <c r="D498" s="108"/>
      <c r="E498" s="115"/>
      <c r="F498" s="108"/>
      <c r="G498" s="108"/>
      <c r="H498" s="155"/>
      <c r="I498" s="155"/>
      <c r="J498" s="108"/>
    </row>
    <row r="499" spans="1:10" ht="15.6" hidden="1" customHeight="1" x14ac:dyDescent="0.3">
      <c r="A499" s="150"/>
      <c r="B499" s="108"/>
      <c r="C499" s="108"/>
      <c r="D499" s="108"/>
      <c r="E499" s="115"/>
      <c r="F499" s="108"/>
      <c r="G499" s="108"/>
      <c r="H499" s="155"/>
      <c r="I499" s="155"/>
      <c r="J499" s="108"/>
    </row>
    <row r="500" spans="1:10" ht="15.6" hidden="1" customHeight="1" x14ac:dyDescent="0.3">
      <c r="A500" s="150"/>
      <c r="B500" s="108"/>
      <c r="C500" s="108"/>
      <c r="D500" s="108"/>
      <c r="E500" s="115"/>
      <c r="F500" s="108"/>
      <c r="G500" s="108"/>
      <c r="H500" s="155"/>
      <c r="I500" s="155"/>
      <c r="J500" s="108"/>
    </row>
    <row r="501" spans="1:10" s="20" customFormat="1" ht="15.6" hidden="1" customHeight="1" x14ac:dyDescent="0.3">
      <c r="A501" s="109" t="s">
        <v>188</v>
      </c>
      <c r="B501" s="108"/>
      <c r="C501" s="106"/>
      <c r="D501" s="106"/>
      <c r="E501" s="107"/>
      <c r="F501" s="106"/>
      <c r="G501" s="106"/>
      <c r="H501" s="155"/>
      <c r="I501" s="155"/>
      <c r="J501" s="106"/>
    </row>
    <row r="502" spans="1:10" s="20" customFormat="1" ht="15.6" hidden="1" customHeight="1" x14ac:dyDescent="0.3">
      <c r="A502" s="109" t="s">
        <v>188</v>
      </c>
      <c r="B502" s="108"/>
      <c r="C502" s="106"/>
      <c r="D502" s="106"/>
      <c r="E502" s="107"/>
      <c r="F502" s="106"/>
      <c r="G502" s="106"/>
      <c r="H502" s="155"/>
      <c r="I502" s="155"/>
      <c r="J502" s="106"/>
    </row>
    <row r="503" spans="1:10" s="20" customFormat="1" ht="15.6" hidden="1" customHeight="1" x14ac:dyDescent="0.3">
      <c r="A503" s="109" t="s">
        <v>188</v>
      </c>
      <c r="B503" s="108"/>
      <c r="C503" s="106"/>
      <c r="D503" s="106"/>
      <c r="E503" s="107"/>
      <c r="F503" s="106"/>
      <c r="G503" s="106"/>
      <c r="H503" s="155"/>
      <c r="I503" s="155"/>
      <c r="J503" s="106"/>
    </row>
    <row r="504" spans="1:10" s="20" customFormat="1" ht="15.6" hidden="1" customHeight="1" x14ac:dyDescent="0.3">
      <c r="A504" s="111" t="s">
        <v>189</v>
      </c>
      <c r="B504" s="108"/>
      <c r="C504" s="106"/>
      <c r="D504" s="106"/>
      <c r="E504" s="107"/>
      <c r="F504" s="106"/>
      <c r="G504" s="106"/>
      <c r="H504" s="155"/>
      <c r="I504" s="155"/>
      <c r="J504" s="106"/>
    </row>
    <row r="505" spans="1:10" ht="15.6" hidden="1" customHeight="1" x14ac:dyDescent="0.3">
      <c r="A505" s="150" t="s">
        <v>189</v>
      </c>
      <c r="B505" s="116"/>
      <c r="C505" s="106"/>
      <c r="D505" s="106"/>
      <c r="E505" s="107"/>
      <c r="F505" s="106"/>
      <c r="G505" s="106"/>
      <c r="H505" s="155"/>
      <c r="I505" s="155"/>
      <c r="J505" s="106"/>
    </row>
    <row r="506" spans="1:10" ht="15.6" hidden="1" customHeight="1" x14ac:dyDescent="0.3">
      <c r="A506" s="150"/>
      <c r="B506" s="116"/>
      <c r="C506" s="106"/>
      <c r="D506" s="106"/>
      <c r="E506" s="107"/>
      <c r="F506" s="106"/>
      <c r="G506" s="106"/>
      <c r="H506" s="155"/>
      <c r="I506" s="155"/>
      <c r="J506" s="106"/>
    </row>
    <row r="507" spans="1:10" ht="15.6" hidden="1" customHeight="1" x14ac:dyDescent="0.3">
      <c r="A507" s="150"/>
      <c r="B507" s="116"/>
      <c r="C507" s="106"/>
      <c r="D507" s="106"/>
      <c r="E507" s="107"/>
      <c r="F507" s="106"/>
      <c r="G507" s="106"/>
      <c r="H507" s="155"/>
      <c r="I507" s="155"/>
      <c r="J507" s="106"/>
    </row>
    <row r="508" spans="1:10" ht="15.6" hidden="1" customHeight="1" x14ac:dyDescent="0.3">
      <c r="A508" s="150" t="s">
        <v>190</v>
      </c>
      <c r="B508" s="108"/>
      <c r="C508" s="108"/>
      <c r="D508" s="108"/>
      <c r="E508" s="108"/>
      <c r="F508" s="108"/>
      <c r="G508" s="108"/>
      <c r="H508" s="155"/>
      <c r="I508" s="155"/>
      <c r="J508" s="108"/>
    </row>
    <row r="509" spans="1:10" ht="15.6" hidden="1" customHeight="1" x14ac:dyDescent="0.3">
      <c r="A509" s="150"/>
      <c r="B509" s="108"/>
      <c r="C509" s="108"/>
      <c r="D509" s="108"/>
      <c r="E509" s="108"/>
      <c r="F509" s="108"/>
      <c r="G509" s="108"/>
      <c r="H509" s="155"/>
      <c r="I509" s="155"/>
      <c r="J509" s="108"/>
    </row>
    <row r="510" spans="1:10" ht="15.6" hidden="1" customHeight="1" x14ac:dyDescent="0.3">
      <c r="A510" s="150"/>
      <c r="B510" s="108"/>
      <c r="C510" s="108"/>
      <c r="D510" s="108"/>
      <c r="E510" s="108"/>
      <c r="F510" s="108"/>
      <c r="G510" s="108"/>
      <c r="H510" s="155"/>
      <c r="I510" s="155"/>
      <c r="J510" s="108"/>
    </row>
    <row r="511" spans="1:10" ht="15.6" hidden="1" customHeight="1" x14ac:dyDescent="0.3">
      <c r="A511" s="111" t="s">
        <v>191</v>
      </c>
      <c r="B511" s="108"/>
      <c r="C511" s="106"/>
      <c r="D511" s="108"/>
      <c r="E511" s="107"/>
      <c r="F511" s="106"/>
      <c r="G511" s="108"/>
      <c r="H511" s="155"/>
      <c r="I511" s="155"/>
      <c r="J511" s="106"/>
    </row>
    <row r="512" spans="1:10" ht="15.6" hidden="1" customHeight="1" x14ac:dyDescent="0.3">
      <c r="A512" s="111" t="s">
        <v>191</v>
      </c>
      <c r="B512" s="108"/>
      <c r="C512" s="106"/>
      <c r="D512" s="108"/>
      <c r="E512" s="107"/>
      <c r="F512" s="106"/>
      <c r="G512" s="108"/>
      <c r="H512" s="155"/>
      <c r="I512" s="155"/>
      <c r="J512" s="106"/>
    </row>
    <row r="513" spans="1:10" ht="15.6" hidden="1" customHeight="1" x14ac:dyDescent="0.3">
      <c r="A513" s="150" t="s">
        <v>191</v>
      </c>
      <c r="B513" s="106"/>
      <c r="C513" s="106"/>
      <c r="D513" s="106"/>
      <c r="E513" s="107"/>
      <c r="F513" s="106"/>
      <c r="G513" s="106"/>
      <c r="H513" s="155"/>
      <c r="I513" s="155"/>
      <c r="J513" s="106"/>
    </row>
    <row r="514" spans="1:10" ht="15.6" hidden="1" customHeight="1" x14ac:dyDescent="0.3">
      <c r="A514" s="150"/>
      <c r="B514" s="106"/>
      <c r="C514" s="106"/>
      <c r="D514" s="106"/>
      <c r="E514" s="107"/>
      <c r="F514" s="106"/>
      <c r="G514" s="106"/>
      <c r="H514" s="155"/>
      <c r="I514" s="155"/>
      <c r="J514" s="106"/>
    </row>
    <row r="515" spans="1:10" ht="15.6" hidden="1" customHeight="1" x14ac:dyDescent="0.3">
      <c r="A515" s="150"/>
      <c r="B515" s="106"/>
      <c r="C515" s="106"/>
      <c r="D515" s="106"/>
      <c r="E515" s="107"/>
      <c r="F515" s="106"/>
      <c r="G515" s="106"/>
      <c r="H515" s="155"/>
      <c r="I515" s="155"/>
      <c r="J515" s="106"/>
    </row>
    <row r="516" spans="1:10" ht="15.6" hidden="1" customHeight="1" x14ac:dyDescent="0.3">
      <c r="A516" s="109" t="s">
        <v>192</v>
      </c>
      <c r="B516" s="106"/>
      <c r="C516" s="106"/>
      <c r="D516" s="106"/>
      <c r="E516" s="107"/>
      <c r="F516" s="106"/>
      <c r="G516" s="106"/>
      <c r="H516" s="155"/>
      <c r="I516" s="155"/>
      <c r="J516" s="106"/>
    </row>
    <row r="517" spans="1:10" ht="15.6" hidden="1" customHeight="1" x14ac:dyDescent="0.3">
      <c r="A517" s="109" t="s">
        <v>192</v>
      </c>
      <c r="B517" s="106"/>
      <c r="C517" s="106"/>
      <c r="D517" s="106"/>
      <c r="E517" s="107"/>
      <c r="F517" s="106"/>
      <c r="G517" s="106"/>
      <c r="H517" s="155"/>
      <c r="I517" s="155"/>
      <c r="J517" s="106"/>
    </row>
    <row r="518" spans="1:10" ht="15.6" hidden="1" customHeight="1" x14ac:dyDescent="0.3">
      <c r="A518" s="109" t="s">
        <v>192</v>
      </c>
      <c r="B518" s="106"/>
      <c r="C518" s="106"/>
      <c r="D518" s="106"/>
      <c r="E518" s="107"/>
      <c r="F518" s="106"/>
      <c r="G518" s="106"/>
      <c r="H518" s="155"/>
      <c r="I518" s="155"/>
      <c r="J518" s="106"/>
    </row>
    <row r="519" spans="1:10" s="20" customFormat="1" ht="15.6" hidden="1" customHeight="1" x14ac:dyDescent="0.3">
      <c r="A519" s="109" t="s">
        <v>193</v>
      </c>
      <c r="B519" s="108"/>
      <c r="C519" s="106"/>
      <c r="D519" s="106"/>
      <c r="E519" s="107"/>
      <c r="F519" s="106"/>
      <c r="G519" s="106"/>
      <c r="H519" s="155"/>
      <c r="I519" s="155"/>
      <c r="J519" s="106"/>
    </row>
    <row r="520" spans="1:10" s="20" customFormat="1" ht="15.6" hidden="1" customHeight="1" x14ac:dyDescent="0.3">
      <c r="A520" s="109" t="s">
        <v>193</v>
      </c>
      <c r="B520" s="108"/>
      <c r="C520" s="106"/>
      <c r="D520" s="106"/>
      <c r="E520" s="107"/>
      <c r="F520" s="106"/>
      <c r="G520" s="106"/>
      <c r="H520" s="155"/>
      <c r="I520" s="155"/>
      <c r="J520" s="106"/>
    </row>
    <row r="521" spans="1:10" s="20" customFormat="1" ht="15.6" hidden="1" customHeight="1" x14ac:dyDescent="0.3">
      <c r="A521" s="109" t="s">
        <v>193</v>
      </c>
      <c r="B521" s="108"/>
      <c r="C521" s="106"/>
      <c r="D521" s="106"/>
      <c r="E521" s="107"/>
      <c r="F521" s="106"/>
      <c r="G521" s="106"/>
      <c r="H521" s="155"/>
      <c r="I521" s="155"/>
      <c r="J521" s="106"/>
    </row>
    <row r="522" spans="1:10" s="20" customFormat="1" ht="15.6" hidden="1" customHeight="1" x14ac:dyDescent="0.3">
      <c r="A522" s="109" t="s">
        <v>193</v>
      </c>
      <c r="B522" s="108"/>
      <c r="C522" s="106"/>
      <c r="D522" s="106"/>
      <c r="E522" s="107"/>
      <c r="F522" s="106"/>
      <c r="G522" s="106"/>
      <c r="H522" s="155"/>
      <c r="I522" s="155"/>
      <c r="J522" s="106"/>
    </row>
    <row r="523" spans="1:10" ht="15.6" hidden="1" customHeight="1" x14ac:dyDescent="0.3">
      <c r="A523" s="151" t="s">
        <v>194</v>
      </c>
      <c r="B523" s="108"/>
      <c r="C523" s="108"/>
      <c r="D523" s="108"/>
      <c r="E523" s="115"/>
      <c r="F523" s="108"/>
      <c r="G523" s="108"/>
      <c r="H523" s="155"/>
      <c r="I523" s="155"/>
      <c r="J523" s="108"/>
    </row>
    <row r="524" spans="1:10" ht="15.6" hidden="1" customHeight="1" x14ac:dyDescent="0.3">
      <c r="A524" s="151"/>
      <c r="B524" s="108"/>
      <c r="C524" s="108"/>
      <c r="D524" s="108"/>
      <c r="E524" s="115"/>
      <c r="F524" s="108"/>
      <c r="G524" s="108"/>
      <c r="H524" s="155"/>
      <c r="I524" s="155"/>
      <c r="J524" s="108"/>
    </row>
    <row r="525" spans="1:10" ht="15.6" hidden="1" customHeight="1" x14ac:dyDescent="0.3">
      <c r="A525" s="151"/>
      <c r="B525" s="108"/>
      <c r="C525" s="108"/>
      <c r="D525" s="108"/>
      <c r="E525" s="115"/>
      <c r="F525" s="108"/>
      <c r="G525" s="108"/>
      <c r="H525" s="155"/>
      <c r="I525" s="155"/>
      <c r="J525" s="108"/>
    </row>
    <row r="526" spans="1:10" ht="15.6" hidden="1" customHeight="1" x14ac:dyDescent="0.3">
      <c r="A526" s="150" t="s">
        <v>195</v>
      </c>
      <c r="B526" s="108"/>
      <c r="C526" s="108"/>
      <c r="D526" s="108"/>
      <c r="E526" s="108"/>
      <c r="F526" s="108"/>
      <c r="G526" s="108"/>
      <c r="H526" s="155"/>
      <c r="I526" s="155"/>
      <c r="J526" s="108"/>
    </row>
    <row r="527" spans="1:10" ht="15.6" hidden="1" customHeight="1" x14ac:dyDescent="0.3">
      <c r="A527" s="150"/>
      <c r="B527" s="108"/>
      <c r="C527" s="108"/>
      <c r="D527" s="108"/>
      <c r="E527" s="108"/>
      <c r="F527" s="108"/>
      <c r="G527" s="108"/>
      <c r="H527" s="155"/>
      <c r="I527" s="155"/>
      <c r="J527" s="108"/>
    </row>
    <row r="528" spans="1:10" ht="15.6" hidden="1" customHeight="1" x14ac:dyDescent="0.3">
      <c r="A528" s="150"/>
      <c r="B528" s="108"/>
      <c r="C528" s="108"/>
      <c r="D528" s="108"/>
      <c r="E528" s="108"/>
      <c r="F528" s="108"/>
      <c r="G528" s="108"/>
      <c r="H528" s="155"/>
      <c r="I528" s="155"/>
      <c r="J528" s="108"/>
    </row>
    <row r="529" spans="1:10" ht="15.6" hidden="1" customHeight="1" x14ac:dyDescent="0.3">
      <c r="A529" s="150" t="s">
        <v>196</v>
      </c>
      <c r="B529" s="106"/>
      <c r="C529" s="106" t="s">
        <v>540</v>
      </c>
      <c r="D529" s="106"/>
      <c r="E529" s="107">
        <v>46133</v>
      </c>
      <c r="F529" s="106"/>
      <c r="G529" s="108"/>
      <c r="H529" s="155"/>
      <c r="I529" s="155"/>
      <c r="J529" s="106"/>
    </row>
    <row r="530" spans="1:10" ht="15.6" hidden="1" customHeight="1" x14ac:dyDescent="0.3">
      <c r="A530" s="150"/>
      <c r="B530" s="106"/>
      <c r="C530" s="106"/>
      <c r="D530" s="106"/>
      <c r="E530" s="107"/>
      <c r="F530" s="106"/>
      <c r="G530" s="108"/>
      <c r="H530" s="155"/>
      <c r="I530" s="155"/>
      <c r="J530" s="106"/>
    </row>
    <row r="531" spans="1:10" ht="15.6" hidden="1" customHeight="1" x14ac:dyDescent="0.3">
      <c r="A531" s="150"/>
      <c r="B531" s="106"/>
      <c r="C531" s="106"/>
      <c r="D531" s="106"/>
      <c r="E531" s="107"/>
      <c r="F531" s="106"/>
      <c r="G531" s="108"/>
      <c r="H531" s="155"/>
      <c r="I531" s="155"/>
      <c r="J531" s="106"/>
    </row>
    <row r="532" spans="1:10" ht="15.6" hidden="1" customHeight="1" x14ac:dyDescent="0.3">
      <c r="A532" s="109" t="s">
        <v>197</v>
      </c>
      <c r="B532" s="116"/>
      <c r="C532" s="106"/>
      <c r="D532" s="118"/>
      <c r="E532" s="107"/>
      <c r="F532" s="106"/>
      <c r="G532" s="106"/>
      <c r="H532" s="155"/>
      <c r="I532" s="155"/>
      <c r="J532" s="106"/>
    </row>
    <row r="533" spans="1:10" ht="15.6" hidden="1" customHeight="1" x14ac:dyDescent="0.3">
      <c r="A533" s="109" t="s">
        <v>197</v>
      </c>
      <c r="B533" s="116"/>
      <c r="C533" s="106"/>
      <c r="D533" s="118"/>
      <c r="E533" s="107"/>
      <c r="F533" s="106"/>
      <c r="G533" s="106"/>
      <c r="H533" s="155"/>
      <c r="I533" s="155"/>
      <c r="J533" s="106"/>
    </row>
    <row r="534" spans="1:10" ht="15.6" hidden="1" customHeight="1" x14ac:dyDescent="0.3">
      <c r="A534" s="109" t="s">
        <v>197</v>
      </c>
      <c r="B534" s="116"/>
      <c r="C534" s="106"/>
      <c r="D534" s="118"/>
      <c r="E534" s="107"/>
      <c r="F534" s="106"/>
      <c r="G534" s="106"/>
      <c r="H534" s="155"/>
      <c r="I534" s="155"/>
      <c r="J534" s="106"/>
    </row>
    <row r="535" spans="1:10" ht="15.6" hidden="1" customHeight="1" x14ac:dyDescent="0.3">
      <c r="A535" s="109" t="s">
        <v>197</v>
      </c>
      <c r="B535" s="116"/>
      <c r="C535" s="106"/>
      <c r="D535" s="118"/>
      <c r="E535" s="107"/>
      <c r="F535" s="106"/>
      <c r="G535" s="106"/>
      <c r="H535" s="155"/>
      <c r="I535" s="155"/>
      <c r="J535" s="106"/>
    </row>
    <row r="536" spans="1:10" ht="15.6" hidden="1" customHeight="1" x14ac:dyDescent="0.3">
      <c r="A536" s="109" t="s">
        <v>198</v>
      </c>
      <c r="B536" s="106"/>
      <c r="C536" s="106"/>
      <c r="D536" s="106"/>
      <c r="E536" s="107"/>
      <c r="F536" s="106"/>
      <c r="G536" s="106"/>
      <c r="H536" s="155"/>
      <c r="I536" s="155"/>
      <c r="J536" s="106"/>
    </row>
    <row r="537" spans="1:10" ht="15.6" hidden="1" customHeight="1" x14ac:dyDescent="0.3">
      <c r="A537" s="109" t="s">
        <v>198</v>
      </c>
      <c r="B537" s="106"/>
      <c r="C537" s="106"/>
      <c r="D537" s="106"/>
      <c r="E537" s="107"/>
      <c r="F537" s="106"/>
      <c r="G537" s="106"/>
      <c r="H537" s="155"/>
      <c r="I537" s="155"/>
      <c r="J537" s="106"/>
    </row>
    <row r="538" spans="1:10" ht="15.6" hidden="1" customHeight="1" x14ac:dyDescent="0.3">
      <c r="A538" s="109" t="s">
        <v>198</v>
      </c>
      <c r="B538" s="106"/>
      <c r="C538" s="106"/>
      <c r="D538" s="106"/>
      <c r="E538" s="107"/>
      <c r="F538" s="106"/>
      <c r="G538" s="106"/>
      <c r="H538" s="155"/>
      <c r="I538" s="155"/>
      <c r="J538" s="106"/>
    </row>
    <row r="539" spans="1:10" ht="15.6" hidden="1" customHeight="1" x14ac:dyDescent="0.3">
      <c r="A539" s="109" t="s">
        <v>199</v>
      </c>
      <c r="B539" s="106"/>
      <c r="C539" s="106"/>
      <c r="D539" s="106"/>
      <c r="E539" s="107"/>
      <c r="F539" s="107"/>
      <c r="G539" s="106"/>
      <c r="H539" s="155"/>
      <c r="I539" s="155"/>
      <c r="J539" s="106"/>
    </row>
    <row r="540" spans="1:10" ht="15.6" hidden="1" customHeight="1" x14ac:dyDescent="0.3">
      <c r="A540" s="109" t="s">
        <v>199</v>
      </c>
      <c r="B540" s="106"/>
      <c r="C540" s="106"/>
      <c r="D540" s="106"/>
      <c r="E540" s="107"/>
      <c r="F540" s="107"/>
      <c r="G540" s="106"/>
      <c r="H540" s="155"/>
      <c r="I540" s="155"/>
      <c r="J540" s="106"/>
    </row>
    <row r="541" spans="1:10" ht="15.6" hidden="1" customHeight="1" x14ac:dyDescent="0.3">
      <c r="A541" s="109" t="s">
        <v>199</v>
      </c>
      <c r="B541" s="106"/>
      <c r="C541" s="106"/>
      <c r="D541" s="106"/>
      <c r="E541" s="107"/>
      <c r="F541" s="107"/>
      <c r="G541" s="106"/>
      <c r="H541" s="155"/>
      <c r="I541" s="155"/>
      <c r="J541" s="106"/>
    </row>
    <row r="542" spans="1:10" ht="15.6" hidden="1" customHeight="1" x14ac:dyDescent="0.3">
      <c r="A542" s="150" t="s">
        <v>200</v>
      </c>
      <c r="B542" s="106"/>
      <c r="C542" s="106"/>
      <c r="D542" s="106"/>
      <c r="E542" s="107"/>
      <c r="F542" s="106"/>
      <c r="G542" s="106"/>
      <c r="H542" s="155"/>
      <c r="I542" s="155"/>
      <c r="J542" s="106"/>
    </row>
    <row r="543" spans="1:10" ht="15.6" hidden="1" customHeight="1" x14ac:dyDescent="0.3">
      <c r="A543" s="150"/>
      <c r="B543" s="106"/>
      <c r="C543" s="106"/>
      <c r="D543" s="106"/>
      <c r="E543" s="107"/>
      <c r="F543" s="106"/>
      <c r="G543" s="106"/>
      <c r="H543" s="155"/>
      <c r="I543" s="155"/>
      <c r="J543" s="106"/>
    </row>
    <row r="544" spans="1:10" ht="15.6" hidden="1" customHeight="1" x14ac:dyDescent="0.3">
      <c r="A544" s="150"/>
      <c r="B544" s="106"/>
      <c r="C544" s="106"/>
      <c r="D544" s="106"/>
      <c r="E544" s="107"/>
      <c r="F544" s="106"/>
      <c r="G544" s="106"/>
      <c r="H544" s="155"/>
      <c r="I544" s="155"/>
      <c r="J544" s="106"/>
    </row>
    <row r="545" spans="1:10" ht="15.6" hidden="1" customHeight="1" x14ac:dyDescent="0.3">
      <c r="A545" s="109" t="s">
        <v>201</v>
      </c>
      <c r="B545" s="106"/>
      <c r="C545" s="106"/>
      <c r="D545" s="106"/>
      <c r="E545" s="107"/>
      <c r="F545" s="106"/>
      <c r="G545" s="106"/>
      <c r="H545" s="155"/>
      <c r="I545" s="155"/>
      <c r="J545" s="106"/>
    </row>
    <row r="546" spans="1:10" ht="15.6" hidden="1" customHeight="1" x14ac:dyDescent="0.3">
      <c r="A546" s="109" t="s">
        <v>201</v>
      </c>
      <c r="B546" s="106"/>
      <c r="C546" s="106"/>
      <c r="D546" s="106"/>
      <c r="E546" s="107"/>
      <c r="F546" s="106"/>
      <c r="G546" s="106"/>
      <c r="H546" s="155"/>
      <c r="I546" s="155"/>
      <c r="J546" s="106"/>
    </row>
    <row r="547" spans="1:10" ht="15.6" hidden="1" customHeight="1" x14ac:dyDescent="0.3">
      <c r="A547" s="109" t="s">
        <v>201</v>
      </c>
      <c r="B547" s="106"/>
      <c r="C547" s="106"/>
      <c r="D547" s="106"/>
      <c r="E547" s="107"/>
      <c r="F547" s="106"/>
      <c r="G547" s="106"/>
      <c r="H547" s="155"/>
      <c r="I547" s="155"/>
      <c r="J547" s="106"/>
    </row>
    <row r="548" spans="1:10" ht="15.6" hidden="1" customHeight="1" x14ac:dyDescent="0.3">
      <c r="A548" s="109" t="s">
        <v>201</v>
      </c>
      <c r="B548" s="106"/>
      <c r="C548" s="106"/>
      <c r="D548" s="106"/>
      <c r="E548" s="107"/>
      <c r="F548" s="106"/>
      <c r="G548" s="106"/>
      <c r="H548" s="155"/>
      <c r="I548" s="155"/>
      <c r="J548" s="106"/>
    </row>
    <row r="549" spans="1:10" ht="15.6" hidden="1" customHeight="1" x14ac:dyDescent="0.3">
      <c r="A549" s="109" t="s">
        <v>201</v>
      </c>
      <c r="B549" s="109" t="s">
        <v>481</v>
      </c>
      <c r="C549" s="106"/>
      <c r="D549" s="106"/>
      <c r="E549" s="107"/>
      <c r="F549" s="106"/>
      <c r="G549" s="106"/>
      <c r="H549" s="155"/>
      <c r="I549" s="155"/>
      <c r="J549" s="106"/>
    </row>
    <row r="550" spans="1:10" ht="15.6" hidden="1" customHeight="1" x14ac:dyDescent="0.3">
      <c r="A550" s="109" t="s">
        <v>201</v>
      </c>
      <c r="B550" s="106"/>
      <c r="C550" s="106"/>
      <c r="D550" s="106"/>
      <c r="E550" s="107"/>
      <c r="F550" s="106"/>
      <c r="G550" s="106"/>
      <c r="H550" s="155"/>
      <c r="I550" s="155"/>
      <c r="J550" s="106"/>
    </row>
    <row r="551" spans="1:10" ht="15.6" hidden="1" customHeight="1" x14ac:dyDescent="0.3">
      <c r="A551" s="109" t="s">
        <v>201</v>
      </c>
      <c r="B551" s="106"/>
      <c r="C551" s="106"/>
      <c r="D551" s="106"/>
      <c r="E551" s="107"/>
      <c r="F551" s="106"/>
      <c r="G551" s="106"/>
      <c r="H551" s="155"/>
      <c r="I551" s="155"/>
      <c r="J551" s="106"/>
    </row>
    <row r="552" spans="1:10" ht="15.6" hidden="1" customHeight="1" x14ac:dyDescent="0.3">
      <c r="A552" s="109" t="s">
        <v>201</v>
      </c>
      <c r="B552" s="106"/>
      <c r="C552" s="106"/>
      <c r="D552" s="106"/>
      <c r="E552" s="107"/>
      <c r="F552" s="106"/>
      <c r="G552" s="106"/>
      <c r="H552" s="155"/>
      <c r="I552" s="155"/>
      <c r="J552" s="106"/>
    </row>
    <row r="553" spans="1:10" ht="15.6" hidden="1" customHeight="1" x14ac:dyDescent="0.3">
      <c r="A553" s="109" t="s">
        <v>201</v>
      </c>
      <c r="B553" s="106"/>
      <c r="C553" s="106"/>
      <c r="D553" s="106"/>
      <c r="E553" s="107"/>
      <c r="F553" s="106"/>
      <c r="G553" s="106"/>
      <c r="H553" s="155"/>
      <c r="I553" s="155"/>
      <c r="J553" s="106"/>
    </row>
    <row r="554" spans="1:10" ht="15.6" hidden="1" customHeight="1" x14ac:dyDescent="0.3">
      <c r="A554" s="109" t="s">
        <v>202</v>
      </c>
      <c r="B554" s="106"/>
      <c r="C554" s="106"/>
      <c r="D554" s="106"/>
      <c r="E554" s="107"/>
      <c r="F554" s="106"/>
      <c r="G554" s="106"/>
      <c r="H554" s="153"/>
      <c r="I554" s="153"/>
      <c r="J554" s="106"/>
    </row>
    <row r="555" spans="1:10" ht="15.6" hidden="1" customHeight="1" x14ac:dyDescent="0.3">
      <c r="A555" s="109" t="s">
        <v>202</v>
      </c>
      <c r="B555" s="106"/>
      <c r="C555" s="106"/>
      <c r="D555" s="106"/>
      <c r="E555" s="107"/>
      <c r="F555" s="106"/>
      <c r="G555" s="106"/>
      <c r="H555" s="153"/>
      <c r="I555" s="153"/>
      <c r="J555" s="106"/>
    </row>
    <row r="556" spans="1:10" ht="15.6" hidden="1" customHeight="1" x14ac:dyDescent="0.3">
      <c r="A556" s="109" t="s">
        <v>202</v>
      </c>
      <c r="B556" s="106"/>
      <c r="C556" s="106"/>
      <c r="D556" s="106"/>
      <c r="E556" s="107"/>
      <c r="F556" s="106"/>
      <c r="G556" s="106"/>
      <c r="H556" s="153"/>
      <c r="I556" s="153"/>
      <c r="J556" s="106"/>
    </row>
    <row r="557" spans="1:10" ht="15.6" hidden="1" customHeight="1" x14ac:dyDescent="0.3">
      <c r="A557" s="109" t="s">
        <v>203</v>
      </c>
      <c r="B557" s="108"/>
      <c r="C557" s="106" t="s">
        <v>538</v>
      </c>
      <c r="D557" s="106"/>
      <c r="E557" s="107">
        <v>46132</v>
      </c>
      <c r="F557" s="106" t="s">
        <v>478</v>
      </c>
      <c r="G557" s="106"/>
      <c r="H557" s="155"/>
      <c r="I557" s="155"/>
      <c r="J557" s="106"/>
    </row>
    <row r="558" spans="1:10" ht="15.6" hidden="1" customHeight="1" x14ac:dyDescent="0.3">
      <c r="A558" s="109" t="s">
        <v>203</v>
      </c>
      <c r="B558" s="108"/>
      <c r="C558" s="106"/>
      <c r="D558" s="106"/>
      <c r="E558" s="107"/>
      <c r="F558" s="106"/>
      <c r="G558" s="106"/>
      <c r="H558" s="155"/>
      <c r="I558" s="155"/>
      <c r="J558" s="106"/>
    </row>
    <row r="559" spans="1:10" ht="15.6" hidden="1" customHeight="1" x14ac:dyDescent="0.3">
      <c r="A559" s="109" t="s">
        <v>203</v>
      </c>
      <c r="B559" s="108"/>
      <c r="C559" s="106"/>
      <c r="D559" s="106"/>
      <c r="E559" s="107"/>
      <c r="F559" s="106"/>
      <c r="G559" s="106"/>
      <c r="H559" s="155"/>
      <c r="I559" s="155"/>
      <c r="J559" s="106"/>
    </row>
    <row r="560" spans="1:10" ht="15.6" hidden="1" customHeight="1" x14ac:dyDescent="0.3">
      <c r="A560" s="109" t="s">
        <v>203</v>
      </c>
      <c r="B560" s="108"/>
      <c r="C560" s="106"/>
      <c r="D560" s="106"/>
      <c r="E560" s="107"/>
      <c r="F560" s="106"/>
      <c r="G560" s="106"/>
      <c r="H560" s="155"/>
      <c r="I560" s="155"/>
      <c r="J560" s="106"/>
    </row>
    <row r="561" spans="1:10" ht="15.6" hidden="1" customHeight="1" x14ac:dyDescent="0.3">
      <c r="A561" s="150" t="s">
        <v>204</v>
      </c>
      <c r="B561" s="106"/>
      <c r="C561" s="106"/>
      <c r="D561" s="106"/>
      <c r="E561" s="107"/>
      <c r="F561" s="106"/>
      <c r="G561" s="106"/>
      <c r="H561" s="155"/>
      <c r="I561" s="155"/>
      <c r="J561" s="106"/>
    </row>
    <row r="562" spans="1:10" ht="15.6" hidden="1" customHeight="1" x14ac:dyDescent="0.3">
      <c r="A562" s="150"/>
      <c r="B562" s="106"/>
      <c r="C562" s="106"/>
      <c r="D562" s="106"/>
      <c r="E562" s="107"/>
      <c r="F562" s="106"/>
      <c r="G562" s="106"/>
      <c r="H562" s="155"/>
      <c r="I562" s="155"/>
      <c r="J562" s="106"/>
    </row>
    <row r="563" spans="1:10" ht="15.6" hidden="1" customHeight="1" x14ac:dyDescent="0.3">
      <c r="A563" s="150"/>
      <c r="B563" s="106"/>
      <c r="C563" s="106"/>
      <c r="D563" s="106"/>
      <c r="E563" s="107"/>
      <c r="F563" s="106"/>
      <c r="G563" s="106"/>
      <c r="H563" s="155"/>
      <c r="I563" s="155"/>
      <c r="J563" s="106"/>
    </row>
    <row r="564" spans="1:10" ht="15.6" hidden="1" customHeight="1" x14ac:dyDescent="0.3">
      <c r="A564" s="109" t="s">
        <v>205</v>
      </c>
      <c r="B564" s="106"/>
      <c r="C564" s="106"/>
      <c r="D564" s="106"/>
      <c r="E564" s="107"/>
      <c r="F564" s="106"/>
      <c r="G564" s="106"/>
      <c r="H564" s="155"/>
      <c r="I564" s="155"/>
      <c r="J564" s="106"/>
    </row>
    <row r="565" spans="1:10" ht="15.6" hidden="1" customHeight="1" x14ac:dyDescent="0.3">
      <c r="A565" s="109" t="s">
        <v>205</v>
      </c>
      <c r="B565" s="106"/>
      <c r="C565" s="106"/>
      <c r="D565" s="106"/>
      <c r="E565" s="107"/>
      <c r="F565" s="106"/>
      <c r="G565" s="106"/>
      <c r="H565" s="155"/>
      <c r="I565" s="155"/>
      <c r="J565" s="106"/>
    </row>
    <row r="566" spans="1:10" ht="15.6" hidden="1" customHeight="1" x14ac:dyDescent="0.3">
      <c r="A566" s="109" t="s">
        <v>205</v>
      </c>
      <c r="B566" s="106"/>
      <c r="C566" s="106"/>
      <c r="D566" s="106"/>
      <c r="E566" s="107"/>
      <c r="F566" s="106"/>
      <c r="G566" s="106"/>
      <c r="H566" s="155"/>
      <c r="I566" s="155"/>
      <c r="J566" s="106"/>
    </row>
    <row r="567" spans="1:10" ht="15.6" hidden="1" customHeight="1" x14ac:dyDescent="0.3">
      <c r="A567" s="110" t="s">
        <v>206</v>
      </c>
      <c r="B567" s="23"/>
      <c r="C567" s="106"/>
      <c r="D567" s="23"/>
      <c r="E567" s="120"/>
      <c r="F567" s="106"/>
      <c r="G567" s="23"/>
      <c r="H567" s="155"/>
      <c r="I567" s="155"/>
      <c r="J567" s="23"/>
    </row>
    <row r="568" spans="1:10" ht="15.6" hidden="1" customHeight="1" x14ac:dyDescent="0.3">
      <c r="A568" s="110" t="s">
        <v>206</v>
      </c>
      <c r="B568" s="23"/>
      <c r="C568" s="106"/>
      <c r="D568" s="23"/>
      <c r="E568" s="120"/>
      <c r="F568" s="106"/>
      <c r="G568" s="23"/>
      <c r="H568" s="155"/>
      <c r="I568" s="155"/>
      <c r="J568" s="23"/>
    </row>
    <row r="569" spans="1:10" ht="15.6" hidden="1" customHeight="1" x14ac:dyDescent="0.3">
      <c r="A569" s="110" t="s">
        <v>206</v>
      </c>
      <c r="B569" s="23"/>
      <c r="C569" s="106"/>
      <c r="D569" s="23"/>
      <c r="E569" s="120"/>
      <c r="F569" s="106"/>
      <c r="G569" s="23"/>
      <c r="H569" s="155"/>
      <c r="I569" s="155"/>
      <c r="J569" s="23"/>
    </row>
    <row r="570" spans="1:10" ht="15.6" hidden="1" customHeight="1" x14ac:dyDescent="0.3">
      <c r="A570" s="109" t="s">
        <v>207</v>
      </c>
      <c r="B570" s="106"/>
      <c r="C570" s="106"/>
      <c r="D570" s="106"/>
      <c r="E570" s="107"/>
      <c r="F570" s="106"/>
      <c r="G570" s="106"/>
      <c r="H570" s="155"/>
      <c r="I570" s="155"/>
      <c r="J570" s="106"/>
    </row>
    <row r="571" spans="1:10" ht="15.6" hidden="1" customHeight="1" x14ac:dyDescent="0.3">
      <c r="A571" s="109" t="s">
        <v>207</v>
      </c>
      <c r="B571" s="106"/>
      <c r="C571" s="106"/>
      <c r="D571" s="106"/>
      <c r="E571" s="107"/>
      <c r="F571" s="106"/>
      <c r="G571" s="106"/>
      <c r="H571" s="155"/>
      <c r="I571" s="155"/>
      <c r="J571" s="106"/>
    </row>
    <row r="572" spans="1:10" ht="15.6" hidden="1" customHeight="1" x14ac:dyDescent="0.3">
      <c r="A572" s="109" t="s">
        <v>207</v>
      </c>
      <c r="B572" s="106"/>
      <c r="C572" s="106"/>
      <c r="D572" s="106"/>
      <c r="E572" s="107"/>
      <c r="F572" s="106"/>
      <c r="G572" s="106"/>
      <c r="H572" s="155"/>
      <c r="I572" s="155"/>
      <c r="J572" s="106"/>
    </row>
    <row r="573" spans="1:10" ht="15.6" hidden="1" customHeight="1" x14ac:dyDescent="0.3">
      <c r="A573" s="109" t="s">
        <v>207</v>
      </c>
      <c r="B573" s="106"/>
      <c r="C573" s="106"/>
      <c r="D573" s="106"/>
      <c r="E573" s="107"/>
      <c r="F573" s="106"/>
      <c r="G573" s="106"/>
      <c r="H573" s="155"/>
      <c r="I573" s="155"/>
      <c r="J573" s="106"/>
    </row>
    <row r="574" spans="1:10" ht="15.6" hidden="1" customHeight="1" x14ac:dyDescent="0.3">
      <c r="A574" s="150" t="s">
        <v>208</v>
      </c>
      <c r="B574" s="106"/>
      <c r="C574" s="106"/>
      <c r="D574" s="106"/>
      <c r="E574" s="107"/>
      <c r="F574" s="106"/>
      <c r="G574" s="106"/>
      <c r="H574" s="155"/>
      <c r="I574" s="155"/>
      <c r="J574" s="106"/>
    </row>
    <row r="575" spans="1:10" ht="15.6" hidden="1" customHeight="1" x14ac:dyDescent="0.3">
      <c r="A575" s="150"/>
      <c r="B575" s="106"/>
      <c r="C575" s="106"/>
      <c r="D575" s="106"/>
      <c r="E575" s="107"/>
      <c r="F575" s="106"/>
      <c r="G575" s="106"/>
      <c r="H575" s="155"/>
      <c r="I575" s="155"/>
      <c r="J575" s="106"/>
    </row>
    <row r="576" spans="1:10" ht="15.6" hidden="1" customHeight="1" x14ac:dyDescent="0.3">
      <c r="A576" s="150"/>
      <c r="B576" s="106"/>
      <c r="C576" s="106"/>
      <c r="D576" s="106"/>
      <c r="E576" s="107"/>
      <c r="F576" s="106"/>
      <c r="G576" s="106"/>
      <c r="H576" s="155"/>
      <c r="I576" s="155"/>
      <c r="J576" s="106"/>
    </row>
    <row r="577" spans="1:10" ht="15.6" hidden="1" customHeight="1" x14ac:dyDescent="0.3">
      <c r="A577" s="150" t="s">
        <v>209</v>
      </c>
      <c r="B577" s="106"/>
      <c r="C577" s="106" t="s">
        <v>508</v>
      </c>
      <c r="D577" s="106"/>
      <c r="E577" s="107">
        <v>46118</v>
      </c>
      <c r="F577" s="106" t="s">
        <v>478</v>
      </c>
      <c r="G577" s="106"/>
      <c r="H577" s="155"/>
      <c r="I577" s="155"/>
      <c r="J577" s="106"/>
    </row>
    <row r="578" spans="1:10" ht="15.6" hidden="1" customHeight="1" x14ac:dyDescent="0.3">
      <c r="A578" s="150"/>
      <c r="B578" s="106"/>
      <c r="C578" s="106"/>
      <c r="D578" s="106"/>
      <c r="E578" s="107"/>
      <c r="F578" s="106"/>
      <c r="G578" s="106"/>
      <c r="H578" s="155"/>
      <c r="I578" s="155"/>
      <c r="J578" s="106"/>
    </row>
    <row r="579" spans="1:10" ht="15.6" hidden="1" customHeight="1" x14ac:dyDescent="0.3">
      <c r="A579" s="150"/>
      <c r="B579" s="106"/>
      <c r="C579" s="106"/>
      <c r="D579" s="106"/>
      <c r="E579" s="107"/>
      <c r="F579" s="106"/>
      <c r="G579" s="106"/>
      <c r="H579" s="155"/>
      <c r="I579" s="155"/>
      <c r="J579" s="106"/>
    </row>
    <row r="580" spans="1:10" ht="15.6" hidden="1" customHeight="1" x14ac:dyDescent="0.3">
      <c r="A580" s="150" t="s">
        <v>210</v>
      </c>
      <c r="B580" s="106"/>
      <c r="C580" s="106"/>
      <c r="D580" s="106"/>
      <c r="E580" s="107"/>
      <c r="F580" s="106"/>
      <c r="G580" s="106"/>
      <c r="H580" s="155"/>
      <c r="I580" s="155"/>
      <c r="J580" s="106"/>
    </row>
    <row r="581" spans="1:10" ht="15.6" hidden="1" customHeight="1" x14ac:dyDescent="0.3">
      <c r="A581" s="150"/>
      <c r="B581" s="106"/>
      <c r="C581" s="106"/>
      <c r="D581" s="106"/>
      <c r="E581" s="107"/>
      <c r="F581" s="106"/>
      <c r="G581" s="106"/>
      <c r="H581" s="155"/>
      <c r="I581" s="155"/>
      <c r="J581" s="106"/>
    </row>
    <row r="582" spans="1:10" ht="15.6" hidden="1" customHeight="1" x14ac:dyDescent="0.3">
      <c r="A582" s="150"/>
      <c r="B582" s="106"/>
      <c r="C582" s="106"/>
      <c r="D582" s="106"/>
      <c r="E582" s="107"/>
      <c r="F582" s="106"/>
      <c r="G582" s="106"/>
      <c r="H582" s="155"/>
      <c r="I582" s="155"/>
      <c r="J582" s="106"/>
    </row>
    <row r="583" spans="1:10" ht="15.6" hidden="1" customHeight="1" x14ac:dyDescent="0.3">
      <c r="A583" s="110" t="s">
        <v>211</v>
      </c>
      <c r="B583" s="106"/>
      <c r="C583" s="106" t="s">
        <v>504</v>
      </c>
      <c r="D583" s="106"/>
      <c r="E583" s="107">
        <v>46113</v>
      </c>
      <c r="F583" s="106" t="s">
        <v>478</v>
      </c>
      <c r="G583" s="106"/>
      <c r="H583" s="155"/>
      <c r="I583" s="155"/>
      <c r="J583" s="106"/>
    </row>
    <row r="584" spans="1:10" ht="15.6" hidden="1" customHeight="1" x14ac:dyDescent="0.3">
      <c r="A584" s="110" t="s">
        <v>211</v>
      </c>
      <c r="B584" s="106"/>
      <c r="C584" s="106" t="s">
        <v>506</v>
      </c>
      <c r="D584" s="106"/>
      <c r="E584" s="107">
        <v>46118</v>
      </c>
      <c r="F584" s="106" t="s">
        <v>478</v>
      </c>
      <c r="G584" s="106"/>
      <c r="H584" s="155"/>
      <c r="I584" s="155"/>
      <c r="J584" s="106"/>
    </row>
    <row r="585" spans="1:10" ht="15.6" hidden="1" customHeight="1" x14ac:dyDescent="0.3">
      <c r="A585" s="110" t="s">
        <v>211</v>
      </c>
      <c r="B585" s="106"/>
      <c r="C585" s="106"/>
      <c r="D585" s="106"/>
      <c r="E585" s="107"/>
      <c r="F585" s="106"/>
      <c r="G585" s="106"/>
      <c r="H585" s="155"/>
      <c r="I585" s="155"/>
      <c r="J585" s="106"/>
    </row>
    <row r="586" spans="1:10" ht="15.6" hidden="1" customHeight="1" x14ac:dyDescent="0.3">
      <c r="A586" s="110" t="s">
        <v>211</v>
      </c>
      <c r="B586" s="106"/>
      <c r="C586" s="106"/>
      <c r="D586" s="106"/>
      <c r="E586" s="107"/>
      <c r="F586" s="106"/>
      <c r="G586" s="106"/>
      <c r="H586" s="155"/>
      <c r="I586" s="155"/>
      <c r="J586" s="106"/>
    </row>
    <row r="587" spans="1:10" s="20" customFormat="1" ht="15.6" hidden="1" customHeight="1" x14ac:dyDescent="0.3">
      <c r="A587" s="109" t="s">
        <v>212</v>
      </c>
      <c r="B587" s="108"/>
      <c r="C587" s="106"/>
      <c r="D587" s="106"/>
      <c r="E587" s="107"/>
      <c r="F587" s="106"/>
      <c r="G587" s="106"/>
      <c r="H587" s="155"/>
      <c r="I587" s="155"/>
      <c r="J587" s="106"/>
    </row>
    <row r="588" spans="1:10" s="20" customFormat="1" ht="15.6" hidden="1" customHeight="1" x14ac:dyDescent="0.3">
      <c r="A588" s="109" t="s">
        <v>212</v>
      </c>
      <c r="B588" s="108"/>
      <c r="C588" s="106"/>
      <c r="D588" s="106"/>
      <c r="E588" s="107"/>
      <c r="F588" s="106"/>
      <c r="G588" s="106"/>
      <c r="H588" s="155"/>
      <c r="I588" s="155"/>
      <c r="J588" s="106"/>
    </row>
    <row r="589" spans="1:10" s="20" customFormat="1" ht="15.6" hidden="1" customHeight="1" x14ac:dyDescent="0.3">
      <c r="A589" s="109" t="s">
        <v>212</v>
      </c>
      <c r="B589" s="108"/>
      <c r="C589" s="106"/>
      <c r="D589" s="106"/>
      <c r="E589" s="107"/>
      <c r="F589" s="106"/>
      <c r="G589" s="106"/>
      <c r="H589" s="155"/>
      <c r="I589" s="155"/>
      <c r="J589" s="106"/>
    </row>
    <row r="590" spans="1:10" ht="15.6" hidden="1" customHeight="1" x14ac:dyDescent="0.3">
      <c r="A590" s="151" t="s">
        <v>213</v>
      </c>
      <c r="B590" s="106"/>
      <c r="C590" s="106"/>
      <c r="D590" s="106"/>
      <c r="E590" s="107"/>
      <c r="F590" s="106"/>
      <c r="G590" s="106"/>
      <c r="H590" s="155"/>
      <c r="I590" s="155"/>
      <c r="J590" s="106"/>
    </row>
    <row r="591" spans="1:10" ht="15.6" hidden="1" customHeight="1" x14ac:dyDescent="0.3">
      <c r="A591" s="151"/>
      <c r="B591" s="106"/>
      <c r="C591" s="106"/>
      <c r="D591" s="106"/>
      <c r="E591" s="107"/>
      <c r="F591" s="106"/>
      <c r="G591" s="106"/>
      <c r="H591" s="155"/>
      <c r="I591" s="155"/>
      <c r="J591" s="106"/>
    </row>
    <row r="592" spans="1:10" ht="15.6" hidden="1" customHeight="1" x14ac:dyDescent="0.3">
      <c r="A592" s="151"/>
      <c r="B592" s="106"/>
      <c r="C592" s="106"/>
      <c r="D592" s="106"/>
      <c r="E592" s="107"/>
      <c r="F592" s="106"/>
      <c r="G592" s="106"/>
      <c r="H592" s="155"/>
      <c r="I592" s="155"/>
      <c r="J592" s="106"/>
    </row>
    <row r="593" spans="1:10" ht="15.6" hidden="1" customHeight="1" x14ac:dyDescent="0.3">
      <c r="A593" s="150" t="s">
        <v>214</v>
      </c>
      <c r="B593" s="106"/>
      <c r="C593" s="106"/>
      <c r="D593" s="106"/>
      <c r="E593" s="107"/>
      <c r="F593" s="106"/>
      <c r="G593" s="106"/>
      <c r="H593" s="155"/>
      <c r="I593" s="155"/>
      <c r="J593" s="106"/>
    </row>
    <row r="594" spans="1:10" ht="15.6" hidden="1" customHeight="1" x14ac:dyDescent="0.3">
      <c r="A594" s="150"/>
      <c r="B594" s="106"/>
      <c r="C594" s="106"/>
      <c r="D594" s="106"/>
      <c r="E594" s="107"/>
      <c r="F594" s="106"/>
      <c r="G594" s="106"/>
      <c r="H594" s="155"/>
      <c r="I594" s="155"/>
      <c r="J594" s="106"/>
    </row>
    <row r="595" spans="1:10" ht="15.6" hidden="1" customHeight="1" x14ac:dyDescent="0.3">
      <c r="A595" s="150"/>
      <c r="B595" s="106"/>
      <c r="C595" s="106"/>
      <c r="D595" s="106"/>
      <c r="E595" s="107"/>
      <c r="F595" s="106"/>
      <c r="G595" s="106"/>
      <c r="H595" s="155"/>
      <c r="I595" s="155"/>
      <c r="J595" s="106"/>
    </row>
    <row r="596" spans="1:10" ht="15.6" hidden="1" customHeight="1" x14ac:dyDescent="0.3">
      <c r="A596" s="150" t="s">
        <v>215</v>
      </c>
      <c r="B596" s="108"/>
      <c r="C596" s="106"/>
      <c r="D596" s="108"/>
      <c r="E596" s="107"/>
      <c r="F596" s="106"/>
      <c r="G596" s="108"/>
      <c r="H596" s="155"/>
      <c r="I596" s="155"/>
      <c r="J596" s="106"/>
    </row>
    <row r="597" spans="1:10" ht="15.6" hidden="1" customHeight="1" x14ac:dyDescent="0.3">
      <c r="A597" s="150"/>
      <c r="B597" s="108"/>
      <c r="C597" s="106"/>
      <c r="D597" s="108"/>
      <c r="E597" s="107"/>
      <c r="F597" s="106"/>
      <c r="G597" s="108"/>
      <c r="H597" s="155"/>
      <c r="I597" s="155"/>
      <c r="J597" s="106"/>
    </row>
    <row r="598" spans="1:10" ht="15.6" hidden="1" customHeight="1" x14ac:dyDescent="0.3">
      <c r="A598" s="150"/>
      <c r="B598" s="108"/>
      <c r="C598" s="106"/>
      <c r="D598" s="108"/>
      <c r="E598" s="107"/>
      <c r="F598" s="106"/>
      <c r="G598" s="108"/>
      <c r="H598" s="155"/>
      <c r="I598" s="155"/>
      <c r="J598" s="106"/>
    </row>
    <row r="599" spans="1:10" ht="15.6" hidden="1" customHeight="1" x14ac:dyDescent="0.3">
      <c r="A599" s="151" t="s">
        <v>216</v>
      </c>
      <c r="B599" s="108"/>
      <c r="C599" s="106"/>
      <c r="D599" s="108"/>
      <c r="E599" s="107"/>
      <c r="F599" s="106"/>
      <c r="G599" s="108"/>
      <c r="H599" s="155"/>
      <c r="I599" s="155"/>
      <c r="J599" s="106"/>
    </row>
    <row r="600" spans="1:10" ht="15.6" hidden="1" customHeight="1" x14ac:dyDescent="0.3">
      <c r="A600" s="151"/>
      <c r="B600" s="108"/>
      <c r="C600" s="106"/>
      <c r="D600" s="108"/>
      <c r="E600" s="107"/>
      <c r="F600" s="106"/>
      <c r="G600" s="108"/>
      <c r="H600" s="155"/>
      <c r="I600" s="155"/>
      <c r="J600" s="106"/>
    </row>
    <row r="601" spans="1:10" ht="15.6" hidden="1" customHeight="1" x14ac:dyDescent="0.3">
      <c r="A601" s="151"/>
      <c r="B601" s="108"/>
      <c r="C601" s="106"/>
      <c r="D601" s="108"/>
      <c r="E601" s="107"/>
      <c r="F601" s="106"/>
      <c r="G601" s="108"/>
      <c r="H601" s="155"/>
      <c r="I601" s="155"/>
      <c r="J601" s="106"/>
    </row>
    <row r="602" spans="1:10" ht="15.6" hidden="1" customHeight="1" x14ac:dyDescent="0.3">
      <c r="A602" s="151" t="s">
        <v>217</v>
      </c>
      <c r="B602" s="106"/>
      <c r="C602" s="106"/>
      <c r="D602" s="106"/>
      <c r="E602" s="107"/>
      <c r="F602" s="106"/>
      <c r="G602" s="106"/>
      <c r="H602" s="155"/>
      <c r="I602" s="155"/>
      <c r="J602" s="106"/>
    </row>
    <row r="603" spans="1:10" ht="15.6" hidden="1" customHeight="1" x14ac:dyDescent="0.3">
      <c r="A603" s="151"/>
      <c r="B603" s="106"/>
      <c r="C603" s="106"/>
      <c r="D603" s="106"/>
      <c r="E603" s="107"/>
      <c r="F603" s="106"/>
      <c r="G603" s="106"/>
      <c r="H603" s="155"/>
      <c r="I603" s="155"/>
      <c r="J603" s="106"/>
    </row>
    <row r="604" spans="1:10" ht="15.6" hidden="1" customHeight="1" x14ac:dyDescent="0.3">
      <c r="A604" s="151"/>
      <c r="B604" s="106"/>
      <c r="C604" s="106"/>
      <c r="D604" s="106"/>
      <c r="E604" s="107"/>
      <c r="F604" s="106"/>
      <c r="G604" s="106"/>
      <c r="H604" s="155"/>
      <c r="I604" s="155"/>
      <c r="J604" s="106"/>
    </row>
    <row r="605" spans="1:10" ht="15.6" hidden="1" customHeight="1" x14ac:dyDescent="0.3">
      <c r="A605" s="150" t="s">
        <v>218</v>
      </c>
      <c r="B605" s="106"/>
      <c r="C605" s="106"/>
      <c r="D605" s="106"/>
      <c r="E605" s="107"/>
      <c r="F605" s="107"/>
      <c r="G605" s="106"/>
      <c r="H605" s="155"/>
      <c r="I605" s="155"/>
      <c r="J605" s="106"/>
    </row>
    <row r="606" spans="1:10" ht="15.6" hidden="1" customHeight="1" x14ac:dyDescent="0.3">
      <c r="A606" s="150"/>
      <c r="B606" s="106"/>
      <c r="C606" s="106"/>
      <c r="D606" s="106"/>
      <c r="E606" s="107"/>
      <c r="F606" s="107"/>
      <c r="G606" s="106"/>
      <c r="H606" s="155"/>
      <c r="I606" s="155"/>
      <c r="J606" s="106"/>
    </row>
    <row r="607" spans="1:10" ht="15.6" hidden="1" customHeight="1" x14ac:dyDescent="0.3">
      <c r="A607" s="150"/>
      <c r="B607" s="106"/>
      <c r="C607" s="106"/>
      <c r="D607" s="106"/>
      <c r="E607" s="107"/>
      <c r="F607" s="107"/>
      <c r="G607" s="106"/>
      <c r="H607" s="155"/>
      <c r="I607" s="155"/>
      <c r="J607" s="106"/>
    </row>
    <row r="608" spans="1:10" ht="15.6" hidden="1" customHeight="1" x14ac:dyDescent="0.3">
      <c r="A608" s="150" t="s">
        <v>219</v>
      </c>
      <c r="B608" s="106"/>
      <c r="C608" s="117"/>
      <c r="D608" s="106"/>
      <c r="E608" s="107"/>
      <c r="F608" s="117"/>
      <c r="G608" s="106"/>
      <c r="H608" s="155"/>
      <c r="I608" s="155"/>
      <c r="J608" s="106"/>
    </row>
    <row r="609" spans="1:10" ht="15.6" hidden="1" customHeight="1" x14ac:dyDescent="0.3">
      <c r="A609" s="150"/>
      <c r="B609" s="106"/>
      <c r="C609" s="117"/>
      <c r="D609" s="106"/>
      <c r="E609" s="107"/>
      <c r="F609" s="117"/>
      <c r="G609" s="106"/>
      <c r="H609" s="155"/>
      <c r="I609" s="155"/>
      <c r="J609" s="106"/>
    </row>
    <row r="610" spans="1:10" ht="15.6" hidden="1" customHeight="1" x14ac:dyDescent="0.3">
      <c r="A610" s="150"/>
      <c r="B610" s="106"/>
      <c r="C610" s="117"/>
      <c r="D610" s="106"/>
      <c r="E610" s="107"/>
      <c r="F610" s="117"/>
      <c r="G610" s="106"/>
      <c r="H610" s="155"/>
      <c r="I610" s="155"/>
      <c r="J610" s="106"/>
    </row>
    <row r="611" spans="1:10" ht="15.6" hidden="1" customHeight="1" x14ac:dyDescent="0.3">
      <c r="A611" s="150" t="s">
        <v>220</v>
      </c>
      <c r="B611" s="108"/>
      <c r="C611" s="106"/>
      <c r="D611" s="106"/>
      <c r="E611" s="107"/>
      <c r="F611" s="106"/>
      <c r="G611" s="106"/>
      <c r="H611" s="155"/>
      <c r="I611" s="155"/>
      <c r="J611" s="106"/>
    </row>
    <row r="612" spans="1:10" ht="15.6" hidden="1" customHeight="1" x14ac:dyDescent="0.3">
      <c r="A612" s="150"/>
      <c r="B612" s="108"/>
      <c r="C612" s="106"/>
      <c r="D612" s="106"/>
      <c r="E612" s="107"/>
      <c r="F612" s="106"/>
      <c r="G612" s="106"/>
      <c r="H612" s="155"/>
      <c r="I612" s="155"/>
      <c r="J612" s="106"/>
    </row>
    <row r="613" spans="1:10" ht="15.6" hidden="1" customHeight="1" x14ac:dyDescent="0.3">
      <c r="A613" s="150"/>
      <c r="B613" s="108"/>
      <c r="C613" s="106"/>
      <c r="D613" s="106"/>
      <c r="E613" s="107"/>
      <c r="F613" s="106"/>
      <c r="G613" s="106"/>
      <c r="H613" s="155"/>
      <c r="I613" s="155"/>
      <c r="J613" s="106"/>
    </row>
    <row r="614" spans="1:10" ht="15.6" hidden="1" customHeight="1" x14ac:dyDescent="0.3">
      <c r="A614" s="109" t="s">
        <v>221</v>
      </c>
      <c r="B614" s="108"/>
      <c r="C614" s="106" t="s">
        <v>543</v>
      </c>
      <c r="D614" s="108"/>
      <c r="E614" s="107">
        <v>46136</v>
      </c>
      <c r="F614" s="106" t="s">
        <v>478</v>
      </c>
      <c r="G614" s="108"/>
      <c r="H614" s="155"/>
      <c r="I614" s="155"/>
      <c r="J614" s="106"/>
    </row>
    <row r="615" spans="1:10" ht="15.6" hidden="1" customHeight="1" x14ac:dyDescent="0.3">
      <c r="A615" s="109" t="s">
        <v>221</v>
      </c>
      <c r="B615" s="108"/>
      <c r="C615" s="106"/>
      <c r="D615" s="108"/>
      <c r="E615" s="107"/>
      <c r="F615" s="106"/>
      <c r="G615" s="108"/>
      <c r="H615" s="155"/>
      <c r="I615" s="155"/>
      <c r="J615" s="106"/>
    </row>
    <row r="616" spans="1:10" ht="15.6" hidden="1" customHeight="1" x14ac:dyDescent="0.3">
      <c r="A616" s="109" t="s">
        <v>221</v>
      </c>
      <c r="B616" s="108"/>
      <c r="C616" s="106"/>
      <c r="D616" s="108"/>
      <c r="E616" s="107"/>
      <c r="F616" s="106"/>
      <c r="G616" s="108"/>
      <c r="H616" s="155"/>
      <c r="I616" s="155"/>
      <c r="J616" s="106"/>
    </row>
    <row r="617" spans="1:10" ht="15.6" hidden="1" customHeight="1" x14ac:dyDescent="0.3">
      <c r="A617" s="150" t="s">
        <v>222</v>
      </c>
      <c r="B617" s="108"/>
      <c r="C617" s="106"/>
      <c r="D617" s="108"/>
      <c r="E617" s="107"/>
      <c r="F617" s="106"/>
      <c r="G617" s="108"/>
      <c r="H617" s="155"/>
      <c r="I617" s="155"/>
      <c r="J617" s="108"/>
    </row>
    <row r="618" spans="1:10" ht="15.6" hidden="1" customHeight="1" x14ac:dyDescent="0.3">
      <c r="A618" s="150"/>
      <c r="B618" s="108"/>
      <c r="C618" s="106"/>
      <c r="D618" s="108"/>
      <c r="E618" s="107"/>
      <c r="F618" s="106"/>
      <c r="G618" s="108"/>
      <c r="H618" s="155"/>
      <c r="I618" s="155"/>
      <c r="J618" s="108"/>
    </row>
    <row r="619" spans="1:10" ht="15.6" hidden="1" customHeight="1" x14ac:dyDescent="0.3">
      <c r="A619" s="150"/>
      <c r="B619" s="108"/>
      <c r="C619" s="106"/>
      <c r="D619" s="108"/>
      <c r="E619" s="107"/>
      <c r="F619" s="106"/>
      <c r="G619" s="108"/>
      <c r="H619" s="155"/>
      <c r="I619" s="155"/>
      <c r="J619" s="108"/>
    </row>
    <row r="620" spans="1:10" ht="15.6" hidden="1" customHeight="1" x14ac:dyDescent="0.3">
      <c r="A620" s="150" t="s">
        <v>223</v>
      </c>
      <c r="B620" s="108"/>
      <c r="C620" s="106"/>
      <c r="D620" s="108"/>
      <c r="E620" s="107"/>
      <c r="F620" s="106"/>
      <c r="G620" s="108"/>
      <c r="H620" s="155"/>
      <c r="I620" s="155"/>
      <c r="J620" s="108"/>
    </row>
    <row r="621" spans="1:10" ht="15.6" hidden="1" customHeight="1" x14ac:dyDescent="0.3">
      <c r="A621" s="150"/>
      <c r="B621" s="108"/>
      <c r="C621" s="106"/>
      <c r="D621" s="108"/>
      <c r="E621" s="107"/>
      <c r="F621" s="106"/>
      <c r="G621" s="108"/>
      <c r="H621" s="155"/>
      <c r="I621" s="155"/>
      <c r="J621" s="108"/>
    </row>
    <row r="622" spans="1:10" ht="15.6" hidden="1" customHeight="1" x14ac:dyDescent="0.3">
      <c r="A622" s="150"/>
      <c r="B622" s="108"/>
      <c r="C622" s="106"/>
      <c r="D622" s="108"/>
      <c r="E622" s="107"/>
      <c r="F622" s="106"/>
      <c r="G622" s="108"/>
      <c r="H622" s="155"/>
      <c r="I622" s="155"/>
      <c r="J622" s="108"/>
    </row>
    <row r="623" spans="1:10" ht="15.6" hidden="1" customHeight="1" x14ac:dyDescent="0.3">
      <c r="A623" s="151" t="s">
        <v>224</v>
      </c>
      <c r="B623" s="106"/>
      <c r="C623" s="117"/>
      <c r="D623" s="108"/>
      <c r="E623" s="107"/>
      <c r="F623" s="117"/>
      <c r="G623" s="106"/>
      <c r="H623" s="155"/>
      <c r="I623" s="155"/>
      <c r="J623" s="108"/>
    </row>
    <row r="624" spans="1:10" ht="15.6" hidden="1" customHeight="1" x14ac:dyDescent="0.3">
      <c r="A624" s="151"/>
      <c r="B624" s="106"/>
      <c r="C624" s="117"/>
      <c r="D624" s="108"/>
      <c r="E624" s="107"/>
      <c r="F624" s="117"/>
      <c r="G624" s="106"/>
      <c r="H624" s="155"/>
      <c r="I624" s="155"/>
      <c r="J624" s="108"/>
    </row>
    <row r="625" spans="1:10" ht="15.6" hidden="1" customHeight="1" x14ac:dyDescent="0.3">
      <c r="A625" s="151"/>
      <c r="B625" s="106"/>
      <c r="C625" s="117"/>
      <c r="D625" s="108"/>
      <c r="E625" s="107"/>
      <c r="F625" s="117"/>
      <c r="G625" s="106"/>
      <c r="H625" s="155"/>
      <c r="I625" s="155"/>
      <c r="J625" s="108"/>
    </row>
    <row r="626" spans="1:10" ht="15.6" hidden="1" customHeight="1" x14ac:dyDescent="0.3">
      <c r="A626" s="150" t="s">
        <v>225</v>
      </c>
      <c r="B626" s="116"/>
      <c r="C626" s="106"/>
      <c r="D626" s="106"/>
      <c r="E626" s="107"/>
      <c r="F626" s="106"/>
      <c r="G626" s="106"/>
      <c r="H626" s="155"/>
      <c r="I626" s="155"/>
      <c r="J626" s="106"/>
    </row>
    <row r="627" spans="1:10" ht="15.6" hidden="1" customHeight="1" x14ac:dyDescent="0.3">
      <c r="A627" s="150"/>
      <c r="B627" s="116"/>
      <c r="C627" s="106"/>
      <c r="D627" s="106"/>
      <c r="E627" s="107"/>
      <c r="F627" s="106"/>
      <c r="G627" s="106"/>
      <c r="H627" s="155"/>
      <c r="I627" s="155"/>
      <c r="J627" s="106"/>
    </row>
    <row r="628" spans="1:10" ht="15.6" hidden="1" customHeight="1" x14ac:dyDescent="0.3">
      <c r="A628" s="150"/>
      <c r="B628" s="116"/>
      <c r="C628" s="106"/>
      <c r="D628" s="106"/>
      <c r="E628" s="107"/>
      <c r="F628" s="106"/>
      <c r="G628" s="106"/>
      <c r="H628" s="155"/>
      <c r="I628" s="155"/>
      <c r="J628" s="106"/>
    </row>
    <row r="629" spans="1:10" ht="15.6" hidden="1" customHeight="1" x14ac:dyDescent="0.3">
      <c r="A629" s="150" t="s">
        <v>226</v>
      </c>
      <c r="B629" s="108"/>
      <c r="C629" s="108"/>
      <c r="D629" s="108"/>
      <c r="E629" s="115"/>
      <c r="F629" s="108"/>
      <c r="G629" s="108"/>
      <c r="H629" s="155"/>
      <c r="I629" s="155"/>
      <c r="J629" s="108"/>
    </row>
    <row r="630" spans="1:10" ht="15.6" hidden="1" customHeight="1" x14ac:dyDescent="0.3">
      <c r="A630" s="150"/>
      <c r="B630" s="108"/>
      <c r="C630" s="108"/>
      <c r="D630" s="108"/>
      <c r="E630" s="115"/>
      <c r="F630" s="108"/>
      <c r="G630" s="108"/>
      <c r="H630" s="155"/>
      <c r="I630" s="155"/>
      <c r="J630" s="108"/>
    </row>
    <row r="631" spans="1:10" ht="15.6" hidden="1" customHeight="1" x14ac:dyDescent="0.3">
      <c r="A631" s="150"/>
      <c r="B631" s="108"/>
      <c r="C631" s="108"/>
      <c r="D631" s="108"/>
      <c r="E631" s="115"/>
      <c r="F631" s="108"/>
      <c r="G631" s="108"/>
      <c r="H631" s="155"/>
      <c r="I631" s="155"/>
      <c r="J631" s="108"/>
    </row>
    <row r="632" spans="1:10" ht="15.6" hidden="1" customHeight="1" x14ac:dyDescent="0.3">
      <c r="A632" s="150" t="s">
        <v>227</v>
      </c>
      <c r="B632" s="106"/>
      <c r="C632" s="106"/>
      <c r="D632" s="106"/>
      <c r="E632" s="107"/>
      <c r="F632" s="106"/>
      <c r="G632" s="106"/>
      <c r="H632" s="155"/>
      <c r="I632" s="155"/>
      <c r="J632" s="106"/>
    </row>
    <row r="633" spans="1:10" ht="15.6" hidden="1" customHeight="1" x14ac:dyDescent="0.3">
      <c r="A633" s="150"/>
      <c r="B633" s="106"/>
      <c r="C633" s="106"/>
      <c r="D633" s="106"/>
      <c r="E633" s="107"/>
      <c r="F633" s="106"/>
      <c r="G633" s="106"/>
      <c r="H633" s="155"/>
      <c r="I633" s="155"/>
      <c r="J633" s="106"/>
    </row>
    <row r="634" spans="1:10" ht="15.6" hidden="1" customHeight="1" x14ac:dyDescent="0.3">
      <c r="A634" s="150"/>
      <c r="B634" s="106"/>
      <c r="C634" s="106"/>
      <c r="D634" s="106"/>
      <c r="E634" s="107"/>
      <c r="F634" s="106"/>
      <c r="G634" s="106"/>
      <c r="H634" s="155"/>
      <c r="I634" s="155"/>
      <c r="J634" s="106"/>
    </row>
    <row r="635" spans="1:10" ht="15.6" hidden="1" customHeight="1" x14ac:dyDescent="0.3">
      <c r="A635" s="150" t="s">
        <v>228</v>
      </c>
      <c r="B635" s="106"/>
      <c r="C635" s="106"/>
      <c r="D635" s="106"/>
      <c r="E635" s="107"/>
      <c r="F635" s="106"/>
      <c r="G635" s="106"/>
      <c r="H635" s="155"/>
      <c r="I635" s="155"/>
      <c r="J635" s="106"/>
    </row>
    <row r="636" spans="1:10" ht="15.6" hidden="1" customHeight="1" x14ac:dyDescent="0.3">
      <c r="A636" s="150"/>
      <c r="B636" s="106"/>
      <c r="C636" s="106"/>
      <c r="D636" s="106"/>
      <c r="E636" s="107"/>
      <c r="F636" s="106"/>
      <c r="G636" s="106"/>
      <c r="H636" s="155"/>
      <c r="I636" s="155"/>
      <c r="J636" s="106"/>
    </row>
    <row r="637" spans="1:10" ht="15.6" hidden="1" customHeight="1" x14ac:dyDescent="0.3">
      <c r="A637" s="150"/>
      <c r="B637" s="106"/>
      <c r="C637" s="106"/>
      <c r="D637" s="106"/>
      <c r="E637" s="107"/>
      <c r="F637" s="106"/>
      <c r="G637" s="106"/>
      <c r="H637" s="155"/>
      <c r="I637" s="155"/>
      <c r="J637" s="106"/>
    </row>
    <row r="638" spans="1:10" ht="15.6" hidden="1" customHeight="1" x14ac:dyDescent="0.3">
      <c r="A638" s="151" t="s">
        <v>229</v>
      </c>
      <c r="B638" s="108"/>
      <c r="C638" s="108"/>
      <c r="D638" s="108"/>
      <c r="E638" s="115"/>
      <c r="F638" s="108"/>
      <c r="G638" s="108"/>
      <c r="H638" s="155"/>
      <c r="I638" s="155"/>
      <c r="J638" s="108"/>
    </row>
    <row r="639" spans="1:10" ht="15.6" hidden="1" customHeight="1" x14ac:dyDescent="0.3">
      <c r="A639" s="151"/>
      <c r="B639" s="108"/>
      <c r="C639" s="108"/>
      <c r="D639" s="108"/>
      <c r="E639" s="115"/>
      <c r="F639" s="108"/>
      <c r="G639" s="108"/>
      <c r="H639" s="155"/>
      <c r="I639" s="155"/>
      <c r="J639" s="108"/>
    </row>
    <row r="640" spans="1:10" ht="15.6" hidden="1" customHeight="1" x14ac:dyDescent="0.3">
      <c r="A640" s="151"/>
      <c r="B640" s="108"/>
      <c r="C640" s="108"/>
      <c r="D640" s="108"/>
      <c r="E640" s="115"/>
      <c r="F640" s="108"/>
      <c r="G640" s="108"/>
      <c r="H640" s="155"/>
      <c r="I640" s="155"/>
      <c r="J640" s="108"/>
    </row>
    <row r="641" spans="1:10" ht="15.6" hidden="1" customHeight="1" x14ac:dyDescent="0.3">
      <c r="A641" s="150" t="s">
        <v>230</v>
      </c>
      <c r="B641" s="108"/>
      <c r="C641" s="108"/>
      <c r="D641" s="108"/>
      <c r="E641" s="115"/>
      <c r="F641" s="108"/>
      <c r="G641" s="108"/>
      <c r="H641" s="155"/>
      <c r="I641" s="155"/>
      <c r="J641" s="108"/>
    </row>
    <row r="642" spans="1:10" ht="15.6" hidden="1" customHeight="1" x14ac:dyDescent="0.3">
      <c r="A642" s="150"/>
      <c r="B642" s="108"/>
      <c r="C642" s="108"/>
      <c r="D642" s="108"/>
      <c r="E642" s="115"/>
      <c r="F642" s="108"/>
      <c r="G642" s="108"/>
      <c r="H642" s="155"/>
      <c r="I642" s="155"/>
      <c r="J642" s="108"/>
    </row>
    <row r="643" spans="1:10" ht="15.6" hidden="1" customHeight="1" x14ac:dyDescent="0.3">
      <c r="A643" s="150"/>
      <c r="B643" s="108"/>
      <c r="C643" s="108"/>
      <c r="D643" s="108"/>
      <c r="E643" s="115"/>
      <c r="F643" s="108"/>
      <c r="G643" s="108"/>
      <c r="H643" s="155"/>
      <c r="I643" s="155"/>
      <c r="J643" s="108"/>
    </row>
    <row r="644" spans="1:10" ht="15.6" hidden="1" customHeight="1" x14ac:dyDescent="0.3">
      <c r="A644" s="150" t="s">
        <v>231</v>
      </c>
      <c r="B644" s="106"/>
      <c r="C644" s="106"/>
      <c r="D644" s="106"/>
      <c r="E644" s="107"/>
      <c r="F644" s="106"/>
      <c r="G644" s="106"/>
      <c r="H644" s="155"/>
      <c r="I644" s="155"/>
      <c r="J644" s="106"/>
    </row>
    <row r="645" spans="1:10" ht="15.6" hidden="1" customHeight="1" x14ac:dyDescent="0.3">
      <c r="A645" s="150"/>
      <c r="B645" s="106"/>
      <c r="C645" s="106"/>
      <c r="D645" s="106"/>
      <c r="E645" s="107"/>
      <c r="F645" s="106"/>
      <c r="G645" s="106"/>
      <c r="H645" s="155"/>
      <c r="I645" s="155"/>
      <c r="J645" s="106"/>
    </row>
    <row r="646" spans="1:10" ht="15.6" hidden="1" customHeight="1" x14ac:dyDescent="0.3">
      <c r="A646" s="150"/>
      <c r="B646" s="106"/>
      <c r="C646" s="106"/>
      <c r="D646" s="106"/>
      <c r="E646" s="107"/>
      <c r="F646" s="106"/>
      <c r="G646" s="106"/>
      <c r="H646" s="155"/>
      <c r="I646" s="155"/>
      <c r="J646" s="106"/>
    </row>
    <row r="647" spans="1:10" ht="15.6" hidden="1" customHeight="1" x14ac:dyDescent="0.3">
      <c r="A647" s="150" t="s">
        <v>232</v>
      </c>
      <c r="B647" s="106"/>
      <c r="C647" s="106"/>
      <c r="D647" s="106"/>
      <c r="E647" s="107"/>
      <c r="F647" s="106"/>
      <c r="G647" s="106"/>
      <c r="H647" s="155"/>
      <c r="I647" s="155"/>
      <c r="J647" s="106"/>
    </row>
    <row r="648" spans="1:10" ht="15.6" hidden="1" customHeight="1" x14ac:dyDescent="0.3">
      <c r="A648" s="150"/>
      <c r="B648" s="106"/>
      <c r="C648" s="106"/>
      <c r="D648" s="106"/>
      <c r="E648" s="107"/>
      <c r="F648" s="106"/>
      <c r="G648" s="106"/>
      <c r="H648" s="155"/>
      <c r="I648" s="155"/>
      <c r="J648" s="106"/>
    </row>
    <row r="649" spans="1:10" ht="15.6" hidden="1" customHeight="1" x14ac:dyDescent="0.3">
      <c r="A649" s="150"/>
      <c r="B649" s="106"/>
      <c r="C649" s="106"/>
      <c r="D649" s="106"/>
      <c r="E649" s="107"/>
      <c r="F649" s="106"/>
      <c r="G649" s="106"/>
      <c r="H649" s="155"/>
      <c r="I649" s="155"/>
      <c r="J649" s="106"/>
    </row>
    <row r="650" spans="1:10" ht="15.6" hidden="1" customHeight="1" x14ac:dyDescent="0.3">
      <c r="A650" s="150" t="s">
        <v>233</v>
      </c>
      <c r="B650" s="106"/>
      <c r="C650" s="106"/>
      <c r="D650" s="106"/>
      <c r="E650" s="107"/>
      <c r="F650" s="106"/>
      <c r="G650" s="106"/>
      <c r="H650" s="155"/>
      <c r="I650" s="155"/>
      <c r="J650" s="106"/>
    </row>
    <row r="651" spans="1:10" ht="15.6" hidden="1" customHeight="1" x14ac:dyDescent="0.3">
      <c r="A651" s="150"/>
      <c r="B651" s="106"/>
      <c r="C651" s="106"/>
      <c r="D651" s="106"/>
      <c r="E651" s="107"/>
      <c r="F651" s="106"/>
      <c r="G651" s="106"/>
      <c r="H651" s="155"/>
      <c r="I651" s="155"/>
      <c r="J651" s="106"/>
    </row>
    <row r="652" spans="1:10" ht="15.6" hidden="1" customHeight="1" x14ac:dyDescent="0.3">
      <c r="A652" s="150"/>
      <c r="B652" s="106"/>
      <c r="C652" s="106"/>
      <c r="D652" s="106"/>
      <c r="E652" s="107"/>
      <c r="F652" s="106"/>
      <c r="G652" s="106"/>
      <c r="H652" s="155"/>
      <c r="I652" s="155"/>
      <c r="J652" s="106"/>
    </row>
    <row r="653" spans="1:10" ht="15.6" hidden="1" customHeight="1" x14ac:dyDescent="0.3">
      <c r="A653" s="109" t="s">
        <v>234</v>
      </c>
      <c r="B653" s="106"/>
      <c r="C653" s="106" t="s">
        <v>506</v>
      </c>
      <c r="D653" s="106"/>
      <c r="E653" s="107">
        <v>46116</v>
      </c>
      <c r="F653" s="106" t="s">
        <v>490</v>
      </c>
      <c r="G653" s="106"/>
      <c r="H653" s="155"/>
      <c r="I653" s="155"/>
      <c r="J653" s="106"/>
    </row>
    <row r="654" spans="1:10" ht="15.6" hidden="1" customHeight="1" x14ac:dyDescent="0.3">
      <c r="A654" s="109" t="s">
        <v>234</v>
      </c>
      <c r="B654" s="106"/>
      <c r="C654" s="106"/>
      <c r="D654" s="106"/>
      <c r="E654" s="107"/>
      <c r="F654" s="106"/>
      <c r="G654" s="106"/>
      <c r="H654" s="155"/>
      <c r="I654" s="155"/>
      <c r="J654" s="106"/>
    </row>
    <row r="655" spans="1:10" ht="15.6" hidden="1" customHeight="1" x14ac:dyDescent="0.3">
      <c r="A655" s="109" t="s">
        <v>234</v>
      </c>
      <c r="B655" s="106"/>
      <c r="C655" s="106"/>
      <c r="D655" s="106"/>
      <c r="E655" s="107"/>
      <c r="F655" s="106"/>
      <c r="G655" s="106"/>
      <c r="H655" s="155"/>
      <c r="I655" s="155"/>
      <c r="J655" s="106"/>
    </row>
    <row r="656" spans="1:10" ht="15.6" hidden="1" customHeight="1" x14ac:dyDescent="0.3">
      <c r="A656" s="109" t="s">
        <v>235</v>
      </c>
      <c r="B656" s="106"/>
      <c r="C656" s="106"/>
      <c r="D656" s="106"/>
      <c r="E656" s="107"/>
      <c r="F656" s="107"/>
      <c r="G656" s="106"/>
      <c r="H656" s="155"/>
      <c r="I656" s="155"/>
      <c r="J656" s="106"/>
    </row>
    <row r="657" spans="1:10" ht="15.6" hidden="1" customHeight="1" x14ac:dyDescent="0.3">
      <c r="A657" s="109" t="s">
        <v>235</v>
      </c>
      <c r="B657" s="106"/>
      <c r="C657" s="106"/>
      <c r="D657" s="106"/>
      <c r="E657" s="107"/>
      <c r="F657" s="107"/>
      <c r="G657" s="106"/>
      <c r="H657" s="155"/>
      <c r="I657" s="155"/>
      <c r="J657" s="106"/>
    </row>
    <row r="658" spans="1:10" ht="15.6" hidden="1" customHeight="1" x14ac:dyDescent="0.3">
      <c r="A658" s="109" t="s">
        <v>235</v>
      </c>
      <c r="B658" s="106"/>
      <c r="C658" s="106"/>
      <c r="D658" s="106"/>
      <c r="E658" s="107"/>
      <c r="F658" s="107"/>
      <c r="G658" s="106"/>
      <c r="H658" s="155"/>
      <c r="I658" s="155"/>
      <c r="J658" s="106"/>
    </row>
    <row r="659" spans="1:10" s="20" customFormat="1" ht="15.6" hidden="1" customHeight="1" x14ac:dyDescent="0.3">
      <c r="A659" s="151" t="s">
        <v>236</v>
      </c>
      <c r="B659" s="108"/>
      <c r="C659" s="108"/>
      <c r="D659" s="108"/>
      <c r="E659" s="108"/>
      <c r="F659" s="108"/>
      <c r="G659" s="108"/>
      <c r="H659" s="155"/>
      <c r="I659" s="155"/>
      <c r="J659" s="108"/>
    </row>
    <row r="660" spans="1:10" s="20" customFormat="1" ht="15.6" hidden="1" customHeight="1" x14ac:dyDescent="0.3">
      <c r="A660" s="151"/>
      <c r="B660" s="108"/>
      <c r="C660" s="108"/>
      <c r="D660" s="108"/>
      <c r="E660" s="108"/>
      <c r="F660" s="108"/>
      <c r="G660" s="108"/>
      <c r="H660" s="155"/>
      <c r="I660" s="155"/>
      <c r="J660" s="108"/>
    </row>
    <row r="661" spans="1:10" s="20" customFormat="1" ht="15.6" hidden="1" customHeight="1" x14ac:dyDescent="0.3">
      <c r="A661" s="151"/>
      <c r="B661" s="108"/>
      <c r="C661" s="108"/>
      <c r="D661" s="108"/>
      <c r="E661" s="108"/>
      <c r="F661" s="108"/>
      <c r="G661" s="108"/>
      <c r="H661" s="155"/>
      <c r="I661" s="155"/>
      <c r="J661" s="108"/>
    </row>
    <row r="662" spans="1:10" ht="15.6" hidden="1" customHeight="1" x14ac:dyDescent="0.3">
      <c r="A662" s="151" t="s">
        <v>237</v>
      </c>
      <c r="B662" s="106"/>
      <c r="C662" s="117"/>
      <c r="D662" s="106"/>
      <c r="E662" s="107"/>
      <c r="F662" s="117"/>
      <c r="G662" s="106"/>
      <c r="H662" s="155"/>
      <c r="I662" s="155"/>
      <c r="J662" s="106"/>
    </row>
    <row r="663" spans="1:10" ht="15.6" hidden="1" customHeight="1" x14ac:dyDescent="0.3">
      <c r="A663" s="151"/>
      <c r="B663" s="106"/>
      <c r="C663" s="117"/>
      <c r="D663" s="106"/>
      <c r="E663" s="107"/>
      <c r="F663" s="117"/>
      <c r="G663" s="106"/>
      <c r="H663" s="155"/>
      <c r="I663" s="155"/>
      <c r="J663" s="106"/>
    </row>
    <row r="664" spans="1:10" ht="15.6" hidden="1" customHeight="1" x14ac:dyDescent="0.3">
      <c r="A664" s="151"/>
      <c r="B664" s="106"/>
      <c r="C664" s="117"/>
      <c r="D664" s="106"/>
      <c r="E664" s="107"/>
      <c r="F664" s="117"/>
      <c r="G664" s="106"/>
      <c r="H664" s="155"/>
      <c r="I664" s="155"/>
      <c r="J664" s="106"/>
    </row>
    <row r="665" spans="1:10" ht="15.6" hidden="1" customHeight="1" x14ac:dyDescent="0.3">
      <c r="A665" s="150" t="s">
        <v>238</v>
      </c>
      <c r="B665" s="106"/>
      <c r="C665" s="117"/>
      <c r="D665" s="106"/>
      <c r="E665" s="107"/>
      <c r="F665" s="117"/>
      <c r="G665" s="106"/>
      <c r="H665" s="155"/>
      <c r="I665" s="155"/>
      <c r="J665" s="106"/>
    </row>
    <row r="666" spans="1:10" ht="15.6" hidden="1" customHeight="1" x14ac:dyDescent="0.3">
      <c r="A666" s="150"/>
      <c r="B666" s="106"/>
      <c r="C666" s="117"/>
      <c r="D666" s="106"/>
      <c r="E666" s="107"/>
      <c r="F666" s="117"/>
      <c r="G666" s="106"/>
      <c r="H666" s="155"/>
      <c r="I666" s="155"/>
      <c r="J666" s="106"/>
    </row>
    <row r="667" spans="1:10" ht="15.6" hidden="1" customHeight="1" x14ac:dyDescent="0.3">
      <c r="A667" s="150"/>
      <c r="B667" s="106"/>
      <c r="C667" s="117"/>
      <c r="D667" s="106"/>
      <c r="E667" s="107"/>
      <c r="F667" s="117"/>
      <c r="G667" s="106"/>
      <c r="H667" s="155"/>
      <c r="I667" s="155"/>
      <c r="J667" s="106"/>
    </row>
    <row r="668" spans="1:10" ht="15.6" hidden="1" customHeight="1" x14ac:dyDescent="0.3">
      <c r="A668" s="109" t="s">
        <v>239</v>
      </c>
      <c r="B668" s="106"/>
      <c r="C668" s="106"/>
      <c r="D668" s="106"/>
      <c r="E668" s="107"/>
      <c r="F668" s="106"/>
      <c r="G668" s="106"/>
      <c r="H668" s="155"/>
      <c r="I668" s="155"/>
      <c r="J668" s="106"/>
    </row>
    <row r="669" spans="1:10" ht="15.6" hidden="1" customHeight="1" x14ac:dyDescent="0.3">
      <c r="A669" s="109" t="s">
        <v>239</v>
      </c>
      <c r="B669" s="106"/>
      <c r="C669" s="106"/>
      <c r="D669" s="106"/>
      <c r="E669" s="107"/>
      <c r="F669" s="106"/>
      <c r="G669" s="106"/>
      <c r="H669" s="155"/>
      <c r="I669" s="155"/>
      <c r="J669" s="106"/>
    </row>
    <row r="670" spans="1:10" ht="15.6" hidden="1" customHeight="1" x14ac:dyDescent="0.3">
      <c r="A670" s="109" t="s">
        <v>239</v>
      </c>
      <c r="B670" s="106"/>
      <c r="C670" s="106"/>
      <c r="D670" s="106"/>
      <c r="E670" s="107"/>
      <c r="F670" s="106"/>
      <c r="G670" s="106"/>
      <c r="H670" s="155"/>
      <c r="I670" s="155"/>
      <c r="J670" s="106"/>
    </row>
    <row r="671" spans="1:10" ht="15.6" hidden="1" customHeight="1" x14ac:dyDescent="0.3">
      <c r="A671" s="150" t="s">
        <v>240</v>
      </c>
      <c r="B671" s="108"/>
      <c r="C671" s="108"/>
      <c r="D671" s="108"/>
      <c r="E671" s="108"/>
      <c r="F671" s="108"/>
      <c r="G671" s="108"/>
      <c r="H671" s="155"/>
      <c r="I671" s="155"/>
      <c r="J671" s="108"/>
    </row>
    <row r="672" spans="1:10" ht="15.6" hidden="1" customHeight="1" x14ac:dyDescent="0.3">
      <c r="A672" s="150"/>
      <c r="B672" s="108"/>
      <c r="C672" s="108"/>
      <c r="D672" s="108"/>
      <c r="E672" s="108"/>
      <c r="F672" s="108"/>
      <c r="G672" s="108"/>
      <c r="H672" s="155"/>
      <c r="I672" s="155"/>
      <c r="J672" s="108"/>
    </row>
    <row r="673" spans="1:10" ht="15.6" hidden="1" customHeight="1" x14ac:dyDescent="0.3">
      <c r="A673" s="150"/>
      <c r="B673" s="108"/>
      <c r="C673" s="108"/>
      <c r="D673" s="108"/>
      <c r="E673" s="108"/>
      <c r="F673" s="108"/>
      <c r="G673" s="108"/>
      <c r="H673" s="155"/>
      <c r="I673" s="155"/>
      <c r="J673" s="108"/>
    </row>
    <row r="674" spans="1:10" ht="15.6" hidden="1" customHeight="1" x14ac:dyDescent="0.3">
      <c r="A674" s="150" t="s">
        <v>241</v>
      </c>
      <c r="B674" s="106"/>
      <c r="C674" s="106"/>
      <c r="D674" s="106"/>
      <c r="E674" s="107"/>
      <c r="F674" s="106"/>
      <c r="G674" s="106"/>
      <c r="H674" s="155"/>
      <c r="I674" s="155"/>
      <c r="J674" s="106"/>
    </row>
    <row r="675" spans="1:10" ht="15.6" hidden="1" customHeight="1" x14ac:dyDescent="0.3">
      <c r="A675" s="150"/>
      <c r="B675" s="106"/>
      <c r="C675" s="106"/>
      <c r="D675" s="106"/>
      <c r="E675" s="107"/>
      <c r="F675" s="106"/>
      <c r="G675" s="106"/>
      <c r="H675" s="155"/>
      <c r="I675" s="155"/>
      <c r="J675" s="106"/>
    </row>
    <row r="676" spans="1:10" ht="15.6" hidden="1" customHeight="1" x14ac:dyDescent="0.3">
      <c r="A676" s="150"/>
      <c r="B676" s="106"/>
      <c r="C676" s="106"/>
      <c r="D676" s="106"/>
      <c r="E676" s="107"/>
      <c r="F676" s="106"/>
      <c r="G676" s="106"/>
      <c r="H676" s="155"/>
      <c r="I676" s="155"/>
      <c r="J676" s="106"/>
    </row>
    <row r="677" spans="1:10" ht="15.6" hidden="1" customHeight="1" x14ac:dyDescent="0.3">
      <c r="A677" s="150" t="s">
        <v>242</v>
      </c>
      <c r="B677" s="106"/>
      <c r="C677" s="106"/>
      <c r="D677" s="106"/>
      <c r="E677" s="107"/>
      <c r="F677" s="106"/>
      <c r="G677" s="106"/>
      <c r="H677" s="155"/>
      <c r="I677" s="155"/>
      <c r="J677" s="106"/>
    </row>
    <row r="678" spans="1:10" ht="15.6" hidden="1" customHeight="1" x14ac:dyDescent="0.3">
      <c r="A678" s="150"/>
      <c r="B678" s="106"/>
      <c r="C678" s="106"/>
      <c r="D678" s="106"/>
      <c r="E678" s="107"/>
      <c r="F678" s="106"/>
      <c r="G678" s="106"/>
      <c r="H678" s="155"/>
      <c r="I678" s="155"/>
      <c r="J678" s="106"/>
    </row>
    <row r="679" spans="1:10" ht="15.6" hidden="1" customHeight="1" x14ac:dyDescent="0.3">
      <c r="A679" s="150"/>
      <c r="B679" s="106"/>
      <c r="C679" s="106"/>
      <c r="D679" s="106"/>
      <c r="E679" s="107"/>
      <c r="F679" s="106"/>
      <c r="G679" s="106"/>
      <c r="H679" s="155"/>
      <c r="I679" s="155"/>
      <c r="J679" s="106"/>
    </row>
    <row r="680" spans="1:10" ht="15.6" hidden="1" customHeight="1" x14ac:dyDescent="0.3">
      <c r="A680" s="150" t="s">
        <v>243</v>
      </c>
      <c r="B680" s="106"/>
      <c r="C680" s="106"/>
      <c r="D680" s="106"/>
      <c r="E680" s="107"/>
      <c r="F680" s="106"/>
      <c r="G680" s="106"/>
      <c r="H680" s="155"/>
      <c r="I680" s="155"/>
      <c r="J680" s="106"/>
    </row>
    <row r="681" spans="1:10" ht="15.6" hidden="1" customHeight="1" x14ac:dyDescent="0.3">
      <c r="A681" s="150"/>
      <c r="B681" s="106"/>
      <c r="C681" s="106"/>
      <c r="D681" s="106"/>
      <c r="E681" s="107"/>
      <c r="F681" s="106"/>
      <c r="G681" s="106"/>
      <c r="H681" s="155"/>
      <c r="I681" s="155"/>
      <c r="J681" s="106"/>
    </row>
    <row r="682" spans="1:10" ht="15.6" hidden="1" customHeight="1" x14ac:dyDescent="0.3">
      <c r="A682" s="150"/>
      <c r="B682" s="106"/>
      <c r="C682" s="106"/>
      <c r="D682" s="106"/>
      <c r="E682" s="107"/>
      <c r="F682" s="106"/>
      <c r="G682" s="106"/>
      <c r="H682" s="155"/>
      <c r="I682" s="155"/>
      <c r="J682" s="106"/>
    </row>
    <row r="683" spans="1:10" ht="15.6" hidden="1" customHeight="1" x14ac:dyDescent="0.3">
      <c r="A683" s="150" t="s">
        <v>244</v>
      </c>
      <c r="B683" s="108"/>
      <c r="C683" s="108"/>
      <c r="D683" s="108"/>
      <c r="E683" s="108"/>
      <c r="F683" s="108"/>
      <c r="G683" s="108"/>
      <c r="H683" s="155"/>
      <c r="I683" s="155"/>
      <c r="J683" s="108"/>
    </row>
    <row r="684" spans="1:10" ht="15.6" hidden="1" customHeight="1" x14ac:dyDescent="0.3">
      <c r="A684" s="150"/>
      <c r="B684" s="108"/>
      <c r="C684" s="108"/>
      <c r="D684" s="108"/>
      <c r="E684" s="108"/>
      <c r="F684" s="108"/>
      <c r="G684" s="108"/>
      <c r="H684" s="155"/>
      <c r="I684" s="155"/>
      <c r="J684" s="108"/>
    </row>
    <row r="685" spans="1:10" ht="15.6" hidden="1" customHeight="1" x14ac:dyDescent="0.3">
      <c r="A685" s="150"/>
      <c r="B685" s="108"/>
      <c r="C685" s="108"/>
      <c r="D685" s="108"/>
      <c r="E685" s="108"/>
      <c r="F685" s="108"/>
      <c r="G685" s="108"/>
      <c r="H685" s="155"/>
      <c r="I685" s="155"/>
      <c r="J685" s="108"/>
    </row>
    <row r="686" spans="1:10" ht="15.6" hidden="1" customHeight="1" x14ac:dyDescent="0.3">
      <c r="A686" s="150" t="s">
        <v>245</v>
      </c>
      <c r="B686" s="106"/>
      <c r="C686" s="106"/>
      <c r="D686" s="106"/>
      <c r="E686" s="107"/>
      <c r="F686" s="106"/>
      <c r="G686" s="106"/>
      <c r="H686" s="155"/>
      <c r="I686" s="155"/>
      <c r="J686" s="106"/>
    </row>
    <row r="687" spans="1:10" ht="15.6" hidden="1" customHeight="1" x14ac:dyDescent="0.3">
      <c r="A687" s="150"/>
      <c r="B687" s="106"/>
      <c r="C687" s="106"/>
      <c r="D687" s="106"/>
      <c r="E687" s="107"/>
      <c r="F687" s="106"/>
      <c r="G687" s="106"/>
      <c r="H687" s="155"/>
      <c r="I687" s="155"/>
      <c r="J687" s="106"/>
    </row>
    <row r="688" spans="1:10" ht="15.6" hidden="1" customHeight="1" x14ac:dyDescent="0.3">
      <c r="A688" s="150"/>
      <c r="B688" s="106"/>
      <c r="C688" s="106"/>
      <c r="D688" s="106"/>
      <c r="E688" s="107"/>
      <c r="F688" s="106"/>
      <c r="G688" s="106"/>
      <c r="H688" s="155"/>
      <c r="I688" s="155"/>
      <c r="J688" s="106"/>
    </row>
    <row r="689" spans="1:10" ht="15.6" hidden="1" customHeight="1" x14ac:dyDescent="0.3">
      <c r="A689" s="150" t="s">
        <v>246</v>
      </c>
      <c r="B689" s="108"/>
      <c r="C689" s="108"/>
      <c r="D689" s="108"/>
      <c r="E689" s="108"/>
      <c r="F689" s="108"/>
      <c r="G689" s="108"/>
      <c r="H689" s="155"/>
      <c r="I689" s="155"/>
      <c r="J689" s="108"/>
    </row>
    <row r="690" spans="1:10" ht="15.6" hidden="1" customHeight="1" x14ac:dyDescent="0.3">
      <c r="A690" s="150"/>
      <c r="B690" s="108"/>
      <c r="C690" s="108"/>
      <c r="D690" s="108"/>
      <c r="E690" s="108"/>
      <c r="F690" s="108"/>
      <c r="G690" s="108"/>
      <c r="H690" s="155"/>
      <c r="I690" s="155"/>
      <c r="J690" s="108"/>
    </row>
    <row r="691" spans="1:10" ht="15.6" hidden="1" customHeight="1" x14ac:dyDescent="0.3">
      <c r="A691" s="150"/>
      <c r="B691" s="108"/>
      <c r="C691" s="108"/>
      <c r="D691" s="108"/>
      <c r="E691" s="108"/>
      <c r="F691" s="108"/>
      <c r="G691" s="108"/>
      <c r="H691" s="155"/>
      <c r="I691" s="155"/>
      <c r="J691" s="108"/>
    </row>
    <row r="692" spans="1:10" ht="15.6" hidden="1" customHeight="1" x14ac:dyDescent="0.3">
      <c r="A692" s="150" t="s">
        <v>247</v>
      </c>
      <c r="B692" s="108"/>
      <c r="C692" s="108"/>
      <c r="D692" s="108"/>
      <c r="E692" s="108"/>
      <c r="F692" s="108"/>
      <c r="G692" s="108"/>
      <c r="H692" s="155"/>
      <c r="I692" s="155"/>
      <c r="J692" s="108"/>
    </row>
    <row r="693" spans="1:10" ht="15.6" hidden="1" customHeight="1" x14ac:dyDescent="0.3">
      <c r="A693" s="150"/>
      <c r="B693" s="108"/>
      <c r="C693" s="108"/>
      <c r="D693" s="108"/>
      <c r="E693" s="108"/>
      <c r="F693" s="108"/>
      <c r="G693" s="108"/>
      <c r="H693" s="155"/>
      <c r="I693" s="155"/>
      <c r="J693" s="108"/>
    </row>
    <row r="694" spans="1:10" ht="15.6" hidden="1" customHeight="1" x14ac:dyDescent="0.3">
      <c r="A694" s="150"/>
      <c r="B694" s="108"/>
      <c r="C694" s="108"/>
      <c r="D694" s="108"/>
      <c r="E694" s="108"/>
      <c r="F694" s="108"/>
      <c r="G694" s="108"/>
      <c r="H694" s="155"/>
      <c r="I694" s="155"/>
      <c r="J694" s="108"/>
    </row>
    <row r="695" spans="1:10" ht="15.6" hidden="1" customHeight="1" x14ac:dyDescent="0.3">
      <c r="A695" s="150" t="s">
        <v>248</v>
      </c>
      <c r="B695" s="106"/>
      <c r="C695" s="106"/>
      <c r="D695" s="106"/>
      <c r="E695" s="107"/>
      <c r="F695" s="107"/>
      <c r="G695" s="106"/>
      <c r="H695" s="155"/>
      <c r="I695" s="155"/>
      <c r="J695" s="106"/>
    </row>
    <row r="696" spans="1:10" ht="15.6" hidden="1" customHeight="1" x14ac:dyDescent="0.3">
      <c r="A696" s="150"/>
      <c r="B696" s="106"/>
      <c r="C696" s="106"/>
      <c r="D696" s="106"/>
      <c r="E696" s="107"/>
      <c r="F696" s="107"/>
      <c r="G696" s="106"/>
      <c r="H696" s="155"/>
      <c r="I696" s="155"/>
      <c r="J696" s="106"/>
    </row>
    <row r="697" spans="1:10" ht="15.6" hidden="1" customHeight="1" x14ac:dyDescent="0.3">
      <c r="A697" s="150"/>
      <c r="B697" s="106"/>
      <c r="C697" s="106"/>
      <c r="D697" s="106"/>
      <c r="E697" s="107"/>
      <c r="F697" s="107"/>
      <c r="G697" s="106"/>
      <c r="H697" s="155"/>
      <c r="I697" s="155"/>
      <c r="J697" s="106"/>
    </row>
    <row r="698" spans="1:10" ht="15.6" hidden="1" customHeight="1" x14ac:dyDescent="0.3">
      <c r="A698" s="150" t="s">
        <v>249</v>
      </c>
      <c r="B698" s="106"/>
      <c r="C698" s="106"/>
      <c r="D698" s="106"/>
      <c r="E698" s="107"/>
      <c r="F698" s="106"/>
      <c r="G698" s="106"/>
      <c r="H698" s="155"/>
      <c r="I698" s="155"/>
      <c r="J698" s="106"/>
    </row>
    <row r="699" spans="1:10" ht="15.6" hidden="1" customHeight="1" x14ac:dyDescent="0.3">
      <c r="A699" s="150"/>
      <c r="B699" s="106"/>
      <c r="C699" s="106"/>
      <c r="D699" s="106"/>
      <c r="E699" s="107"/>
      <c r="F699" s="106"/>
      <c r="G699" s="106"/>
      <c r="H699" s="155"/>
      <c r="I699" s="155"/>
      <c r="J699" s="106"/>
    </row>
    <row r="700" spans="1:10" ht="15.6" hidden="1" customHeight="1" x14ac:dyDescent="0.3">
      <c r="A700" s="150"/>
      <c r="B700" s="106"/>
      <c r="C700" s="106"/>
      <c r="D700" s="106"/>
      <c r="E700" s="107"/>
      <c r="F700" s="106"/>
      <c r="G700" s="106"/>
      <c r="H700" s="155"/>
      <c r="I700" s="155"/>
      <c r="J700" s="106"/>
    </row>
    <row r="701" spans="1:10" s="20" customFormat="1" ht="15.6" hidden="1" customHeight="1" x14ac:dyDescent="0.3">
      <c r="A701" s="150" t="s">
        <v>250</v>
      </c>
      <c r="B701" s="106"/>
      <c r="C701" s="106"/>
      <c r="D701" s="107"/>
      <c r="E701" s="107"/>
      <c r="F701" s="106"/>
      <c r="G701" s="106"/>
      <c r="H701" s="155"/>
      <c r="I701" s="155"/>
      <c r="J701" s="106"/>
    </row>
    <row r="702" spans="1:10" s="20" customFormat="1" ht="15.6" hidden="1" customHeight="1" x14ac:dyDescent="0.3">
      <c r="A702" s="150"/>
      <c r="B702" s="106"/>
      <c r="C702" s="106"/>
      <c r="D702" s="107"/>
      <c r="E702" s="107"/>
      <c r="F702" s="106"/>
      <c r="G702" s="106"/>
      <c r="H702" s="155"/>
      <c r="I702" s="155"/>
      <c r="J702" s="106"/>
    </row>
    <row r="703" spans="1:10" s="20" customFormat="1" ht="15.6" hidden="1" customHeight="1" x14ac:dyDescent="0.3">
      <c r="A703" s="150"/>
      <c r="B703" s="106"/>
      <c r="C703" s="106"/>
      <c r="D703" s="107"/>
      <c r="E703" s="107"/>
      <c r="F703" s="106"/>
      <c r="G703" s="106"/>
      <c r="H703" s="155"/>
      <c r="I703" s="155"/>
      <c r="J703" s="106"/>
    </row>
    <row r="704" spans="1:10" ht="15.6" hidden="1" customHeight="1" x14ac:dyDescent="0.3">
      <c r="A704" s="150" t="s">
        <v>251</v>
      </c>
      <c r="B704" s="106"/>
      <c r="C704" s="106"/>
      <c r="D704" s="106"/>
      <c r="E704" s="107"/>
      <c r="F704" s="106"/>
      <c r="G704" s="106"/>
      <c r="H704" s="155"/>
      <c r="I704" s="155"/>
      <c r="J704" s="106"/>
    </row>
    <row r="705" spans="1:10" ht="15.6" hidden="1" customHeight="1" x14ac:dyDescent="0.3">
      <c r="A705" s="150"/>
      <c r="B705" s="106"/>
      <c r="C705" s="106"/>
      <c r="D705" s="106"/>
      <c r="E705" s="107"/>
      <c r="F705" s="106"/>
      <c r="G705" s="106"/>
      <c r="H705" s="155"/>
      <c r="I705" s="155"/>
      <c r="J705" s="106"/>
    </row>
    <row r="706" spans="1:10" ht="15.6" hidden="1" customHeight="1" x14ac:dyDescent="0.3">
      <c r="A706" s="150"/>
      <c r="B706" s="106"/>
      <c r="C706" s="106"/>
      <c r="D706" s="106"/>
      <c r="E706" s="107"/>
      <c r="F706" s="106"/>
      <c r="G706" s="106"/>
      <c r="H706" s="155"/>
      <c r="I706" s="155"/>
      <c r="J706" s="106"/>
    </row>
    <row r="707" spans="1:10" ht="15.6" customHeight="1" x14ac:dyDescent="0.3">
      <c r="A707" s="150" t="s">
        <v>252</v>
      </c>
      <c r="B707" s="108"/>
      <c r="C707" s="141" t="s">
        <v>531</v>
      </c>
      <c r="D707" s="106"/>
      <c r="E707" s="107">
        <v>46129</v>
      </c>
      <c r="F707" s="106" t="s">
        <v>496</v>
      </c>
      <c r="G707" s="108"/>
      <c r="H707" s="155"/>
      <c r="I707" s="155"/>
      <c r="J707" s="106">
        <v>16</v>
      </c>
    </row>
    <row r="708" spans="1:10" ht="15.6" hidden="1" customHeight="1" x14ac:dyDescent="0.3">
      <c r="A708" s="150"/>
      <c r="B708" s="108"/>
      <c r="C708" s="106"/>
      <c r="D708" s="106"/>
      <c r="E708" s="107"/>
      <c r="F708" s="106"/>
      <c r="G708" s="108"/>
      <c r="H708" s="155"/>
      <c r="I708" s="155"/>
      <c r="J708" s="106"/>
    </row>
    <row r="709" spans="1:10" ht="15.6" hidden="1" customHeight="1" x14ac:dyDescent="0.3">
      <c r="A709" s="150"/>
      <c r="B709" s="108"/>
      <c r="C709" s="106"/>
      <c r="D709" s="106"/>
      <c r="E709" s="107"/>
      <c r="F709" s="106"/>
      <c r="G709" s="108"/>
      <c r="H709" s="155"/>
      <c r="I709" s="155"/>
      <c r="J709" s="106"/>
    </row>
    <row r="710" spans="1:10" ht="15.6" hidden="1" customHeight="1" x14ac:dyDescent="0.3">
      <c r="A710" s="150" t="s">
        <v>253</v>
      </c>
      <c r="B710" s="106"/>
      <c r="C710" s="106"/>
      <c r="D710" s="106"/>
      <c r="E710" s="107"/>
      <c r="F710" s="106"/>
      <c r="G710" s="106"/>
      <c r="H710" s="155"/>
      <c r="I710" s="155"/>
      <c r="J710" s="106"/>
    </row>
    <row r="711" spans="1:10" ht="15.6" hidden="1" customHeight="1" x14ac:dyDescent="0.3">
      <c r="A711" s="150"/>
      <c r="B711" s="106"/>
      <c r="C711" s="106"/>
      <c r="D711" s="106"/>
      <c r="E711" s="107"/>
      <c r="F711" s="106"/>
      <c r="G711" s="106"/>
      <c r="H711" s="155"/>
      <c r="I711" s="155"/>
      <c r="J711" s="106"/>
    </row>
    <row r="712" spans="1:10" ht="15.6" hidden="1" customHeight="1" x14ac:dyDescent="0.3">
      <c r="A712" s="150"/>
      <c r="B712" s="106"/>
      <c r="C712" s="106"/>
      <c r="D712" s="106"/>
      <c r="E712" s="107"/>
      <c r="F712" s="106"/>
      <c r="G712" s="106"/>
      <c r="H712" s="155"/>
      <c r="I712" s="155"/>
      <c r="J712" s="106"/>
    </row>
    <row r="713" spans="1:10" ht="15.6" hidden="1" customHeight="1" x14ac:dyDescent="0.3">
      <c r="A713" s="151" t="s">
        <v>254</v>
      </c>
      <c r="B713" s="108"/>
      <c r="C713" s="106"/>
      <c r="D713" s="108"/>
      <c r="E713" s="107"/>
      <c r="F713" s="106"/>
      <c r="G713" s="106"/>
      <c r="H713" s="155"/>
      <c r="I713" s="155"/>
      <c r="J713" s="108"/>
    </row>
    <row r="714" spans="1:10" ht="15.6" hidden="1" customHeight="1" x14ac:dyDescent="0.3">
      <c r="A714" s="151"/>
      <c r="B714" s="108"/>
      <c r="C714" s="106"/>
      <c r="D714" s="108"/>
      <c r="E714" s="107"/>
      <c r="F714" s="106"/>
      <c r="G714" s="106"/>
      <c r="H714" s="155"/>
      <c r="I714" s="155"/>
      <c r="J714" s="108"/>
    </row>
    <row r="715" spans="1:10" ht="15.6" hidden="1" customHeight="1" x14ac:dyDescent="0.3">
      <c r="A715" s="151"/>
      <c r="B715" s="108"/>
      <c r="C715" s="106"/>
      <c r="D715" s="108"/>
      <c r="E715" s="107"/>
      <c r="F715" s="106"/>
      <c r="G715" s="106"/>
      <c r="H715" s="155"/>
      <c r="I715" s="155"/>
      <c r="J715" s="108"/>
    </row>
    <row r="716" spans="1:10" ht="15.6" hidden="1" customHeight="1" x14ac:dyDescent="0.3">
      <c r="A716" s="150" t="s">
        <v>255</v>
      </c>
      <c r="B716" s="108"/>
      <c r="C716" s="106"/>
      <c r="D716" s="106"/>
      <c r="E716" s="107"/>
      <c r="F716" s="106"/>
      <c r="G716" s="108"/>
      <c r="H716" s="155"/>
      <c r="I716" s="155"/>
      <c r="J716" s="108"/>
    </row>
    <row r="717" spans="1:10" ht="15.6" hidden="1" customHeight="1" x14ac:dyDescent="0.3">
      <c r="A717" s="150"/>
      <c r="B717" s="108"/>
      <c r="C717" s="106"/>
      <c r="D717" s="106"/>
      <c r="E717" s="107"/>
      <c r="F717" s="106"/>
      <c r="G717" s="108"/>
      <c r="H717" s="155"/>
      <c r="I717" s="155"/>
      <c r="J717" s="108"/>
    </row>
    <row r="718" spans="1:10" ht="15.6" hidden="1" customHeight="1" x14ac:dyDescent="0.3">
      <c r="A718" s="150"/>
      <c r="B718" s="108"/>
      <c r="C718" s="106"/>
      <c r="D718" s="106"/>
      <c r="E718" s="107"/>
      <c r="F718" s="106"/>
      <c r="G718" s="108"/>
      <c r="H718" s="155"/>
      <c r="I718" s="155"/>
      <c r="J718" s="108"/>
    </row>
    <row r="719" spans="1:10" ht="15.6" hidden="1" customHeight="1" x14ac:dyDescent="0.3">
      <c r="A719" s="150" t="s">
        <v>256</v>
      </c>
      <c r="B719" s="106"/>
      <c r="C719" s="106"/>
      <c r="D719" s="106"/>
      <c r="E719" s="107"/>
      <c r="F719" s="106"/>
      <c r="G719" s="106"/>
      <c r="H719" s="155"/>
      <c r="I719" s="155"/>
      <c r="J719" s="106"/>
    </row>
    <row r="720" spans="1:10" ht="15.6" hidden="1" customHeight="1" x14ac:dyDescent="0.3">
      <c r="A720" s="150"/>
      <c r="B720" s="106"/>
      <c r="C720" s="106"/>
      <c r="D720" s="106"/>
      <c r="E720" s="107"/>
      <c r="F720" s="106"/>
      <c r="G720" s="106"/>
      <c r="H720" s="155"/>
      <c r="I720" s="155"/>
      <c r="J720" s="106"/>
    </row>
    <row r="721" spans="1:10" ht="15.6" hidden="1" customHeight="1" x14ac:dyDescent="0.3">
      <c r="A721" s="150"/>
      <c r="B721" s="106"/>
      <c r="C721" s="106"/>
      <c r="D721" s="106"/>
      <c r="E721" s="107"/>
      <c r="F721" s="106"/>
      <c r="G721" s="106"/>
      <c r="H721" s="155"/>
      <c r="I721" s="155"/>
      <c r="J721" s="106"/>
    </row>
    <row r="722" spans="1:10" ht="15.6" hidden="1" customHeight="1" x14ac:dyDescent="0.3">
      <c r="A722" s="150" t="s">
        <v>257</v>
      </c>
      <c r="B722" s="106"/>
      <c r="C722" s="106"/>
      <c r="D722" s="106"/>
      <c r="E722" s="107"/>
      <c r="F722" s="106"/>
      <c r="G722" s="106"/>
      <c r="H722" s="155"/>
      <c r="I722" s="155"/>
      <c r="J722" s="106"/>
    </row>
    <row r="723" spans="1:10" ht="15.6" hidden="1" customHeight="1" x14ac:dyDescent="0.3">
      <c r="A723" s="150"/>
      <c r="B723" s="106"/>
      <c r="C723" s="106"/>
      <c r="D723" s="106"/>
      <c r="E723" s="107"/>
      <c r="F723" s="106"/>
      <c r="G723" s="106"/>
      <c r="H723" s="155"/>
      <c r="I723" s="155"/>
      <c r="J723" s="106"/>
    </row>
    <row r="724" spans="1:10" ht="15.6" hidden="1" customHeight="1" x14ac:dyDescent="0.3">
      <c r="A724" s="150"/>
      <c r="B724" s="106"/>
      <c r="C724" s="106"/>
      <c r="D724" s="106"/>
      <c r="E724" s="107"/>
      <c r="F724" s="106"/>
      <c r="G724" s="106"/>
      <c r="H724" s="155"/>
      <c r="I724" s="155"/>
      <c r="J724" s="106"/>
    </row>
    <row r="725" spans="1:10" ht="15.6" hidden="1" customHeight="1" x14ac:dyDescent="0.3">
      <c r="A725" s="152" t="s">
        <v>258</v>
      </c>
      <c r="B725" s="106"/>
      <c r="C725" s="106"/>
      <c r="D725" s="107"/>
      <c r="E725" s="107"/>
      <c r="F725" s="106"/>
      <c r="G725" s="106"/>
      <c r="H725" s="155"/>
      <c r="I725" s="155"/>
      <c r="J725" s="106"/>
    </row>
    <row r="726" spans="1:10" ht="15.6" hidden="1" customHeight="1" x14ac:dyDescent="0.3">
      <c r="A726" s="152"/>
      <c r="B726" s="106"/>
      <c r="C726" s="106"/>
      <c r="D726" s="107"/>
      <c r="E726" s="107"/>
      <c r="F726" s="106"/>
      <c r="G726" s="106"/>
      <c r="H726" s="155"/>
      <c r="I726" s="155"/>
      <c r="J726" s="106"/>
    </row>
    <row r="727" spans="1:10" ht="15.6" hidden="1" customHeight="1" x14ac:dyDescent="0.3">
      <c r="A727" s="152"/>
      <c r="B727" s="106"/>
      <c r="C727" s="106"/>
      <c r="D727" s="107"/>
      <c r="E727" s="107"/>
      <c r="F727" s="106"/>
      <c r="G727" s="106"/>
      <c r="H727" s="155"/>
      <c r="I727" s="155"/>
      <c r="J727" s="106"/>
    </row>
    <row r="728" spans="1:10" ht="15.6" hidden="1" customHeight="1" x14ac:dyDescent="0.3">
      <c r="A728" s="110" t="s">
        <v>259</v>
      </c>
      <c r="B728" s="108"/>
      <c r="C728" s="106"/>
      <c r="D728" s="115"/>
      <c r="E728" s="107"/>
      <c r="F728" s="106"/>
      <c r="G728" s="106"/>
      <c r="H728" s="155"/>
      <c r="I728" s="155"/>
      <c r="J728" s="106"/>
    </row>
    <row r="729" spans="1:10" ht="15.6" hidden="1" customHeight="1" x14ac:dyDescent="0.3">
      <c r="A729" s="110" t="s">
        <v>259</v>
      </c>
      <c r="B729" s="108"/>
      <c r="C729" s="106"/>
      <c r="D729" s="108"/>
      <c r="E729" s="107"/>
      <c r="F729" s="106"/>
      <c r="G729" s="106"/>
      <c r="H729" s="155"/>
      <c r="I729" s="155"/>
      <c r="J729" s="106"/>
    </row>
    <row r="730" spans="1:10" ht="15.6" hidden="1" customHeight="1" x14ac:dyDescent="0.3">
      <c r="A730" s="110" t="s">
        <v>259</v>
      </c>
      <c r="B730" s="108"/>
      <c r="C730" s="106"/>
      <c r="D730" s="108"/>
      <c r="E730" s="107"/>
      <c r="F730" s="106"/>
      <c r="G730" s="106"/>
      <c r="H730" s="155"/>
      <c r="I730" s="155"/>
      <c r="J730" s="106"/>
    </row>
    <row r="731" spans="1:10" ht="15.6" hidden="1" customHeight="1" x14ac:dyDescent="0.3">
      <c r="A731" s="151" t="s">
        <v>260</v>
      </c>
      <c r="B731" s="106"/>
      <c r="C731" s="106"/>
      <c r="D731" s="106"/>
      <c r="E731" s="107"/>
      <c r="F731" s="106"/>
      <c r="G731" s="106"/>
      <c r="H731" s="155"/>
      <c r="I731" s="155"/>
      <c r="J731" s="106"/>
    </row>
    <row r="732" spans="1:10" ht="15.6" hidden="1" customHeight="1" x14ac:dyDescent="0.3">
      <c r="A732" s="151"/>
      <c r="B732" s="106"/>
      <c r="C732" s="106"/>
      <c r="D732" s="106"/>
      <c r="E732" s="107"/>
      <c r="F732" s="106"/>
      <c r="G732" s="106"/>
      <c r="H732" s="155"/>
      <c r="I732" s="155"/>
      <c r="J732" s="106"/>
    </row>
    <row r="733" spans="1:10" ht="15.6" hidden="1" customHeight="1" x14ac:dyDescent="0.3">
      <c r="A733" s="151"/>
      <c r="B733" s="106"/>
      <c r="C733" s="106"/>
      <c r="D733" s="106"/>
      <c r="E733" s="107"/>
      <c r="F733" s="106"/>
      <c r="G733" s="106"/>
      <c r="H733" s="155"/>
      <c r="I733" s="155"/>
      <c r="J733" s="106"/>
    </row>
    <row r="734" spans="1:10" ht="15.6" hidden="1" customHeight="1" x14ac:dyDescent="0.3">
      <c r="A734" s="151" t="s">
        <v>261</v>
      </c>
      <c r="B734" s="108"/>
      <c r="C734" s="106"/>
      <c r="D734" s="108"/>
      <c r="E734" s="107"/>
      <c r="F734" s="106"/>
      <c r="G734" s="108"/>
      <c r="H734" s="155"/>
      <c r="I734" s="155"/>
      <c r="J734" s="106"/>
    </row>
    <row r="735" spans="1:10" ht="15.6" hidden="1" customHeight="1" x14ac:dyDescent="0.3">
      <c r="A735" s="151"/>
      <c r="B735" s="108"/>
      <c r="C735" s="106"/>
      <c r="D735" s="108"/>
      <c r="E735" s="107"/>
      <c r="F735" s="106"/>
      <c r="G735" s="108"/>
      <c r="H735" s="155"/>
      <c r="I735" s="155"/>
      <c r="J735" s="106"/>
    </row>
    <row r="736" spans="1:10" ht="15.6" hidden="1" customHeight="1" x14ac:dyDescent="0.3">
      <c r="A736" s="151"/>
      <c r="B736" s="108"/>
      <c r="C736" s="106"/>
      <c r="D736" s="108"/>
      <c r="E736" s="107"/>
      <c r="F736" s="106"/>
      <c r="G736" s="108"/>
      <c r="H736" s="155"/>
      <c r="I736" s="155"/>
      <c r="J736" s="106"/>
    </row>
    <row r="737" spans="1:10" ht="15.6" hidden="1" customHeight="1" x14ac:dyDescent="0.3">
      <c r="A737" s="150" t="s">
        <v>262</v>
      </c>
      <c r="B737" s="108"/>
      <c r="C737" s="106"/>
      <c r="D737" s="106"/>
      <c r="E737" s="107"/>
      <c r="F737" s="106"/>
      <c r="G737" s="106"/>
      <c r="H737" s="155"/>
      <c r="I737" s="155"/>
      <c r="J737" s="106"/>
    </row>
    <row r="738" spans="1:10" ht="15.6" hidden="1" customHeight="1" x14ac:dyDescent="0.3">
      <c r="A738" s="150"/>
      <c r="B738" s="108"/>
      <c r="C738" s="106"/>
      <c r="D738" s="106"/>
      <c r="E738" s="107"/>
      <c r="F738" s="106"/>
      <c r="G738" s="106"/>
      <c r="H738" s="155"/>
      <c r="I738" s="155"/>
      <c r="J738" s="106"/>
    </row>
    <row r="739" spans="1:10" ht="15.6" hidden="1" customHeight="1" x14ac:dyDescent="0.3">
      <c r="A739" s="150"/>
      <c r="B739" s="108"/>
      <c r="C739" s="106"/>
      <c r="D739" s="106"/>
      <c r="E739" s="107"/>
      <c r="F739" s="106"/>
      <c r="G739" s="106"/>
      <c r="H739" s="155"/>
      <c r="I739" s="155"/>
      <c r="J739" s="106"/>
    </row>
    <row r="740" spans="1:10" ht="15.6" hidden="1" customHeight="1" x14ac:dyDescent="0.3">
      <c r="A740" s="110" t="s">
        <v>263</v>
      </c>
      <c r="B740" s="108"/>
      <c r="C740" s="106"/>
      <c r="D740" s="108"/>
      <c r="E740" s="107"/>
      <c r="F740" s="106"/>
      <c r="G740" s="108"/>
      <c r="H740" s="155"/>
      <c r="I740" s="155"/>
      <c r="J740" s="106"/>
    </row>
    <row r="741" spans="1:10" ht="15.6" hidden="1" customHeight="1" x14ac:dyDescent="0.3">
      <c r="A741" s="110" t="s">
        <v>263</v>
      </c>
      <c r="B741" s="108"/>
      <c r="C741" s="106"/>
      <c r="D741" s="108"/>
      <c r="E741" s="107"/>
      <c r="F741" s="106"/>
      <c r="G741" s="108"/>
      <c r="H741" s="155"/>
      <c r="I741" s="155"/>
      <c r="J741" s="106"/>
    </row>
    <row r="742" spans="1:10" ht="15.6" hidden="1" customHeight="1" x14ac:dyDescent="0.3">
      <c r="A742" s="110" t="s">
        <v>263</v>
      </c>
      <c r="B742" s="108"/>
      <c r="C742" s="106"/>
      <c r="D742" s="108"/>
      <c r="E742" s="107"/>
      <c r="F742" s="106"/>
      <c r="G742" s="108"/>
      <c r="H742" s="155"/>
      <c r="I742" s="155"/>
      <c r="J742" s="106"/>
    </row>
    <row r="743" spans="1:10" s="20" customFormat="1" ht="15.6" hidden="1" customHeight="1" x14ac:dyDescent="0.3">
      <c r="A743" s="150" t="s">
        <v>264</v>
      </c>
      <c r="B743" s="106"/>
      <c r="C743" s="106"/>
      <c r="D743" s="106"/>
      <c r="E743" s="107"/>
      <c r="F743" s="106"/>
      <c r="G743" s="106"/>
      <c r="H743" s="155"/>
      <c r="I743" s="155"/>
      <c r="J743" s="106"/>
    </row>
    <row r="744" spans="1:10" s="20" customFormat="1" ht="15.6" hidden="1" customHeight="1" x14ac:dyDescent="0.3">
      <c r="A744" s="150"/>
      <c r="B744" s="106"/>
      <c r="C744" s="106"/>
      <c r="D744" s="106"/>
      <c r="E744" s="107"/>
      <c r="F744" s="106"/>
      <c r="G744" s="106"/>
      <c r="H744" s="155"/>
      <c r="I744" s="155"/>
      <c r="J744" s="106"/>
    </row>
    <row r="745" spans="1:10" s="20" customFormat="1" ht="15.6" hidden="1" customHeight="1" x14ac:dyDescent="0.3">
      <c r="A745" s="150"/>
      <c r="B745" s="106"/>
      <c r="C745" s="106"/>
      <c r="D745" s="106"/>
      <c r="E745" s="107"/>
      <c r="F745" s="106"/>
      <c r="G745" s="106"/>
      <c r="H745" s="155"/>
      <c r="I745" s="155"/>
      <c r="J745" s="106"/>
    </row>
    <row r="746" spans="1:10" ht="15.6" hidden="1" customHeight="1" x14ac:dyDescent="0.3">
      <c r="A746" s="151" t="s">
        <v>265</v>
      </c>
      <c r="B746" s="106"/>
      <c r="C746" s="106"/>
      <c r="D746" s="106"/>
      <c r="E746" s="107"/>
      <c r="F746" s="106"/>
      <c r="G746" s="106"/>
      <c r="H746" s="155"/>
      <c r="I746" s="155"/>
      <c r="J746" s="106"/>
    </row>
    <row r="747" spans="1:10" ht="15.6" hidden="1" customHeight="1" x14ac:dyDescent="0.3">
      <c r="A747" s="151"/>
      <c r="B747" s="106"/>
      <c r="C747" s="106"/>
      <c r="D747" s="106"/>
      <c r="E747" s="107"/>
      <c r="F747" s="106"/>
      <c r="G747" s="106"/>
      <c r="H747" s="155"/>
      <c r="I747" s="155"/>
      <c r="J747" s="106"/>
    </row>
    <row r="748" spans="1:10" ht="15.6" hidden="1" customHeight="1" x14ac:dyDescent="0.3">
      <c r="A748" s="151"/>
      <c r="B748" s="106"/>
      <c r="C748" s="106"/>
      <c r="D748" s="106"/>
      <c r="E748" s="107"/>
      <c r="F748" s="106"/>
      <c r="G748" s="106"/>
      <c r="H748" s="155"/>
      <c r="I748" s="155"/>
      <c r="J748" s="106"/>
    </row>
    <row r="749" spans="1:10" ht="15.6" hidden="1" customHeight="1" x14ac:dyDescent="0.3">
      <c r="A749" s="151" t="s">
        <v>266</v>
      </c>
      <c r="B749" s="106"/>
      <c r="C749" s="106"/>
      <c r="D749" s="106"/>
      <c r="E749" s="107"/>
      <c r="F749" s="106"/>
      <c r="G749" s="106"/>
      <c r="H749" s="155"/>
      <c r="I749" s="155"/>
      <c r="J749" s="106"/>
    </row>
    <row r="750" spans="1:10" ht="15.6" hidden="1" customHeight="1" x14ac:dyDescent="0.3">
      <c r="A750" s="151"/>
      <c r="B750" s="106"/>
      <c r="C750" s="106"/>
      <c r="D750" s="106"/>
      <c r="E750" s="107"/>
      <c r="F750" s="106"/>
      <c r="G750" s="106"/>
      <c r="H750" s="155"/>
      <c r="I750" s="155"/>
      <c r="J750" s="106"/>
    </row>
    <row r="751" spans="1:10" ht="15.6" hidden="1" customHeight="1" x14ac:dyDescent="0.3">
      <c r="A751" s="151"/>
      <c r="B751" s="106"/>
      <c r="C751" s="106"/>
      <c r="D751" s="106"/>
      <c r="E751" s="107"/>
      <c r="F751" s="106"/>
      <c r="G751" s="106"/>
      <c r="H751" s="155"/>
      <c r="I751" s="155"/>
      <c r="J751" s="106"/>
    </row>
    <row r="752" spans="1:10" ht="15.6" hidden="1" customHeight="1" x14ac:dyDescent="0.3">
      <c r="A752" s="150" t="s">
        <v>267</v>
      </c>
      <c r="B752" s="106"/>
      <c r="C752" s="106"/>
      <c r="D752" s="116"/>
      <c r="E752" s="107"/>
      <c r="F752" s="106"/>
      <c r="G752" s="106"/>
      <c r="H752" s="155"/>
      <c r="I752" s="155"/>
      <c r="J752" s="106"/>
    </row>
    <row r="753" spans="1:10" ht="15.6" hidden="1" customHeight="1" x14ac:dyDescent="0.3">
      <c r="A753" s="150"/>
      <c r="B753" s="106"/>
      <c r="C753" s="106"/>
      <c r="D753" s="116"/>
      <c r="E753" s="107"/>
      <c r="F753" s="106"/>
      <c r="G753" s="106"/>
      <c r="H753" s="155"/>
      <c r="I753" s="155"/>
      <c r="J753" s="106"/>
    </row>
    <row r="754" spans="1:10" ht="15.6" hidden="1" customHeight="1" x14ac:dyDescent="0.3">
      <c r="A754" s="150"/>
      <c r="B754" s="106"/>
      <c r="C754" s="106"/>
      <c r="D754" s="116"/>
      <c r="E754" s="107"/>
      <c r="F754" s="106"/>
      <c r="G754" s="106"/>
      <c r="H754" s="155"/>
      <c r="I754" s="155"/>
      <c r="J754" s="106"/>
    </row>
    <row r="755" spans="1:10" ht="15.6" hidden="1" customHeight="1" x14ac:dyDescent="0.3">
      <c r="A755" s="150" t="s">
        <v>268</v>
      </c>
      <c r="B755" s="106"/>
      <c r="C755" s="106"/>
      <c r="D755" s="106"/>
      <c r="E755" s="107"/>
      <c r="F755" s="106"/>
      <c r="G755" s="106"/>
      <c r="H755" s="155"/>
      <c r="I755" s="155"/>
      <c r="J755" s="106"/>
    </row>
    <row r="756" spans="1:10" ht="15.6" hidden="1" customHeight="1" x14ac:dyDescent="0.3">
      <c r="A756" s="150"/>
      <c r="B756" s="106"/>
      <c r="C756" s="106"/>
      <c r="D756" s="106"/>
      <c r="E756" s="107"/>
      <c r="F756" s="106"/>
      <c r="G756" s="106"/>
      <c r="H756" s="155"/>
      <c r="I756" s="155"/>
      <c r="J756" s="106"/>
    </row>
    <row r="757" spans="1:10" ht="15.6" hidden="1" customHeight="1" x14ac:dyDescent="0.3">
      <c r="A757" s="150"/>
      <c r="B757" s="106"/>
      <c r="C757" s="106"/>
      <c r="D757" s="106"/>
      <c r="E757" s="107"/>
      <c r="F757" s="106"/>
      <c r="G757" s="106"/>
      <c r="H757" s="155"/>
      <c r="I757" s="155"/>
      <c r="J757" s="106"/>
    </row>
    <row r="758" spans="1:10" ht="15.6" hidden="1" customHeight="1" x14ac:dyDescent="0.3">
      <c r="A758" s="150" t="s">
        <v>269</v>
      </c>
      <c r="B758" s="108"/>
      <c r="C758" s="108"/>
      <c r="D758" s="108"/>
      <c r="E758" s="115"/>
      <c r="F758" s="108"/>
      <c r="G758" s="108"/>
      <c r="H758" s="155"/>
      <c r="I758" s="155"/>
      <c r="J758" s="108"/>
    </row>
    <row r="759" spans="1:10" ht="15.6" hidden="1" customHeight="1" x14ac:dyDescent="0.3">
      <c r="A759" s="150"/>
      <c r="B759" s="108"/>
      <c r="C759" s="108"/>
      <c r="D759" s="108"/>
      <c r="E759" s="115"/>
      <c r="F759" s="108"/>
      <c r="G759" s="108"/>
      <c r="H759" s="155"/>
      <c r="I759" s="155"/>
      <c r="J759" s="108"/>
    </row>
    <row r="760" spans="1:10" ht="15.6" hidden="1" customHeight="1" x14ac:dyDescent="0.3">
      <c r="A760" s="150"/>
      <c r="B760" s="108"/>
      <c r="C760" s="108"/>
      <c r="D760" s="108"/>
      <c r="E760" s="115"/>
      <c r="F760" s="108"/>
      <c r="G760" s="108"/>
      <c r="H760" s="155"/>
      <c r="I760" s="155"/>
      <c r="J760" s="108"/>
    </row>
    <row r="761" spans="1:10" ht="15.6" hidden="1" customHeight="1" x14ac:dyDescent="0.3">
      <c r="A761" s="150" t="s">
        <v>270</v>
      </c>
      <c r="B761" s="108"/>
      <c r="C761" s="106"/>
      <c r="D761" s="108"/>
      <c r="E761" s="107"/>
      <c r="F761" s="106"/>
      <c r="G761" s="108"/>
      <c r="H761" s="155"/>
      <c r="I761" s="155"/>
      <c r="J761" s="108"/>
    </row>
    <row r="762" spans="1:10" ht="15.6" hidden="1" customHeight="1" x14ac:dyDescent="0.3">
      <c r="A762" s="150"/>
      <c r="B762" s="108"/>
      <c r="C762" s="106"/>
      <c r="D762" s="108"/>
      <c r="E762" s="107"/>
      <c r="F762" s="106"/>
      <c r="G762" s="108"/>
      <c r="H762" s="155"/>
      <c r="I762" s="155"/>
      <c r="J762" s="108"/>
    </row>
    <row r="763" spans="1:10" ht="15.6" hidden="1" customHeight="1" x14ac:dyDescent="0.3">
      <c r="A763" s="150"/>
      <c r="B763" s="108"/>
      <c r="C763" s="106"/>
      <c r="D763" s="108"/>
      <c r="E763" s="107"/>
      <c r="F763" s="106"/>
      <c r="G763" s="108"/>
      <c r="H763" s="155"/>
      <c r="I763" s="155"/>
      <c r="J763" s="108"/>
    </row>
    <row r="764" spans="1:10" ht="15.6" hidden="1" customHeight="1" x14ac:dyDescent="0.3">
      <c r="A764" s="150" t="s">
        <v>270</v>
      </c>
      <c r="B764" s="108"/>
      <c r="C764" s="108"/>
      <c r="D764" s="108"/>
      <c r="E764" s="115"/>
      <c r="F764" s="108"/>
      <c r="G764" s="108"/>
      <c r="H764" s="155"/>
      <c r="I764" s="155"/>
      <c r="J764" s="108"/>
    </row>
    <row r="765" spans="1:10" ht="15.6" hidden="1" customHeight="1" x14ac:dyDescent="0.3">
      <c r="A765" s="150"/>
      <c r="B765" s="108"/>
      <c r="C765" s="108"/>
      <c r="D765" s="108"/>
      <c r="E765" s="115"/>
      <c r="F765" s="108"/>
      <c r="G765" s="108"/>
      <c r="H765" s="155"/>
      <c r="I765" s="155"/>
      <c r="J765" s="108"/>
    </row>
    <row r="766" spans="1:10" ht="15.6" hidden="1" customHeight="1" x14ac:dyDescent="0.3">
      <c r="A766" s="150"/>
      <c r="B766" s="108"/>
      <c r="C766" s="108"/>
      <c r="D766" s="108"/>
      <c r="E766" s="115"/>
      <c r="F766" s="108"/>
      <c r="G766" s="108"/>
      <c r="H766" s="155"/>
      <c r="I766" s="155"/>
      <c r="J766" s="108"/>
    </row>
    <row r="767" spans="1:10" s="20" customFormat="1" ht="15.6" hidden="1" customHeight="1" x14ac:dyDescent="0.3">
      <c r="A767" s="150" t="s">
        <v>271</v>
      </c>
      <c r="B767" s="108"/>
      <c r="C767" s="108"/>
      <c r="D767" s="108"/>
      <c r="E767" s="108"/>
      <c r="F767" s="108"/>
      <c r="G767" s="108"/>
      <c r="H767" s="155"/>
      <c r="I767" s="155"/>
      <c r="J767" s="108"/>
    </row>
    <row r="768" spans="1:10" s="20" customFormat="1" ht="15.6" hidden="1" customHeight="1" x14ac:dyDescent="0.3">
      <c r="A768" s="150"/>
      <c r="B768" s="108"/>
      <c r="C768" s="108"/>
      <c r="D768" s="108"/>
      <c r="E768" s="108"/>
      <c r="F768" s="108"/>
      <c r="G768" s="108"/>
      <c r="H768" s="155"/>
      <c r="I768" s="155"/>
      <c r="J768" s="108"/>
    </row>
    <row r="769" spans="1:10" s="20" customFormat="1" ht="15.6" hidden="1" customHeight="1" x14ac:dyDescent="0.3">
      <c r="A769" s="150"/>
      <c r="B769" s="108"/>
      <c r="C769" s="108"/>
      <c r="D769" s="108"/>
      <c r="E769" s="108"/>
      <c r="F769" s="108"/>
      <c r="G769" s="108"/>
      <c r="H769" s="155"/>
      <c r="I769" s="155"/>
      <c r="J769" s="108"/>
    </row>
    <row r="770" spans="1:10" ht="15.6" hidden="1" customHeight="1" x14ac:dyDescent="0.3">
      <c r="A770" s="150" t="s">
        <v>272</v>
      </c>
      <c r="B770" s="106"/>
      <c r="C770" s="106"/>
      <c r="D770" s="106"/>
      <c r="E770" s="121"/>
      <c r="F770" s="106"/>
      <c r="G770" s="106"/>
      <c r="H770" s="155"/>
      <c r="I770" s="155"/>
      <c r="J770" s="106"/>
    </row>
    <row r="771" spans="1:10" ht="15.6" hidden="1" customHeight="1" x14ac:dyDescent="0.3">
      <c r="A771" s="150"/>
      <c r="B771" s="106"/>
      <c r="C771" s="106"/>
      <c r="D771" s="106"/>
      <c r="E771" s="121"/>
      <c r="F771" s="106"/>
      <c r="G771" s="106"/>
      <c r="H771" s="155"/>
      <c r="I771" s="155"/>
      <c r="J771" s="106"/>
    </row>
    <row r="772" spans="1:10" ht="15.6" hidden="1" customHeight="1" x14ac:dyDescent="0.3">
      <c r="A772" s="150"/>
      <c r="B772" s="106"/>
      <c r="C772" s="106"/>
      <c r="D772" s="106"/>
      <c r="E772" s="121"/>
      <c r="F772" s="106"/>
      <c r="G772" s="106"/>
      <c r="H772" s="155"/>
      <c r="I772" s="155"/>
      <c r="J772" s="106"/>
    </row>
    <row r="773" spans="1:10" ht="15.6" hidden="1" customHeight="1" x14ac:dyDescent="0.3">
      <c r="A773" s="150" t="s">
        <v>273</v>
      </c>
      <c r="B773" s="106"/>
      <c r="C773" s="106"/>
      <c r="D773" s="106"/>
      <c r="E773" s="107"/>
      <c r="F773" s="106"/>
      <c r="G773" s="106"/>
      <c r="H773" s="155"/>
      <c r="I773" s="155"/>
      <c r="J773" s="106"/>
    </row>
    <row r="774" spans="1:10" ht="15.6" hidden="1" customHeight="1" x14ac:dyDescent="0.3">
      <c r="A774" s="150"/>
      <c r="B774" s="106"/>
      <c r="C774" s="106"/>
      <c r="D774" s="106"/>
      <c r="E774" s="107"/>
      <c r="F774" s="106"/>
      <c r="G774" s="106"/>
      <c r="H774" s="155"/>
      <c r="I774" s="155"/>
      <c r="J774" s="106"/>
    </row>
    <row r="775" spans="1:10" ht="15.6" hidden="1" customHeight="1" x14ac:dyDescent="0.3">
      <c r="A775" s="150"/>
      <c r="B775" s="106"/>
      <c r="C775" s="106"/>
      <c r="D775" s="106"/>
      <c r="E775" s="107"/>
      <c r="F775" s="106"/>
      <c r="G775" s="106"/>
      <c r="H775" s="155"/>
      <c r="I775" s="155"/>
      <c r="J775" s="106"/>
    </row>
    <row r="776" spans="1:10" ht="15.6" hidden="1" customHeight="1" x14ac:dyDescent="0.3">
      <c r="A776" s="110" t="s">
        <v>274</v>
      </c>
      <c r="B776" s="106"/>
      <c r="C776" s="106" t="s">
        <v>541</v>
      </c>
      <c r="D776" s="106"/>
      <c r="E776" s="107">
        <v>46136</v>
      </c>
      <c r="F776" s="106" t="s">
        <v>490</v>
      </c>
      <c r="G776" s="106"/>
      <c r="H776" s="155"/>
      <c r="I776" s="155"/>
      <c r="J776" s="106"/>
    </row>
    <row r="777" spans="1:10" ht="15.6" hidden="1" customHeight="1" x14ac:dyDescent="0.3">
      <c r="A777" s="110" t="s">
        <v>274</v>
      </c>
      <c r="B777" s="106"/>
      <c r="C777" s="106"/>
      <c r="D777" s="106"/>
      <c r="E777" s="107"/>
      <c r="F777" s="106"/>
      <c r="G777" s="106"/>
      <c r="H777" s="155"/>
      <c r="I777" s="155"/>
      <c r="J777" s="106"/>
    </row>
    <row r="778" spans="1:10" ht="15.6" hidden="1" customHeight="1" x14ac:dyDescent="0.3">
      <c r="A778" s="110" t="s">
        <v>274</v>
      </c>
      <c r="B778" s="106"/>
      <c r="C778" s="106"/>
      <c r="D778" s="106"/>
      <c r="E778" s="107"/>
      <c r="F778" s="106"/>
      <c r="G778" s="106"/>
      <c r="H778" s="155"/>
      <c r="I778" s="155"/>
      <c r="J778" s="106"/>
    </row>
    <row r="779" spans="1:10" ht="15.6" hidden="1" customHeight="1" x14ac:dyDescent="0.3">
      <c r="A779" s="109" t="s">
        <v>275</v>
      </c>
      <c r="B779" s="116"/>
      <c r="C779" s="106"/>
      <c r="D779" s="106"/>
      <c r="E779" s="107"/>
      <c r="F779" s="106"/>
      <c r="G779" s="106"/>
      <c r="H779" s="155"/>
      <c r="I779" s="155"/>
      <c r="J779" s="106"/>
    </row>
    <row r="780" spans="1:10" ht="15.6" hidden="1" customHeight="1" x14ac:dyDescent="0.3">
      <c r="A780" s="109" t="s">
        <v>275</v>
      </c>
      <c r="B780" s="116"/>
      <c r="C780" s="106"/>
      <c r="D780" s="106"/>
      <c r="E780" s="107"/>
      <c r="F780" s="106"/>
      <c r="G780" s="106"/>
      <c r="H780" s="155"/>
      <c r="I780" s="155"/>
      <c r="J780" s="106"/>
    </row>
    <row r="781" spans="1:10" ht="15.6" hidden="1" customHeight="1" x14ac:dyDescent="0.3">
      <c r="A781" s="109" t="s">
        <v>275</v>
      </c>
      <c r="B781" s="116"/>
      <c r="C781" s="106"/>
      <c r="D781" s="106"/>
      <c r="E781" s="107"/>
      <c r="F781" s="106"/>
      <c r="G781" s="106"/>
      <c r="H781" s="155"/>
      <c r="I781" s="155"/>
      <c r="J781" s="106"/>
    </row>
    <row r="782" spans="1:10" ht="15.6" hidden="1" customHeight="1" x14ac:dyDescent="0.3">
      <c r="A782" s="151" t="s">
        <v>276</v>
      </c>
      <c r="B782" s="106"/>
      <c r="C782" s="106"/>
      <c r="D782" s="106"/>
      <c r="E782" s="107"/>
      <c r="F782" s="106"/>
      <c r="G782" s="106"/>
      <c r="H782" s="155"/>
      <c r="I782" s="155"/>
      <c r="J782" s="106"/>
    </row>
    <row r="783" spans="1:10" ht="15.6" hidden="1" customHeight="1" x14ac:dyDescent="0.3">
      <c r="A783" s="151"/>
      <c r="B783" s="106"/>
      <c r="C783" s="106"/>
      <c r="D783" s="106"/>
      <c r="E783" s="107"/>
      <c r="F783" s="106"/>
      <c r="G783" s="106"/>
      <c r="H783" s="155"/>
      <c r="I783" s="155"/>
      <c r="J783" s="106"/>
    </row>
    <row r="784" spans="1:10" ht="15.6" hidden="1" customHeight="1" x14ac:dyDescent="0.3">
      <c r="A784" s="151"/>
      <c r="B784" s="106"/>
      <c r="C784" s="106"/>
      <c r="D784" s="106"/>
      <c r="E784" s="107"/>
      <c r="F784" s="106"/>
      <c r="G784" s="106"/>
      <c r="H784" s="155"/>
      <c r="I784" s="155"/>
      <c r="J784" s="106"/>
    </row>
    <row r="785" spans="1:10" ht="15.6" hidden="1" customHeight="1" x14ac:dyDescent="0.3">
      <c r="A785" s="150" t="s">
        <v>277</v>
      </c>
      <c r="B785" s="106"/>
      <c r="C785" s="106"/>
      <c r="D785" s="106"/>
      <c r="E785" s="107"/>
      <c r="F785" s="106"/>
      <c r="G785" s="106"/>
      <c r="H785" s="155"/>
      <c r="I785" s="155"/>
      <c r="J785" s="106"/>
    </row>
    <row r="786" spans="1:10" ht="15.6" hidden="1" customHeight="1" x14ac:dyDescent="0.3">
      <c r="A786" s="150"/>
      <c r="B786" s="106"/>
      <c r="C786" s="106"/>
      <c r="D786" s="106"/>
      <c r="E786" s="107"/>
      <c r="F786" s="106"/>
      <c r="G786" s="106"/>
      <c r="H786" s="155"/>
      <c r="I786" s="155"/>
      <c r="J786" s="106"/>
    </row>
    <row r="787" spans="1:10" ht="15.6" hidden="1" customHeight="1" x14ac:dyDescent="0.3">
      <c r="A787" s="150"/>
      <c r="B787" s="106"/>
      <c r="C787" s="106"/>
      <c r="D787" s="106"/>
      <c r="E787" s="107"/>
      <c r="F787" s="106"/>
      <c r="G787" s="106"/>
      <c r="H787" s="155"/>
      <c r="I787" s="155"/>
      <c r="J787" s="106"/>
    </row>
    <row r="788" spans="1:10" ht="15.6" hidden="1" customHeight="1" x14ac:dyDescent="0.3">
      <c r="A788" s="151" t="s">
        <v>278</v>
      </c>
      <c r="B788" s="106"/>
      <c r="C788" s="106"/>
      <c r="D788" s="106"/>
      <c r="E788" s="107"/>
      <c r="F788" s="106"/>
      <c r="G788" s="106"/>
      <c r="H788" s="155"/>
      <c r="I788" s="155"/>
      <c r="J788" s="106"/>
    </row>
    <row r="789" spans="1:10" ht="15.6" hidden="1" customHeight="1" x14ac:dyDescent="0.3">
      <c r="A789" s="151"/>
      <c r="B789" s="106"/>
      <c r="C789" s="106"/>
      <c r="D789" s="106"/>
      <c r="E789" s="107"/>
      <c r="F789" s="106"/>
      <c r="G789" s="106"/>
      <c r="H789" s="155"/>
      <c r="I789" s="155"/>
      <c r="J789" s="106"/>
    </row>
    <row r="790" spans="1:10" ht="15.6" hidden="1" customHeight="1" x14ac:dyDescent="0.3">
      <c r="A790" s="151"/>
      <c r="B790" s="106"/>
      <c r="C790" s="106"/>
      <c r="D790" s="106"/>
      <c r="E790" s="107"/>
      <c r="F790" s="106"/>
      <c r="G790" s="106"/>
      <c r="H790" s="155"/>
      <c r="I790" s="155"/>
      <c r="J790" s="106"/>
    </row>
    <row r="791" spans="1:10" ht="15.6" hidden="1" customHeight="1" x14ac:dyDescent="0.3">
      <c r="A791" s="151" t="s">
        <v>279</v>
      </c>
      <c r="B791" s="106"/>
      <c r="C791" s="106"/>
      <c r="D791" s="106"/>
      <c r="E791" s="107"/>
      <c r="F791" s="106"/>
      <c r="G791" s="106"/>
      <c r="H791" s="155"/>
      <c r="I791" s="155"/>
      <c r="J791" s="106"/>
    </row>
    <row r="792" spans="1:10" ht="15.6" hidden="1" customHeight="1" x14ac:dyDescent="0.3">
      <c r="A792" s="151"/>
      <c r="B792" s="106"/>
      <c r="C792" s="106"/>
      <c r="D792" s="106"/>
      <c r="E792" s="107"/>
      <c r="F792" s="106"/>
      <c r="G792" s="106"/>
      <c r="H792" s="155"/>
      <c r="I792" s="155"/>
      <c r="J792" s="106"/>
    </row>
    <row r="793" spans="1:10" ht="15.6" hidden="1" customHeight="1" x14ac:dyDescent="0.3">
      <c r="A793" s="151"/>
      <c r="B793" s="106"/>
      <c r="C793" s="106"/>
      <c r="D793" s="106"/>
      <c r="E793" s="107"/>
      <c r="F793" s="106"/>
      <c r="G793" s="106"/>
      <c r="H793" s="155"/>
      <c r="I793" s="155"/>
      <c r="J793" s="106"/>
    </row>
    <row r="794" spans="1:10" ht="15.6" hidden="1" customHeight="1" x14ac:dyDescent="0.3">
      <c r="A794" s="150" t="s">
        <v>280</v>
      </c>
      <c r="B794" s="106"/>
      <c r="C794" s="106"/>
      <c r="D794" s="106"/>
      <c r="E794" s="107"/>
      <c r="F794" s="106"/>
      <c r="G794" s="106"/>
      <c r="H794" s="155"/>
      <c r="I794" s="155"/>
      <c r="J794" s="106"/>
    </row>
    <row r="795" spans="1:10" ht="15.6" hidden="1" customHeight="1" x14ac:dyDescent="0.3">
      <c r="A795" s="150"/>
      <c r="B795" s="106"/>
      <c r="C795" s="106"/>
      <c r="D795" s="106"/>
      <c r="E795" s="107"/>
      <c r="F795" s="106"/>
      <c r="G795" s="106"/>
      <c r="H795" s="155"/>
      <c r="I795" s="155"/>
      <c r="J795" s="106"/>
    </row>
    <row r="796" spans="1:10" ht="15.6" hidden="1" customHeight="1" x14ac:dyDescent="0.3">
      <c r="A796" s="150"/>
      <c r="B796" s="106"/>
      <c r="C796" s="106"/>
      <c r="D796" s="106"/>
      <c r="E796" s="107"/>
      <c r="F796" s="106"/>
      <c r="G796" s="106"/>
      <c r="H796" s="155"/>
      <c r="I796" s="155"/>
      <c r="J796" s="106"/>
    </row>
    <row r="797" spans="1:10" ht="15.6" hidden="1" customHeight="1" x14ac:dyDescent="0.3">
      <c r="A797" s="150" t="s">
        <v>281</v>
      </c>
      <c r="B797" s="106"/>
      <c r="C797" s="106"/>
      <c r="D797" s="106"/>
      <c r="E797" s="107"/>
      <c r="F797" s="106"/>
      <c r="G797" s="106"/>
      <c r="H797" s="155"/>
      <c r="I797" s="155"/>
      <c r="J797" s="106"/>
    </row>
    <row r="798" spans="1:10" ht="15.6" hidden="1" customHeight="1" x14ac:dyDescent="0.3">
      <c r="A798" s="150"/>
      <c r="B798" s="106"/>
      <c r="C798" s="106"/>
      <c r="D798" s="106"/>
      <c r="E798" s="107"/>
      <c r="F798" s="106"/>
      <c r="G798" s="106"/>
      <c r="H798" s="155"/>
      <c r="I798" s="155"/>
      <c r="J798" s="106"/>
    </row>
    <row r="799" spans="1:10" ht="15.6" hidden="1" customHeight="1" x14ac:dyDescent="0.3">
      <c r="A799" s="150"/>
      <c r="B799" s="106"/>
      <c r="C799" s="106"/>
      <c r="D799" s="106"/>
      <c r="E799" s="107"/>
      <c r="F799" s="106"/>
      <c r="G799" s="106"/>
      <c r="H799" s="155"/>
      <c r="I799" s="155"/>
      <c r="J799" s="106"/>
    </row>
    <row r="800" spans="1:10" ht="15.6" hidden="1" customHeight="1" x14ac:dyDescent="0.3">
      <c r="A800" s="150" t="s">
        <v>282</v>
      </c>
      <c r="B800" s="106"/>
      <c r="C800" s="106"/>
      <c r="D800" s="106"/>
      <c r="E800" s="107"/>
      <c r="F800" s="106"/>
      <c r="G800" s="106"/>
      <c r="H800" s="155"/>
      <c r="I800" s="155"/>
      <c r="J800" s="106"/>
    </row>
    <row r="801" spans="1:10" ht="15.6" hidden="1" customHeight="1" x14ac:dyDescent="0.3">
      <c r="A801" s="150"/>
      <c r="B801" s="106"/>
      <c r="C801" s="106"/>
      <c r="D801" s="106"/>
      <c r="E801" s="107"/>
      <c r="F801" s="106"/>
      <c r="G801" s="106"/>
      <c r="H801" s="155"/>
      <c r="I801" s="155"/>
      <c r="J801" s="106"/>
    </row>
    <row r="802" spans="1:10" ht="15.6" hidden="1" customHeight="1" x14ac:dyDescent="0.3">
      <c r="A802" s="150"/>
      <c r="B802" s="106"/>
      <c r="C802" s="106"/>
      <c r="D802" s="106"/>
      <c r="E802" s="107"/>
      <c r="F802" s="106"/>
      <c r="G802" s="106"/>
      <c r="H802" s="155"/>
      <c r="I802" s="155"/>
      <c r="J802" s="106"/>
    </row>
    <row r="803" spans="1:10" ht="15.6" hidden="1" customHeight="1" x14ac:dyDescent="0.3">
      <c r="A803" s="150" t="s">
        <v>283</v>
      </c>
      <c r="B803" s="108"/>
      <c r="C803" s="108"/>
      <c r="D803" s="108"/>
      <c r="E803" s="115"/>
      <c r="F803" s="108"/>
      <c r="G803" s="108"/>
      <c r="H803" s="155"/>
      <c r="I803" s="155"/>
      <c r="J803" s="108"/>
    </row>
    <row r="804" spans="1:10" ht="15.6" hidden="1" customHeight="1" x14ac:dyDescent="0.3">
      <c r="A804" s="150"/>
      <c r="B804" s="108"/>
      <c r="C804" s="108"/>
      <c r="D804" s="108"/>
      <c r="E804" s="115"/>
      <c r="F804" s="108"/>
      <c r="G804" s="108"/>
      <c r="H804" s="155"/>
      <c r="I804" s="155"/>
      <c r="J804" s="108"/>
    </row>
    <row r="805" spans="1:10" ht="15.6" hidden="1" customHeight="1" x14ac:dyDescent="0.3">
      <c r="A805" s="150"/>
      <c r="B805" s="108"/>
      <c r="C805" s="108"/>
      <c r="D805" s="108"/>
      <c r="E805" s="115"/>
      <c r="F805" s="108"/>
      <c r="G805" s="108"/>
      <c r="H805" s="155"/>
      <c r="I805" s="155"/>
      <c r="J805" s="108"/>
    </row>
    <row r="806" spans="1:10" ht="15.6" hidden="1" customHeight="1" x14ac:dyDescent="0.3">
      <c r="A806" s="150" t="s">
        <v>284</v>
      </c>
      <c r="B806" s="108"/>
      <c r="C806" s="108"/>
      <c r="D806" s="108"/>
      <c r="E806" s="108"/>
      <c r="F806" s="108"/>
      <c r="G806" s="108"/>
      <c r="H806" s="155"/>
      <c r="I806" s="155"/>
      <c r="J806" s="108"/>
    </row>
    <row r="807" spans="1:10" ht="15.6" hidden="1" customHeight="1" x14ac:dyDescent="0.3">
      <c r="A807" s="150"/>
      <c r="B807" s="108"/>
      <c r="C807" s="108"/>
      <c r="D807" s="108"/>
      <c r="E807" s="108"/>
      <c r="F807" s="108"/>
      <c r="G807" s="108"/>
      <c r="H807" s="155"/>
      <c r="I807" s="155"/>
      <c r="J807" s="108"/>
    </row>
    <row r="808" spans="1:10" ht="15.6" hidden="1" customHeight="1" x14ac:dyDescent="0.3">
      <c r="A808" s="150"/>
      <c r="B808" s="108"/>
      <c r="C808" s="108"/>
      <c r="D808" s="108"/>
      <c r="E808" s="108"/>
      <c r="F808" s="108"/>
      <c r="G808" s="108"/>
      <c r="H808" s="155"/>
      <c r="I808" s="155"/>
      <c r="J808" s="108"/>
    </row>
    <row r="809" spans="1:10" ht="15.6" customHeight="1" x14ac:dyDescent="0.3">
      <c r="A809" s="109" t="s">
        <v>285</v>
      </c>
      <c r="B809" s="106"/>
      <c r="C809" s="141" t="s">
        <v>530</v>
      </c>
      <c r="D809" s="106"/>
      <c r="E809" s="107">
        <v>46128</v>
      </c>
      <c r="F809" s="106" t="s">
        <v>490</v>
      </c>
      <c r="G809" s="106"/>
      <c r="H809" s="155"/>
      <c r="I809" s="155"/>
      <c r="J809" s="106">
        <v>16</v>
      </c>
    </row>
    <row r="810" spans="1:10" ht="15.6" hidden="1" customHeight="1" x14ac:dyDescent="0.3">
      <c r="A810" s="109" t="s">
        <v>285</v>
      </c>
      <c r="B810" s="106"/>
      <c r="C810" s="106"/>
      <c r="D810" s="106"/>
      <c r="E810" s="107"/>
      <c r="F810" s="106"/>
      <c r="G810" s="106"/>
      <c r="H810" s="155"/>
      <c r="I810" s="155"/>
      <c r="J810" s="106"/>
    </row>
    <row r="811" spans="1:10" ht="15.6" hidden="1" customHeight="1" x14ac:dyDescent="0.3">
      <c r="A811" s="109" t="s">
        <v>285</v>
      </c>
      <c r="B811" s="106"/>
      <c r="C811" s="106"/>
      <c r="D811" s="106"/>
      <c r="E811" s="107"/>
      <c r="F811" s="106"/>
      <c r="G811" s="106"/>
      <c r="H811" s="155"/>
      <c r="I811" s="155"/>
      <c r="J811" s="106"/>
    </row>
    <row r="812" spans="1:10" ht="15.6" hidden="1" customHeight="1" x14ac:dyDescent="0.3">
      <c r="A812" s="150" t="s">
        <v>286</v>
      </c>
      <c r="B812" s="108"/>
      <c r="C812" s="106"/>
      <c r="D812" s="108"/>
      <c r="E812" s="115"/>
      <c r="F812" s="106"/>
      <c r="G812" s="108"/>
      <c r="H812" s="155"/>
      <c r="I812" s="155"/>
      <c r="J812" s="108"/>
    </row>
    <row r="813" spans="1:10" ht="15.6" hidden="1" customHeight="1" x14ac:dyDescent="0.3">
      <c r="A813" s="150"/>
      <c r="B813" s="108"/>
      <c r="C813" s="106"/>
      <c r="D813" s="108"/>
      <c r="E813" s="115"/>
      <c r="F813" s="106"/>
      <c r="G813" s="108"/>
      <c r="H813" s="155"/>
      <c r="I813" s="155"/>
      <c r="J813" s="108"/>
    </row>
    <row r="814" spans="1:10" ht="15.6" hidden="1" customHeight="1" x14ac:dyDescent="0.3">
      <c r="A814" s="150"/>
      <c r="B814" s="108"/>
      <c r="C814" s="106"/>
      <c r="D814" s="108"/>
      <c r="E814" s="115"/>
      <c r="F814" s="106"/>
      <c r="G814" s="108"/>
      <c r="H814" s="155"/>
      <c r="I814" s="155"/>
      <c r="J814" s="108"/>
    </row>
    <row r="815" spans="1:10" ht="15.6" hidden="1" customHeight="1" x14ac:dyDescent="0.3">
      <c r="A815" s="150" t="s">
        <v>287</v>
      </c>
      <c r="B815" s="106"/>
      <c r="C815" s="106"/>
      <c r="D815" s="106"/>
      <c r="E815" s="107"/>
      <c r="F815" s="106"/>
      <c r="G815" s="106"/>
      <c r="H815" s="155"/>
      <c r="I815" s="155"/>
      <c r="J815" s="106"/>
    </row>
    <row r="816" spans="1:10" ht="15.6" hidden="1" customHeight="1" x14ac:dyDescent="0.3">
      <c r="A816" s="150"/>
      <c r="B816" s="106"/>
      <c r="C816" s="106"/>
      <c r="D816" s="106"/>
      <c r="E816" s="107"/>
      <c r="F816" s="106"/>
      <c r="G816" s="106"/>
      <c r="H816" s="155"/>
      <c r="I816" s="155"/>
      <c r="J816" s="106"/>
    </row>
    <row r="817" spans="1:10" ht="15.6" hidden="1" customHeight="1" x14ac:dyDescent="0.3">
      <c r="A817" s="150"/>
      <c r="B817" s="106"/>
      <c r="C817" s="106"/>
      <c r="D817" s="106"/>
      <c r="E817" s="107"/>
      <c r="F817" s="106"/>
      <c r="G817" s="106"/>
      <c r="H817" s="155"/>
      <c r="I817" s="155"/>
      <c r="J817" s="106"/>
    </row>
    <row r="818" spans="1:10" ht="15.6" hidden="1" customHeight="1" x14ac:dyDescent="0.3">
      <c r="A818" s="150" t="s">
        <v>288</v>
      </c>
      <c r="B818" s="106"/>
      <c r="C818" s="106"/>
      <c r="D818" s="106"/>
      <c r="E818" s="107"/>
      <c r="F818" s="106"/>
      <c r="G818" s="106"/>
      <c r="H818" s="155"/>
      <c r="I818" s="155"/>
      <c r="J818" s="106"/>
    </row>
    <row r="819" spans="1:10" ht="15.6" hidden="1" customHeight="1" x14ac:dyDescent="0.3">
      <c r="A819" s="150"/>
      <c r="B819" s="106"/>
      <c r="C819" s="106"/>
      <c r="D819" s="106"/>
      <c r="E819" s="107"/>
      <c r="F819" s="106"/>
      <c r="G819" s="106"/>
      <c r="H819" s="155"/>
      <c r="I819" s="155"/>
      <c r="J819" s="106"/>
    </row>
    <row r="820" spans="1:10" ht="15.6" hidden="1" customHeight="1" x14ac:dyDescent="0.3">
      <c r="A820" s="150"/>
      <c r="B820" s="106"/>
      <c r="C820" s="106"/>
      <c r="D820" s="106"/>
      <c r="E820" s="107"/>
      <c r="F820" s="106"/>
      <c r="G820" s="106"/>
      <c r="H820" s="155"/>
      <c r="I820" s="155"/>
      <c r="J820" s="106"/>
    </row>
    <row r="821" spans="1:10" ht="15.6" hidden="1" customHeight="1" x14ac:dyDescent="0.3">
      <c r="A821" s="111" t="s">
        <v>289</v>
      </c>
      <c r="B821" s="106"/>
      <c r="C821" s="106"/>
      <c r="D821" s="106"/>
      <c r="E821" s="107"/>
      <c r="F821" s="106"/>
      <c r="G821" s="106"/>
      <c r="H821" s="155"/>
      <c r="I821" s="155"/>
      <c r="J821" s="106"/>
    </row>
    <row r="822" spans="1:10" ht="15.6" hidden="1" customHeight="1" x14ac:dyDescent="0.3">
      <c r="A822" s="111" t="s">
        <v>289</v>
      </c>
      <c r="B822" s="106"/>
      <c r="C822" s="106"/>
      <c r="D822" s="106"/>
      <c r="E822" s="107"/>
      <c r="F822" s="106"/>
      <c r="G822" s="106"/>
      <c r="H822" s="155"/>
      <c r="I822" s="155"/>
      <c r="J822" s="106"/>
    </row>
    <row r="823" spans="1:10" ht="15.6" hidden="1" customHeight="1" x14ac:dyDescent="0.3">
      <c r="A823" s="111" t="s">
        <v>289</v>
      </c>
      <c r="B823" s="106"/>
      <c r="C823" s="106"/>
      <c r="D823" s="106"/>
      <c r="E823" s="107"/>
      <c r="F823" s="106"/>
      <c r="G823" s="106"/>
      <c r="H823" s="155"/>
      <c r="I823" s="155"/>
      <c r="J823" s="106"/>
    </row>
    <row r="824" spans="1:10" ht="15.6" hidden="1" customHeight="1" x14ac:dyDescent="0.3">
      <c r="A824" s="111" t="s">
        <v>289</v>
      </c>
      <c r="B824" s="106"/>
      <c r="C824" s="106"/>
      <c r="D824" s="106"/>
      <c r="E824" s="107"/>
      <c r="F824" s="106"/>
      <c r="G824" s="106"/>
      <c r="H824" s="155"/>
      <c r="I824" s="155"/>
      <c r="J824" s="106"/>
    </row>
    <row r="825" spans="1:10" ht="15.6" hidden="1" customHeight="1" x14ac:dyDescent="0.3">
      <c r="A825" s="111" t="s">
        <v>289</v>
      </c>
      <c r="B825" s="106"/>
      <c r="C825" s="106"/>
      <c r="D825" s="106"/>
      <c r="E825" s="107"/>
      <c r="F825" s="106"/>
      <c r="G825" s="106"/>
      <c r="H825" s="155"/>
      <c r="I825" s="155"/>
      <c r="J825" s="106"/>
    </row>
    <row r="826" spans="1:10" ht="14.4" hidden="1" customHeight="1" x14ac:dyDescent="0.3">
      <c r="A826" s="150" t="s">
        <v>289</v>
      </c>
      <c r="B826" s="106"/>
      <c r="C826" s="106"/>
      <c r="D826" s="106"/>
      <c r="E826" s="107"/>
      <c r="F826" s="106"/>
      <c r="G826" s="106"/>
      <c r="H826" s="155"/>
      <c r="I826" s="155"/>
      <c r="J826" s="106"/>
    </row>
    <row r="827" spans="1:10" ht="15.6" hidden="1" customHeight="1" x14ac:dyDescent="0.3">
      <c r="A827" s="150"/>
      <c r="B827" s="106"/>
      <c r="C827" s="106"/>
      <c r="D827" s="106"/>
      <c r="E827" s="107"/>
      <c r="F827" s="106"/>
      <c r="G827" s="106"/>
      <c r="H827" s="155"/>
      <c r="I827" s="155"/>
      <c r="J827" s="106"/>
    </row>
    <row r="828" spans="1:10" ht="15.6" hidden="1" customHeight="1" x14ac:dyDescent="0.3">
      <c r="A828" s="150"/>
      <c r="B828" s="106"/>
      <c r="C828" s="106"/>
      <c r="D828" s="106"/>
      <c r="E828" s="107"/>
      <c r="F828" s="106"/>
      <c r="G828" s="106"/>
      <c r="H828" s="155"/>
      <c r="I828" s="155"/>
      <c r="J828" s="106"/>
    </row>
    <row r="829" spans="1:10" ht="15.6" hidden="1" customHeight="1" x14ac:dyDescent="0.3">
      <c r="A829" s="151" t="s">
        <v>290</v>
      </c>
      <c r="B829" s="122"/>
      <c r="C829" s="23"/>
      <c r="D829" s="23"/>
      <c r="E829" s="120"/>
      <c r="F829" s="23"/>
      <c r="G829" s="23"/>
      <c r="H829" s="155"/>
      <c r="I829" s="155"/>
      <c r="J829" s="23"/>
    </row>
    <row r="830" spans="1:10" ht="15.6" hidden="1" customHeight="1" x14ac:dyDescent="0.3">
      <c r="A830" s="151"/>
      <c r="B830" s="122"/>
      <c r="C830" s="23"/>
      <c r="D830" s="23"/>
      <c r="E830" s="120"/>
      <c r="F830" s="23"/>
      <c r="G830" s="23"/>
      <c r="H830" s="155"/>
      <c r="I830" s="155"/>
      <c r="J830" s="23"/>
    </row>
    <row r="831" spans="1:10" ht="15.6" hidden="1" customHeight="1" x14ac:dyDescent="0.3">
      <c r="A831" s="151"/>
      <c r="B831" s="122"/>
      <c r="C831" s="23"/>
      <c r="D831" s="23"/>
      <c r="E831" s="120"/>
      <c r="F831" s="23"/>
      <c r="G831" s="23"/>
      <c r="H831" s="155"/>
      <c r="I831" s="155"/>
      <c r="J831" s="23"/>
    </row>
    <row r="832" spans="1:10" ht="15.6" hidden="1" customHeight="1" x14ac:dyDescent="0.3">
      <c r="A832" s="150" t="s">
        <v>291</v>
      </c>
      <c r="B832" s="106"/>
      <c r="C832" s="106"/>
      <c r="D832" s="106"/>
      <c r="E832" s="107"/>
      <c r="F832" s="106"/>
      <c r="G832" s="106"/>
      <c r="H832" s="155"/>
      <c r="I832" s="155"/>
      <c r="J832" s="106"/>
    </row>
    <row r="833" spans="1:10" ht="15.6" hidden="1" customHeight="1" x14ac:dyDescent="0.3">
      <c r="A833" s="150"/>
      <c r="B833" s="106"/>
      <c r="C833" s="106"/>
      <c r="D833" s="106"/>
      <c r="E833" s="107"/>
      <c r="F833" s="106"/>
      <c r="G833" s="106"/>
      <c r="H833" s="155"/>
      <c r="I833" s="155"/>
      <c r="J833" s="106"/>
    </row>
    <row r="834" spans="1:10" ht="15.6" hidden="1" customHeight="1" x14ac:dyDescent="0.3">
      <c r="A834" s="150"/>
      <c r="B834" s="106"/>
      <c r="C834" s="106"/>
      <c r="D834" s="106"/>
      <c r="E834" s="107"/>
      <c r="F834" s="106"/>
      <c r="G834" s="106"/>
      <c r="H834" s="155"/>
      <c r="I834" s="155"/>
      <c r="J834" s="106"/>
    </row>
    <row r="835" spans="1:10" ht="15.6" hidden="1" customHeight="1" x14ac:dyDescent="0.3">
      <c r="A835" s="151" t="s">
        <v>292</v>
      </c>
      <c r="B835" s="108"/>
      <c r="C835" s="108"/>
      <c r="D835" s="108"/>
      <c r="E835" s="115"/>
      <c r="F835" s="108"/>
      <c r="G835" s="108"/>
      <c r="H835" s="155"/>
      <c r="I835" s="155"/>
      <c r="J835" s="108"/>
    </row>
    <row r="836" spans="1:10" ht="15.6" hidden="1" customHeight="1" x14ac:dyDescent="0.3">
      <c r="A836" s="151"/>
      <c r="B836" s="108"/>
      <c r="C836" s="108"/>
      <c r="D836" s="108"/>
      <c r="E836" s="115"/>
      <c r="F836" s="108"/>
      <c r="G836" s="108"/>
      <c r="H836" s="155"/>
      <c r="I836" s="155"/>
      <c r="J836" s="108"/>
    </row>
    <row r="837" spans="1:10" ht="15.6" hidden="1" customHeight="1" x14ac:dyDescent="0.3">
      <c r="A837" s="151"/>
      <c r="B837" s="108"/>
      <c r="C837" s="108"/>
      <c r="D837" s="108"/>
      <c r="E837" s="115"/>
      <c r="F837" s="108"/>
      <c r="G837" s="108"/>
      <c r="H837" s="155"/>
      <c r="I837" s="155"/>
      <c r="J837" s="108"/>
    </row>
    <row r="838" spans="1:10" ht="15.6" hidden="1" customHeight="1" x14ac:dyDescent="0.3">
      <c r="A838" s="151" t="s">
        <v>293</v>
      </c>
      <c r="B838" s="108"/>
      <c r="C838" s="108"/>
      <c r="D838" s="108"/>
      <c r="E838" s="108"/>
      <c r="F838" s="108"/>
      <c r="G838" s="108"/>
      <c r="H838" s="155"/>
      <c r="I838" s="155"/>
      <c r="J838" s="108"/>
    </row>
    <row r="839" spans="1:10" ht="15.6" hidden="1" customHeight="1" x14ac:dyDescent="0.3">
      <c r="A839" s="151"/>
      <c r="B839" s="108"/>
      <c r="C839" s="108"/>
      <c r="D839" s="108"/>
      <c r="E839" s="108"/>
      <c r="F839" s="108"/>
      <c r="G839" s="108"/>
      <c r="H839" s="155"/>
      <c r="I839" s="155"/>
      <c r="J839" s="108"/>
    </row>
    <row r="840" spans="1:10" ht="15.6" hidden="1" customHeight="1" x14ac:dyDescent="0.3">
      <c r="A840" s="151"/>
      <c r="B840" s="108"/>
      <c r="C840" s="108"/>
      <c r="D840" s="108"/>
      <c r="E840" s="108"/>
      <c r="F840" s="108"/>
      <c r="G840" s="108"/>
      <c r="H840" s="155"/>
      <c r="I840" s="155"/>
      <c r="J840" s="108"/>
    </row>
    <row r="841" spans="1:10" ht="15.6" hidden="1" customHeight="1" x14ac:dyDescent="0.3">
      <c r="A841" s="150" t="s">
        <v>294</v>
      </c>
      <c r="B841" s="108"/>
      <c r="C841" s="108"/>
      <c r="D841" s="108"/>
      <c r="E841" s="108"/>
      <c r="F841" s="108"/>
      <c r="G841" s="108"/>
      <c r="H841" s="155"/>
      <c r="I841" s="155"/>
      <c r="J841" s="108"/>
    </row>
    <row r="842" spans="1:10" ht="15.6" hidden="1" customHeight="1" x14ac:dyDescent="0.3">
      <c r="A842" s="150"/>
      <c r="B842" s="108"/>
      <c r="C842" s="108"/>
      <c r="D842" s="108"/>
      <c r="E842" s="108"/>
      <c r="F842" s="108"/>
      <c r="G842" s="108"/>
      <c r="H842" s="155"/>
      <c r="I842" s="155"/>
      <c r="J842" s="108"/>
    </row>
    <row r="843" spans="1:10" ht="15.6" hidden="1" customHeight="1" x14ac:dyDescent="0.3">
      <c r="A843" s="150"/>
      <c r="B843" s="108"/>
      <c r="C843" s="108"/>
      <c r="D843" s="108"/>
      <c r="E843" s="108"/>
      <c r="F843" s="108"/>
      <c r="G843" s="108"/>
      <c r="H843" s="155"/>
      <c r="I843" s="155"/>
      <c r="J843" s="108"/>
    </row>
    <row r="844" spans="1:10" ht="15.6" customHeight="1" x14ac:dyDescent="0.3">
      <c r="A844" s="109" t="s">
        <v>295</v>
      </c>
      <c r="B844" s="106"/>
      <c r="C844" s="142" t="s">
        <v>518</v>
      </c>
      <c r="D844" s="106"/>
      <c r="E844" s="107">
        <v>46127</v>
      </c>
      <c r="F844" s="106" t="s">
        <v>490</v>
      </c>
      <c r="G844" s="106"/>
      <c r="H844" s="155"/>
      <c r="I844" s="155"/>
      <c r="J844" s="106">
        <v>16</v>
      </c>
    </row>
    <row r="845" spans="1:10" ht="15.6" hidden="1" customHeight="1" x14ac:dyDescent="0.3">
      <c r="A845" s="109" t="s">
        <v>295</v>
      </c>
      <c r="B845" s="106"/>
      <c r="C845" s="106" t="s">
        <v>519</v>
      </c>
      <c r="D845" s="106"/>
      <c r="E845" s="107">
        <v>46127</v>
      </c>
      <c r="F845" s="106" t="s">
        <v>490</v>
      </c>
      <c r="G845" s="106"/>
      <c r="H845" s="155"/>
      <c r="I845" s="155"/>
      <c r="J845" s="106"/>
    </row>
    <row r="846" spans="1:10" ht="15.6" hidden="1" customHeight="1" x14ac:dyDescent="0.3">
      <c r="A846" s="109" t="s">
        <v>295</v>
      </c>
      <c r="B846" s="106"/>
      <c r="C846" s="106"/>
      <c r="D846" s="106"/>
      <c r="E846" s="107"/>
      <c r="F846" s="106"/>
      <c r="G846" s="106"/>
      <c r="H846" s="155"/>
      <c r="I846" s="155"/>
      <c r="J846" s="106"/>
    </row>
    <row r="847" spans="1:10" ht="15.6" hidden="1" customHeight="1" x14ac:dyDescent="0.3">
      <c r="A847" s="150" t="s">
        <v>296</v>
      </c>
      <c r="B847" s="106"/>
      <c r="C847" s="117"/>
      <c r="D847" s="106"/>
      <c r="E847" s="107"/>
      <c r="F847" s="117"/>
      <c r="G847" s="106"/>
      <c r="H847" s="155"/>
      <c r="I847" s="155"/>
      <c r="J847" s="106"/>
    </row>
    <row r="848" spans="1:10" ht="15.6" hidden="1" customHeight="1" x14ac:dyDescent="0.3">
      <c r="A848" s="150"/>
      <c r="B848" s="106"/>
      <c r="C848" s="117"/>
      <c r="D848" s="106"/>
      <c r="E848" s="107"/>
      <c r="F848" s="117"/>
      <c r="G848" s="106"/>
      <c r="H848" s="155"/>
      <c r="I848" s="155"/>
      <c r="J848" s="106"/>
    </row>
    <row r="849" spans="1:10" ht="15.6" hidden="1" customHeight="1" x14ac:dyDescent="0.3">
      <c r="A849" s="150"/>
      <c r="B849" s="106"/>
      <c r="C849" s="117"/>
      <c r="D849" s="106"/>
      <c r="E849" s="107"/>
      <c r="F849" s="117"/>
      <c r="G849" s="106"/>
      <c r="H849" s="155"/>
      <c r="I849" s="155"/>
      <c r="J849" s="106"/>
    </row>
    <row r="850" spans="1:10" ht="15.6" hidden="1" customHeight="1" x14ac:dyDescent="0.3">
      <c r="A850" s="150" t="s">
        <v>297</v>
      </c>
      <c r="B850" s="106"/>
      <c r="C850" s="106"/>
      <c r="D850" s="106"/>
      <c r="E850" s="107"/>
      <c r="F850" s="106"/>
      <c r="G850" s="106"/>
      <c r="H850" s="155"/>
      <c r="I850" s="155"/>
      <c r="J850" s="106"/>
    </row>
    <row r="851" spans="1:10" ht="15.6" hidden="1" customHeight="1" x14ac:dyDescent="0.3">
      <c r="A851" s="150"/>
      <c r="B851" s="106"/>
      <c r="C851" s="106"/>
      <c r="D851" s="106"/>
      <c r="E851" s="107"/>
      <c r="F851" s="106"/>
      <c r="G851" s="106"/>
      <c r="H851" s="155"/>
      <c r="I851" s="155"/>
      <c r="J851" s="106"/>
    </row>
    <row r="852" spans="1:10" ht="15.6" hidden="1" customHeight="1" x14ac:dyDescent="0.3">
      <c r="A852" s="150"/>
      <c r="B852" s="106"/>
      <c r="C852" s="106"/>
      <c r="D852" s="106"/>
      <c r="E852" s="107"/>
      <c r="F852" s="106"/>
      <c r="G852" s="106"/>
      <c r="H852" s="155"/>
      <c r="I852" s="155"/>
      <c r="J852" s="106"/>
    </row>
    <row r="853" spans="1:10" ht="15.6" hidden="1" customHeight="1" x14ac:dyDescent="0.3">
      <c r="A853" s="151" t="s">
        <v>298</v>
      </c>
      <c r="B853" s="108"/>
      <c r="C853" s="106"/>
      <c r="D853" s="106"/>
      <c r="E853" s="107"/>
      <c r="F853" s="106"/>
      <c r="G853" s="106"/>
      <c r="H853" s="155"/>
      <c r="I853" s="155"/>
      <c r="J853" s="106"/>
    </row>
    <row r="854" spans="1:10" ht="15.6" hidden="1" customHeight="1" x14ac:dyDescent="0.3">
      <c r="A854" s="151"/>
      <c r="B854" s="108"/>
      <c r="C854" s="106"/>
      <c r="D854" s="106"/>
      <c r="E854" s="107"/>
      <c r="F854" s="106"/>
      <c r="G854" s="106"/>
      <c r="H854" s="155"/>
      <c r="I854" s="155"/>
      <c r="J854" s="106"/>
    </row>
    <row r="855" spans="1:10" ht="15.6" hidden="1" customHeight="1" x14ac:dyDescent="0.3">
      <c r="A855" s="151"/>
      <c r="B855" s="108"/>
      <c r="C855" s="106"/>
      <c r="D855" s="106"/>
      <c r="E855" s="107"/>
      <c r="F855" s="106"/>
      <c r="G855" s="106"/>
      <c r="H855" s="155"/>
      <c r="I855" s="155"/>
      <c r="J855" s="106"/>
    </row>
    <row r="856" spans="1:10" ht="15.6" hidden="1" customHeight="1" x14ac:dyDescent="0.3">
      <c r="A856" s="150" t="s">
        <v>299</v>
      </c>
      <c r="B856" s="108"/>
      <c r="C856" s="108"/>
      <c r="D856" s="108"/>
      <c r="E856" s="108"/>
      <c r="F856" s="108"/>
      <c r="G856" s="108"/>
      <c r="H856" s="155"/>
      <c r="I856" s="155"/>
      <c r="J856" s="108"/>
    </row>
    <row r="857" spans="1:10" ht="15.6" hidden="1" customHeight="1" x14ac:dyDescent="0.3">
      <c r="A857" s="150"/>
      <c r="B857" s="108"/>
      <c r="C857" s="108"/>
      <c r="D857" s="108"/>
      <c r="E857" s="108"/>
      <c r="F857" s="108"/>
      <c r="G857" s="108"/>
      <c r="H857" s="155"/>
      <c r="I857" s="155"/>
      <c r="J857" s="108"/>
    </row>
    <row r="858" spans="1:10" ht="15.6" hidden="1" customHeight="1" x14ac:dyDescent="0.3">
      <c r="A858" s="150"/>
      <c r="B858" s="108"/>
      <c r="C858" s="108"/>
      <c r="D858" s="108"/>
      <c r="E858" s="108"/>
      <c r="F858" s="108"/>
      <c r="G858" s="108"/>
      <c r="H858" s="155"/>
      <c r="I858" s="155"/>
      <c r="J858" s="108"/>
    </row>
    <row r="859" spans="1:10" ht="15.6" hidden="1" customHeight="1" x14ac:dyDescent="0.3">
      <c r="A859" s="109" t="s">
        <v>300</v>
      </c>
      <c r="B859" s="106"/>
      <c r="C859" s="106"/>
      <c r="D859" s="106"/>
      <c r="E859" s="107"/>
      <c r="F859" s="106"/>
      <c r="G859" s="106"/>
      <c r="H859" s="155"/>
      <c r="I859" s="155"/>
      <c r="J859" s="106"/>
    </row>
    <row r="860" spans="1:10" ht="15.6" hidden="1" customHeight="1" x14ac:dyDescent="0.3">
      <c r="A860" s="109" t="s">
        <v>300</v>
      </c>
      <c r="B860" s="106"/>
      <c r="C860" s="106"/>
      <c r="D860" s="106"/>
      <c r="E860" s="107"/>
      <c r="F860" s="106"/>
      <c r="G860" s="106"/>
      <c r="H860" s="155"/>
      <c r="I860" s="155"/>
      <c r="J860" s="106"/>
    </row>
    <row r="861" spans="1:10" ht="15.6" hidden="1" customHeight="1" x14ac:dyDescent="0.3">
      <c r="A861" s="109" t="s">
        <v>300</v>
      </c>
      <c r="B861" s="106"/>
      <c r="C861" s="106"/>
      <c r="D861" s="106"/>
      <c r="E861" s="107"/>
      <c r="F861" s="106"/>
      <c r="G861" s="106"/>
      <c r="H861" s="155"/>
      <c r="I861" s="155"/>
      <c r="J861" s="106"/>
    </row>
    <row r="862" spans="1:10" ht="15.6" hidden="1" customHeight="1" x14ac:dyDescent="0.3">
      <c r="A862" s="109" t="s">
        <v>301</v>
      </c>
      <c r="B862" s="106"/>
      <c r="C862" s="106"/>
      <c r="D862" s="106"/>
      <c r="E862" s="107"/>
      <c r="F862" s="106"/>
      <c r="G862" s="106"/>
      <c r="H862" s="155"/>
      <c r="I862" s="155"/>
      <c r="J862" s="106"/>
    </row>
    <row r="863" spans="1:10" ht="15.6" hidden="1" customHeight="1" x14ac:dyDescent="0.3">
      <c r="A863" s="109" t="s">
        <v>301</v>
      </c>
      <c r="B863" s="106"/>
      <c r="C863" s="106"/>
      <c r="D863" s="106"/>
      <c r="E863" s="107"/>
      <c r="F863" s="106"/>
      <c r="G863" s="106"/>
      <c r="H863" s="155"/>
      <c r="I863" s="155"/>
      <c r="J863" s="106"/>
    </row>
    <row r="864" spans="1:10" ht="15.6" hidden="1" customHeight="1" x14ac:dyDescent="0.3">
      <c r="A864" s="150" t="s">
        <v>302</v>
      </c>
      <c r="B864" s="108"/>
      <c r="C864" s="106"/>
      <c r="D864" s="108"/>
      <c r="E864" s="107"/>
      <c r="F864" s="106"/>
      <c r="G864" s="108"/>
      <c r="H864" s="155"/>
      <c r="I864" s="155"/>
      <c r="J864" s="108"/>
    </row>
    <row r="865" spans="1:10" ht="15.6" hidden="1" customHeight="1" x14ac:dyDescent="0.3">
      <c r="A865" s="150"/>
      <c r="B865" s="108"/>
      <c r="C865" s="106"/>
      <c r="D865" s="108"/>
      <c r="E865" s="107"/>
      <c r="F865" s="106"/>
      <c r="G865" s="108"/>
      <c r="H865" s="155"/>
      <c r="I865" s="155"/>
      <c r="J865" s="108"/>
    </row>
    <row r="866" spans="1:10" ht="15.6" hidden="1" customHeight="1" x14ac:dyDescent="0.3">
      <c r="A866" s="150"/>
      <c r="B866" s="108"/>
      <c r="C866" s="106"/>
      <c r="D866" s="108"/>
      <c r="E866" s="107"/>
      <c r="F866" s="106"/>
      <c r="G866" s="108"/>
      <c r="H866" s="155"/>
      <c r="I866" s="155"/>
      <c r="J866" s="108"/>
    </row>
    <row r="867" spans="1:10" ht="15.6" hidden="1" customHeight="1" x14ac:dyDescent="0.3">
      <c r="A867" s="150" t="s">
        <v>303</v>
      </c>
      <c r="B867" s="108"/>
      <c r="C867" s="106"/>
      <c r="D867" s="108"/>
      <c r="E867" s="107"/>
      <c r="F867" s="106"/>
      <c r="G867" s="108"/>
      <c r="H867" s="155"/>
      <c r="I867" s="155"/>
      <c r="J867" s="108"/>
    </row>
    <row r="868" spans="1:10" ht="15.6" hidden="1" customHeight="1" x14ac:dyDescent="0.3">
      <c r="A868" s="150"/>
      <c r="B868" s="108"/>
      <c r="C868" s="106"/>
      <c r="D868" s="108"/>
      <c r="E868" s="107"/>
      <c r="F868" s="106"/>
      <c r="G868" s="108"/>
      <c r="H868" s="155"/>
      <c r="I868" s="155"/>
      <c r="J868" s="108"/>
    </row>
    <row r="869" spans="1:10" ht="15.6" hidden="1" customHeight="1" x14ac:dyDescent="0.3">
      <c r="A869" s="150"/>
      <c r="B869" s="108"/>
      <c r="C869" s="106"/>
      <c r="D869" s="108"/>
      <c r="E869" s="107"/>
      <c r="F869" s="106"/>
      <c r="G869" s="108"/>
      <c r="H869" s="155"/>
      <c r="I869" s="155"/>
      <c r="J869" s="108"/>
    </row>
    <row r="870" spans="1:10" ht="15.6" hidden="1" customHeight="1" x14ac:dyDescent="0.3">
      <c r="A870" s="109" t="s">
        <v>304</v>
      </c>
      <c r="B870" s="106"/>
      <c r="C870" s="106"/>
      <c r="D870" s="106"/>
      <c r="E870" s="107"/>
      <c r="F870" s="106"/>
      <c r="G870" s="106"/>
      <c r="H870" s="155"/>
      <c r="I870" s="155"/>
      <c r="J870" s="106"/>
    </row>
    <row r="871" spans="1:10" ht="15.6" hidden="1" customHeight="1" x14ac:dyDescent="0.3">
      <c r="A871" s="109" t="s">
        <v>304</v>
      </c>
      <c r="B871" s="106"/>
      <c r="C871" s="106"/>
      <c r="D871" s="106"/>
      <c r="E871" s="107"/>
      <c r="F871" s="106"/>
      <c r="G871" s="106"/>
      <c r="H871" s="155"/>
      <c r="I871" s="155"/>
      <c r="J871" s="106"/>
    </row>
    <row r="872" spans="1:10" ht="15.6" hidden="1" customHeight="1" x14ac:dyDescent="0.3">
      <c r="A872" s="109" t="s">
        <v>304</v>
      </c>
      <c r="B872" s="106"/>
      <c r="C872" s="106"/>
      <c r="D872" s="106"/>
      <c r="E872" s="107"/>
      <c r="F872" s="106"/>
      <c r="G872" s="106"/>
      <c r="H872" s="155"/>
      <c r="I872" s="155"/>
      <c r="J872" s="106"/>
    </row>
    <row r="873" spans="1:10" ht="15.6" hidden="1" customHeight="1" x14ac:dyDescent="0.3">
      <c r="A873" s="150" t="s">
        <v>305</v>
      </c>
      <c r="B873" s="106"/>
      <c r="C873" s="106"/>
      <c r="D873" s="106"/>
      <c r="E873" s="107"/>
      <c r="F873" s="106"/>
      <c r="G873" s="106"/>
      <c r="H873" s="155"/>
      <c r="I873" s="155"/>
      <c r="J873" s="106"/>
    </row>
    <row r="874" spans="1:10" ht="15.6" hidden="1" customHeight="1" x14ac:dyDescent="0.3">
      <c r="A874" s="150"/>
      <c r="B874" s="106"/>
      <c r="C874" s="106"/>
      <c r="D874" s="106"/>
      <c r="E874" s="107"/>
      <c r="F874" s="106"/>
      <c r="G874" s="106"/>
      <c r="H874" s="155"/>
      <c r="I874" s="155"/>
      <c r="J874" s="106"/>
    </row>
    <row r="875" spans="1:10" ht="15.6" hidden="1" customHeight="1" x14ac:dyDescent="0.3">
      <c r="A875" s="150"/>
      <c r="B875" s="106"/>
      <c r="C875" s="106"/>
      <c r="D875" s="106"/>
      <c r="E875" s="107"/>
      <c r="F875" s="106"/>
      <c r="G875" s="106"/>
      <c r="H875" s="155"/>
      <c r="I875" s="155"/>
      <c r="J875" s="106"/>
    </row>
    <row r="876" spans="1:10" ht="15.6" hidden="1" customHeight="1" x14ac:dyDescent="0.3">
      <c r="A876" s="150" t="s">
        <v>306</v>
      </c>
      <c r="B876" s="108"/>
      <c r="C876" s="108"/>
      <c r="D876" s="108"/>
      <c r="E876" s="108"/>
      <c r="F876" s="108"/>
      <c r="G876" s="108"/>
      <c r="H876" s="155"/>
      <c r="I876" s="155"/>
      <c r="J876" s="108"/>
    </row>
    <row r="877" spans="1:10" ht="15.6" hidden="1" customHeight="1" x14ac:dyDescent="0.3">
      <c r="A877" s="150"/>
      <c r="B877" s="108"/>
      <c r="C877" s="108"/>
      <c r="D877" s="108"/>
      <c r="E877" s="108"/>
      <c r="F877" s="108"/>
      <c r="G877" s="108"/>
      <c r="H877" s="155"/>
      <c r="I877" s="155"/>
      <c r="J877" s="108"/>
    </row>
    <row r="878" spans="1:10" ht="15.6" hidden="1" customHeight="1" x14ac:dyDescent="0.3">
      <c r="A878" s="150"/>
      <c r="B878" s="108"/>
      <c r="C878" s="108"/>
      <c r="D878" s="108"/>
      <c r="E878" s="108"/>
      <c r="F878" s="108"/>
      <c r="G878" s="108"/>
      <c r="H878" s="155"/>
      <c r="I878" s="155"/>
      <c r="J878" s="108"/>
    </row>
    <row r="879" spans="1:10" ht="15.6" customHeight="1" x14ac:dyDescent="0.3">
      <c r="A879" s="109" t="s">
        <v>307</v>
      </c>
      <c r="B879" s="106"/>
      <c r="C879" s="23" t="s">
        <v>520</v>
      </c>
      <c r="D879" s="106"/>
      <c r="E879" s="107">
        <v>46127</v>
      </c>
      <c r="F879" s="106" t="s">
        <v>490</v>
      </c>
      <c r="G879" s="106"/>
      <c r="H879" s="155"/>
      <c r="I879" s="155"/>
      <c r="J879" s="106">
        <v>30</v>
      </c>
    </row>
    <row r="880" spans="1:10" ht="15.6" hidden="1" customHeight="1" x14ac:dyDescent="0.3">
      <c r="A880" s="109" t="s">
        <v>307</v>
      </c>
      <c r="B880" s="106"/>
      <c r="C880" s="23"/>
      <c r="D880" s="106"/>
      <c r="E880" s="107"/>
      <c r="F880" s="106"/>
      <c r="G880" s="106"/>
      <c r="H880" s="155"/>
      <c r="I880" s="155"/>
      <c r="J880" s="106"/>
    </row>
    <row r="881" spans="1:10" ht="15.6" hidden="1" customHeight="1" x14ac:dyDescent="0.3">
      <c r="A881" s="109" t="s">
        <v>307</v>
      </c>
      <c r="B881" s="106"/>
      <c r="C881" s="23"/>
      <c r="D881" s="106"/>
      <c r="E881" s="107"/>
      <c r="F881" s="106"/>
      <c r="G881" s="106"/>
      <c r="H881" s="155"/>
      <c r="I881" s="155"/>
      <c r="J881" s="106"/>
    </row>
    <row r="882" spans="1:10" ht="15.6" hidden="1" customHeight="1" x14ac:dyDescent="0.3">
      <c r="A882" s="109" t="s">
        <v>308</v>
      </c>
      <c r="B882" s="106"/>
      <c r="C882" s="106"/>
      <c r="D882" s="106"/>
      <c r="E882" s="107"/>
      <c r="F882" s="106"/>
      <c r="G882" s="106"/>
      <c r="H882" s="155"/>
      <c r="I882" s="155"/>
      <c r="J882" s="106"/>
    </row>
    <row r="883" spans="1:10" ht="15.6" hidden="1" customHeight="1" x14ac:dyDescent="0.3">
      <c r="A883" s="109" t="s">
        <v>308</v>
      </c>
      <c r="B883" s="106"/>
      <c r="C883" s="106"/>
      <c r="D883" s="106"/>
      <c r="E883" s="107"/>
      <c r="F883" s="106"/>
      <c r="G883" s="106"/>
      <c r="H883" s="155"/>
      <c r="I883" s="155"/>
      <c r="J883" s="106"/>
    </row>
    <row r="884" spans="1:10" s="20" customFormat="1" ht="15.6" hidden="1" customHeight="1" x14ac:dyDescent="0.3">
      <c r="A884" s="109" t="s">
        <v>308</v>
      </c>
      <c r="B884" s="106"/>
      <c r="C884" s="106"/>
      <c r="D884" s="106"/>
      <c r="E884" s="107"/>
      <c r="F884" s="106"/>
      <c r="G884" s="106"/>
      <c r="H884" s="155"/>
      <c r="I884" s="155"/>
      <c r="J884" s="106"/>
    </row>
    <row r="885" spans="1:10" s="20" customFormat="1" ht="15.6" hidden="1" customHeight="1" x14ac:dyDescent="0.3">
      <c r="A885" s="109" t="s">
        <v>309</v>
      </c>
      <c r="B885" s="106"/>
      <c r="C885" s="106"/>
      <c r="D885" s="106"/>
      <c r="E885" s="107"/>
      <c r="F885" s="106"/>
      <c r="G885" s="106"/>
      <c r="H885" s="155"/>
      <c r="I885" s="155"/>
      <c r="J885" s="106"/>
    </row>
    <row r="886" spans="1:10" s="20" customFormat="1" ht="15.6" hidden="1" customHeight="1" x14ac:dyDescent="0.3">
      <c r="A886" s="109" t="s">
        <v>309</v>
      </c>
      <c r="B886" s="106"/>
      <c r="C886" s="106"/>
      <c r="D886" s="106"/>
      <c r="E886" s="107"/>
      <c r="F886" s="106"/>
      <c r="G886" s="106"/>
      <c r="H886" s="155"/>
      <c r="I886" s="155"/>
      <c r="J886" s="106"/>
    </row>
    <row r="887" spans="1:10" ht="15.6" hidden="1" customHeight="1" x14ac:dyDescent="0.3">
      <c r="A887" s="109" t="s">
        <v>309</v>
      </c>
      <c r="B887" s="106"/>
      <c r="C887" s="106"/>
      <c r="D887" s="106"/>
      <c r="E887" s="107"/>
      <c r="F887" s="106"/>
      <c r="G887" s="106"/>
      <c r="H887" s="155"/>
      <c r="I887" s="155"/>
      <c r="J887" s="106"/>
    </row>
    <row r="888" spans="1:10" ht="15.6" hidden="1" customHeight="1" x14ac:dyDescent="0.3">
      <c r="A888" s="150" t="s">
        <v>310</v>
      </c>
      <c r="B888" s="106"/>
      <c r="C888" s="106"/>
      <c r="D888" s="106"/>
      <c r="E888" s="107"/>
      <c r="F888" s="106"/>
      <c r="G888" s="106"/>
      <c r="H888" s="155"/>
      <c r="I888" s="155"/>
      <c r="J888" s="106"/>
    </row>
    <row r="889" spans="1:10" ht="15.6" hidden="1" customHeight="1" x14ac:dyDescent="0.3">
      <c r="A889" s="150"/>
      <c r="B889" s="106"/>
      <c r="C889" s="106"/>
      <c r="D889" s="106"/>
      <c r="E889" s="107"/>
      <c r="F889" s="106"/>
      <c r="G889" s="106"/>
      <c r="H889" s="155"/>
      <c r="I889" s="155"/>
      <c r="J889" s="106"/>
    </row>
    <row r="890" spans="1:10" s="20" customFormat="1" ht="15.6" hidden="1" customHeight="1" x14ac:dyDescent="0.3">
      <c r="A890" s="150"/>
      <c r="B890" s="106"/>
      <c r="C890" s="106"/>
      <c r="D890" s="106"/>
      <c r="E890" s="107"/>
      <c r="F890" s="106"/>
      <c r="G890" s="106"/>
      <c r="H890" s="155"/>
      <c r="I890" s="155"/>
      <c r="J890" s="106"/>
    </row>
    <row r="891" spans="1:10" s="20" customFormat="1" ht="15.6" hidden="1" customHeight="1" x14ac:dyDescent="0.3">
      <c r="A891" s="150" t="s">
        <v>311</v>
      </c>
      <c r="B891" s="106"/>
      <c r="C891" s="106"/>
      <c r="D891" s="106"/>
      <c r="E891" s="118"/>
      <c r="F891" s="106"/>
      <c r="G891" s="106"/>
      <c r="H891" s="155"/>
      <c r="I891" s="155"/>
      <c r="J891" s="106"/>
    </row>
    <row r="892" spans="1:10" s="20" customFormat="1" ht="15.6" hidden="1" customHeight="1" x14ac:dyDescent="0.3">
      <c r="A892" s="150"/>
      <c r="B892" s="106"/>
      <c r="C892" s="106"/>
      <c r="D892" s="106"/>
      <c r="E892" s="118"/>
      <c r="F892" s="106"/>
      <c r="G892" s="106"/>
      <c r="H892" s="155"/>
      <c r="I892" s="155"/>
      <c r="J892" s="106"/>
    </row>
    <row r="893" spans="1:10" ht="15.6" hidden="1" customHeight="1" x14ac:dyDescent="0.3">
      <c r="A893" s="150"/>
      <c r="B893" s="106"/>
      <c r="C893" s="106"/>
      <c r="D893" s="106"/>
      <c r="E893" s="118"/>
      <c r="F893" s="106"/>
      <c r="G893" s="106"/>
      <c r="H893" s="155"/>
      <c r="I893" s="155"/>
      <c r="J893" s="106"/>
    </row>
    <row r="894" spans="1:10" ht="15.6" hidden="1" customHeight="1" x14ac:dyDescent="0.3">
      <c r="A894" s="150" t="s">
        <v>312</v>
      </c>
      <c r="B894" s="106"/>
      <c r="C894" s="106"/>
      <c r="D894" s="106"/>
      <c r="E894" s="107"/>
      <c r="F894" s="106"/>
      <c r="G894" s="106"/>
      <c r="H894" s="155"/>
      <c r="I894" s="155"/>
      <c r="J894" s="106"/>
    </row>
    <row r="895" spans="1:10" ht="15.6" hidden="1" customHeight="1" x14ac:dyDescent="0.3">
      <c r="A895" s="150"/>
      <c r="B895" s="106"/>
      <c r="C895" s="106"/>
      <c r="D895" s="106"/>
      <c r="E895" s="107"/>
      <c r="F895" s="106"/>
      <c r="G895" s="106"/>
      <c r="H895" s="155"/>
      <c r="I895" s="155"/>
      <c r="J895" s="106"/>
    </row>
    <row r="896" spans="1:10" ht="15.6" hidden="1" customHeight="1" x14ac:dyDescent="0.3">
      <c r="A896" s="150"/>
      <c r="B896" s="106"/>
      <c r="C896" s="106"/>
      <c r="D896" s="106"/>
      <c r="E896" s="107"/>
      <c r="F896" s="106"/>
      <c r="G896" s="106"/>
      <c r="H896" s="155"/>
      <c r="I896" s="155"/>
      <c r="J896" s="106"/>
    </row>
    <row r="897" spans="1:10" ht="15.6" hidden="1" customHeight="1" x14ac:dyDescent="0.3">
      <c r="A897" s="150" t="s">
        <v>313</v>
      </c>
      <c r="B897" s="108"/>
      <c r="C897" s="108"/>
      <c r="D897" s="108"/>
      <c r="E897" s="108"/>
      <c r="F897" s="108"/>
      <c r="G897" s="108"/>
      <c r="H897" s="155"/>
      <c r="I897" s="155"/>
      <c r="J897" s="108"/>
    </row>
    <row r="898" spans="1:10" ht="15.6" hidden="1" customHeight="1" x14ac:dyDescent="0.3">
      <c r="A898" s="150"/>
      <c r="B898" s="108"/>
      <c r="C898" s="108"/>
      <c r="D898" s="108"/>
      <c r="E898" s="108"/>
      <c r="F898" s="108"/>
      <c r="G898" s="108"/>
      <c r="H898" s="155"/>
      <c r="I898" s="155"/>
      <c r="J898" s="108"/>
    </row>
    <row r="899" spans="1:10" ht="15.6" hidden="1" customHeight="1" x14ac:dyDescent="0.3">
      <c r="A899" s="150"/>
      <c r="B899" s="108"/>
      <c r="C899" s="108"/>
      <c r="D899" s="108"/>
      <c r="E899" s="108"/>
      <c r="F899" s="108"/>
      <c r="G899" s="108"/>
      <c r="H899" s="155"/>
      <c r="I899" s="155"/>
      <c r="J899" s="108"/>
    </row>
    <row r="900" spans="1:10" ht="15.6" hidden="1" customHeight="1" x14ac:dyDescent="0.3">
      <c r="A900" s="150" t="s">
        <v>314</v>
      </c>
      <c r="B900" s="108"/>
      <c r="C900" s="108"/>
      <c r="D900" s="108"/>
      <c r="E900" s="108"/>
      <c r="F900" s="108"/>
      <c r="G900" s="108"/>
      <c r="H900" s="155"/>
      <c r="I900" s="155"/>
      <c r="J900" s="108"/>
    </row>
    <row r="901" spans="1:10" ht="15.6" hidden="1" customHeight="1" x14ac:dyDescent="0.3">
      <c r="A901" s="150"/>
      <c r="B901" s="108"/>
      <c r="C901" s="108"/>
      <c r="D901" s="108"/>
      <c r="E901" s="108"/>
      <c r="F901" s="108"/>
      <c r="G901" s="108"/>
      <c r="H901" s="155"/>
      <c r="I901" s="155"/>
      <c r="J901" s="108"/>
    </row>
    <row r="902" spans="1:10" ht="15.6" hidden="1" customHeight="1" x14ac:dyDescent="0.3">
      <c r="A902" s="150"/>
      <c r="B902" s="108"/>
      <c r="C902" s="108"/>
      <c r="D902" s="108"/>
      <c r="E902" s="108"/>
      <c r="F902" s="108"/>
      <c r="G902" s="108"/>
      <c r="H902" s="155"/>
      <c r="I902" s="155"/>
      <c r="J902" s="108"/>
    </row>
    <row r="903" spans="1:10" ht="15.6" hidden="1" customHeight="1" x14ac:dyDescent="0.3">
      <c r="A903" s="150" t="s">
        <v>315</v>
      </c>
      <c r="B903" s="108"/>
      <c r="C903" s="106"/>
      <c r="D903" s="106"/>
      <c r="E903" s="107"/>
      <c r="F903" s="106"/>
      <c r="G903" s="108"/>
      <c r="H903" s="155"/>
      <c r="I903" s="155"/>
      <c r="J903" s="108"/>
    </row>
    <row r="904" spans="1:10" ht="15.6" hidden="1" customHeight="1" x14ac:dyDescent="0.3">
      <c r="A904" s="150"/>
      <c r="B904" s="108"/>
      <c r="C904" s="106"/>
      <c r="D904" s="106"/>
      <c r="E904" s="107"/>
      <c r="F904" s="106"/>
      <c r="G904" s="108"/>
      <c r="H904" s="155"/>
      <c r="I904" s="155"/>
      <c r="J904" s="108"/>
    </row>
    <row r="905" spans="1:10" ht="15.6" hidden="1" customHeight="1" x14ac:dyDescent="0.3">
      <c r="A905" s="150"/>
      <c r="B905" s="108"/>
      <c r="C905" s="106"/>
      <c r="D905" s="106"/>
      <c r="E905" s="107"/>
      <c r="F905" s="106"/>
      <c r="G905" s="108"/>
      <c r="H905" s="155"/>
      <c r="I905" s="155"/>
      <c r="J905" s="108"/>
    </row>
    <row r="906" spans="1:10" ht="15.6" hidden="1" customHeight="1" x14ac:dyDescent="0.3">
      <c r="A906" s="150" t="s">
        <v>316</v>
      </c>
      <c r="B906" s="108"/>
      <c r="C906" s="106"/>
      <c r="D906" s="108"/>
      <c r="E906" s="107"/>
      <c r="F906" s="106"/>
      <c r="G906" s="108"/>
      <c r="H906" s="155"/>
      <c r="I906" s="155"/>
      <c r="J906" s="108"/>
    </row>
    <row r="907" spans="1:10" ht="15.6" hidden="1" customHeight="1" x14ac:dyDescent="0.3">
      <c r="A907" s="150"/>
      <c r="B907" s="108"/>
      <c r="C907" s="106"/>
      <c r="D907" s="108"/>
      <c r="E907" s="107"/>
      <c r="F907" s="106"/>
      <c r="G907" s="108"/>
      <c r="H907" s="155"/>
      <c r="I907" s="155"/>
      <c r="J907" s="108"/>
    </row>
    <row r="908" spans="1:10" ht="15.6" hidden="1" customHeight="1" x14ac:dyDescent="0.3">
      <c r="A908" s="150"/>
      <c r="B908" s="108"/>
      <c r="C908" s="106"/>
      <c r="D908" s="108"/>
      <c r="E908" s="107"/>
      <c r="F908" s="106"/>
      <c r="G908" s="108"/>
      <c r="H908" s="155"/>
      <c r="I908" s="155"/>
      <c r="J908" s="108"/>
    </row>
    <row r="909" spans="1:10" ht="15.6" customHeight="1" x14ac:dyDescent="0.3">
      <c r="A909" s="111" t="s">
        <v>317</v>
      </c>
      <c r="B909" s="108"/>
      <c r="C909" s="141" t="s">
        <v>492</v>
      </c>
      <c r="D909" s="108"/>
      <c r="E909" s="107">
        <v>46115</v>
      </c>
      <c r="F909" s="106" t="s">
        <v>490</v>
      </c>
      <c r="G909" s="108"/>
      <c r="H909" s="155"/>
      <c r="I909" s="155"/>
      <c r="J909" s="106">
        <v>16</v>
      </c>
    </row>
    <row r="910" spans="1:10" ht="15.6" hidden="1" customHeight="1" x14ac:dyDescent="0.3">
      <c r="A910" s="150" t="s">
        <v>317</v>
      </c>
      <c r="B910" s="106"/>
      <c r="C910" s="106" t="s">
        <v>493</v>
      </c>
      <c r="D910" s="106"/>
      <c r="E910" s="107">
        <v>46115</v>
      </c>
      <c r="F910" s="106" t="s">
        <v>490</v>
      </c>
      <c r="G910" s="106"/>
      <c r="H910" s="155"/>
      <c r="I910" s="155"/>
      <c r="J910" s="106"/>
    </row>
    <row r="911" spans="1:10" ht="15.6" hidden="1" customHeight="1" x14ac:dyDescent="0.3">
      <c r="A911" s="150"/>
      <c r="B911" s="106"/>
      <c r="C911" s="106"/>
      <c r="D911" s="106"/>
      <c r="E911" s="107"/>
      <c r="F911" s="106"/>
      <c r="G911" s="106"/>
      <c r="H911" s="155"/>
      <c r="I911" s="155"/>
      <c r="J911" s="106"/>
    </row>
    <row r="912" spans="1:10" ht="15.6" hidden="1" customHeight="1" x14ac:dyDescent="0.3">
      <c r="A912" s="150"/>
      <c r="B912" s="106"/>
      <c r="C912" s="106"/>
      <c r="D912" s="106"/>
      <c r="E912" s="107"/>
      <c r="F912" s="106"/>
      <c r="G912" s="106"/>
      <c r="H912" s="155"/>
      <c r="I912" s="155"/>
      <c r="J912" s="106"/>
    </row>
    <row r="913" spans="1:10" ht="15.6" hidden="1" customHeight="1" x14ac:dyDescent="0.3">
      <c r="A913" s="150" t="s">
        <v>318</v>
      </c>
      <c r="B913" s="108"/>
      <c r="C913" s="106"/>
      <c r="D913" s="108"/>
      <c r="E913" s="107"/>
      <c r="F913" s="106"/>
      <c r="G913" s="108"/>
      <c r="H913" s="155"/>
      <c r="I913" s="155"/>
      <c r="J913" s="108"/>
    </row>
    <row r="914" spans="1:10" ht="15.6" hidden="1" customHeight="1" x14ac:dyDescent="0.3">
      <c r="A914" s="150"/>
      <c r="B914" s="108"/>
      <c r="C914" s="106"/>
      <c r="D914" s="108"/>
      <c r="E914" s="107"/>
      <c r="F914" s="106"/>
      <c r="G914" s="108"/>
      <c r="H914" s="155"/>
      <c r="I914" s="155"/>
      <c r="J914" s="108"/>
    </row>
    <row r="915" spans="1:10" ht="15.6" hidden="1" customHeight="1" x14ac:dyDescent="0.3">
      <c r="A915" s="150"/>
      <c r="B915" s="108"/>
      <c r="C915" s="106"/>
      <c r="D915" s="108"/>
      <c r="E915" s="107"/>
      <c r="F915" s="106"/>
      <c r="G915" s="108"/>
      <c r="H915" s="155"/>
      <c r="I915" s="155"/>
      <c r="J915" s="108"/>
    </row>
    <row r="916" spans="1:10" ht="15.6" customHeight="1" x14ac:dyDescent="0.3">
      <c r="A916" s="110" t="s">
        <v>319</v>
      </c>
      <c r="B916" s="116"/>
      <c r="C916" s="141" t="s">
        <v>536</v>
      </c>
      <c r="D916" s="106"/>
      <c r="E916" s="107">
        <v>46114</v>
      </c>
      <c r="F916" s="106" t="s">
        <v>496</v>
      </c>
      <c r="G916" s="106"/>
      <c r="H916" s="155"/>
      <c r="I916" s="155"/>
      <c r="J916" s="106">
        <v>16</v>
      </c>
    </row>
    <row r="917" spans="1:10" ht="15.6" hidden="1" customHeight="1" x14ac:dyDescent="0.3">
      <c r="A917" s="110" t="s">
        <v>319</v>
      </c>
      <c r="B917" s="116"/>
      <c r="C917" s="106"/>
      <c r="D917" s="106"/>
      <c r="E917" s="107"/>
      <c r="F917" s="106"/>
      <c r="G917" s="106"/>
      <c r="H917" s="155"/>
      <c r="I917" s="155"/>
      <c r="J917" s="106"/>
    </row>
    <row r="918" spans="1:10" ht="15.6" hidden="1" customHeight="1" x14ac:dyDescent="0.3">
      <c r="A918" s="110" t="s">
        <v>319</v>
      </c>
      <c r="B918" s="116"/>
      <c r="C918" s="106"/>
      <c r="D918" s="106"/>
      <c r="E918" s="107"/>
      <c r="F918" s="106"/>
      <c r="G918" s="106"/>
      <c r="H918" s="155"/>
      <c r="I918" s="155"/>
      <c r="J918" s="106"/>
    </row>
    <row r="919" spans="1:10" ht="15.6" customHeight="1" x14ac:dyDescent="0.3">
      <c r="A919" s="109" t="s">
        <v>320</v>
      </c>
      <c r="B919" s="106"/>
      <c r="C919" s="141" t="s">
        <v>523</v>
      </c>
      <c r="D919" s="106"/>
      <c r="E919" s="107">
        <v>46127</v>
      </c>
      <c r="F919" s="106" t="s">
        <v>496</v>
      </c>
      <c r="G919" s="106"/>
      <c r="H919" s="155"/>
      <c r="I919" s="155"/>
      <c r="J919" s="106">
        <v>16</v>
      </c>
    </row>
    <row r="920" spans="1:10" ht="15.6" hidden="1" customHeight="1" x14ac:dyDescent="0.3">
      <c r="A920" s="109" t="s">
        <v>320</v>
      </c>
      <c r="B920" s="106"/>
      <c r="C920" s="106" t="s">
        <v>524</v>
      </c>
      <c r="D920" s="106"/>
      <c r="E920" s="107">
        <v>46127</v>
      </c>
      <c r="F920" s="106" t="s">
        <v>496</v>
      </c>
      <c r="G920" s="106"/>
      <c r="H920" s="155"/>
      <c r="I920" s="155"/>
      <c r="J920" s="106"/>
    </row>
    <row r="921" spans="1:10" ht="15.6" hidden="1" customHeight="1" x14ac:dyDescent="0.3">
      <c r="A921" s="109" t="s">
        <v>320</v>
      </c>
      <c r="B921" s="106"/>
      <c r="C921" s="106"/>
      <c r="D921" s="106"/>
      <c r="E921" s="107"/>
      <c r="F921" s="106"/>
      <c r="G921" s="106"/>
      <c r="H921" s="155"/>
      <c r="I921" s="155"/>
      <c r="J921" s="106"/>
    </row>
    <row r="922" spans="1:10" ht="15.6" hidden="1" customHeight="1" x14ac:dyDescent="0.3">
      <c r="A922" s="109" t="s">
        <v>321</v>
      </c>
      <c r="B922" s="106"/>
      <c r="C922" s="106"/>
      <c r="D922" s="106"/>
      <c r="E922" s="107"/>
      <c r="F922" s="106"/>
      <c r="G922" s="106"/>
      <c r="H922" s="155"/>
      <c r="I922" s="155"/>
      <c r="J922" s="106"/>
    </row>
    <row r="923" spans="1:10" ht="15.6" hidden="1" customHeight="1" x14ac:dyDescent="0.3">
      <c r="A923" s="150" t="s">
        <v>322</v>
      </c>
      <c r="B923" s="106"/>
      <c r="C923" s="106"/>
      <c r="D923" s="106"/>
      <c r="E923" s="107"/>
      <c r="F923" s="106"/>
      <c r="G923" s="106"/>
      <c r="H923" s="155"/>
      <c r="I923" s="155"/>
      <c r="J923" s="106"/>
    </row>
    <row r="924" spans="1:10" ht="15.6" hidden="1" customHeight="1" x14ac:dyDescent="0.3">
      <c r="A924" s="150"/>
      <c r="B924" s="106"/>
      <c r="C924" s="106"/>
      <c r="D924" s="106"/>
      <c r="E924" s="107"/>
      <c r="F924" s="106"/>
      <c r="G924" s="106"/>
      <c r="H924" s="155"/>
      <c r="I924" s="155"/>
      <c r="J924" s="106"/>
    </row>
    <row r="925" spans="1:10" ht="15.6" hidden="1" customHeight="1" x14ac:dyDescent="0.3">
      <c r="A925" s="150"/>
      <c r="B925" s="106"/>
      <c r="C925" s="106"/>
      <c r="D925" s="106"/>
      <c r="E925" s="107"/>
      <c r="F925" s="106"/>
      <c r="G925" s="106"/>
      <c r="H925" s="155"/>
      <c r="I925" s="155"/>
      <c r="J925" s="106"/>
    </row>
    <row r="926" spans="1:10" ht="15.6" hidden="1" customHeight="1" x14ac:dyDescent="0.3">
      <c r="A926" s="150" t="s">
        <v>323</v>
      </c>
      <c r="B926" s="108"/>
      <c r="C926" s="108"/>
      <c r="D926" s="108"/>
      <c r="E926" s="115"/>
      <c r="F926" s="108"/>
      <c r="G926" s="108"/>
      <c r="H926" s="155"/>
      <c r="I926" s="155"/>
      <c r="J926" s="108"/>
    </row>
    <row r="927" spans="1:10" ht="15.6" hidden="1" customHeight="1" x14ac:dyDescent="0.3">
      <c r="A927" s="150"/>
      <c r="B927" s="108"/>
      <c r="C927" s="108"/>
      <c r="D927" s="108"/>
      <c r="E927" s="115"/>
      <c r="F927" s="108"/>
      <c r="G927" s="108"/>
      <c r="H927" s="155"/>
      <c r="I927" s="155"/>
      <c r="J927" s="108"/>
    </row>
    <row r="928" spans="1:10" ht="15.6" hidden="1" customHeight="1" x14ac:dyDescent="0.3">
      <c r="A928" s="150"/>
      <c r="B928" s="108"/>
      <c r="C928" s="108"/>
      <c r="D928" s="108"/>
      <c r="E928" s="115"/>
      <c r="F928" s="108"/>
      <c r="G928" s="108"/>
      <c r="H928" s="155"/>
      <c r="I928" s="155"/>
      <c r="J928" s="108"/>
    </row>
    <row r="929" spans="1:10" ht="15.6" hidden="1" customHeight="1" x14ac:dyDescent="0.3">
      <c r="A929" s="150" t="s">
        <v>324</v>
      </c>
      <c r="B929" s="106"/>
      <c r="C929" s="106"/>
      <c r="D929" s="106"/>
      <c r="E929" s="107"/>
      <c r="F929" s="106"/>
      <c r="G929" s="106"/>
      <c r="H929" s="155"/>
      <c r="I929" s="155"/>
      <c r="J929" s="106"/>
    </row>
    <row r="930" spans="1:10" ht="15.6" hidden="1" customHeight="1" x14ac:dyDescent="0.3">
      <c r="A930" s="150"/>
      <c r="B930" s="106"/>
      <c r="C930" s="106"/>
      <c r="D930" s="106"/>
      <c r="E930" s="107"/>
      <c r="F930" s="106"/>
      <c r="G930" s="106"/>
      <c r="H930" s="155"/>
      <c r="I930" s="155"/>
      <c r="J930" s="106"/>
    </row>
    <row r="931" spans="1:10" ht="15.6" hidden="1" customHeight="1" x14ac:dyDescent="0.3">
      <c r="A931" s="150"/>
      <c r="B931" s="106"/>
      <c r="C931" s="106"/>
      <c r="D931" s="106"/>
      <c r="E931" s="107"/>
      <c r="F931" s="106"/>
      <c r="G931" s="106"/>
      <c r="H931" s="155"/>
      <c r="I931" s="155"/>
      <c r="J931" s="106"/>
    </row>
    <row r="932" spans="1:10" ht="15.6" hidden="1" customHeight="1" x14ac:dyDescent="0.3">
      <c r="A932" s="150" t="s">
        <v>325</v>
      </c>
      <c r="B932" s="106"/>
      <c r="C932" s="106"/>
      <c r="D932" s="106"/>
      <c r="E932" s="107"/>
      <c r="F932" s="106"/>
      <c r="G932" s="106"/>
      <c r="H932" s="155"/>
      <c r="I932" s="155"/>
      <c r="J932" s="106"/>
    </row>
    <row r="933" spans="1:10" ht="15.6" hidden="1" customHeight="1" x14ac:dyDescent="0.3">
      <c r="A933" s="150"/>
      <c r="B933" s="106"/>
      <c r="C933" s="106"/>
      <c r="D933" s="106"/>
      <c r="E933" s="107"/>
      <c r="F933" s="106"/>
      <c r="G933" s="106"/>
      <c r="H933" s="155"/>
      <c r="I933" s="155"/>
      <c r="J933" s="106"/>
    </row>
    <row r="934" spans="1:10" ht="15.6" hidden="1" customHeight="1" x14ac:dyDescent="0.3">
      <c r="A934" s="150"/>
      <c r="B934" s="106"/>
      <c r="C934" s="106"/>
      <c r="D934" s="106"/>
      <c r="E934" s="107"/>
      <c r="F934" s="106"/>
      <c r="G934" s="106"/>
      <c r="H934" s="155"/>
      <c r="I934" s="155"/>
      <c r="J934" s="106"/>
    </row>
    <row r="935" spans="1:10" ht="15.6" hidden="1" customHeight="1" x14ac:dyDescent="0.3">
      <c r="A935" s="150" t="s">
        <v>326</v>
      </c>
      <c r="B935" s="106"/>
      <c r="C935" s="106" t="s">
        <v>489</v>
      </c>
      <c r="D935" s="106"/>
      <c r="E935" s="107">
        <v>46113</v>
      </c>
      <c r="F935" s="106" t="s">
        <v>502</v>
      </c>
      <c r="G935" s="106"/>
      <c r="H935" s="155"/>
      <c r="I935" s="155"/>
      <c r="J935" s="106"/>
    </row>
    <row r="936" spans="1:10" ht="15.6" hidden="1" customHeight="1" x14ac:dyDescent="0.3">
      <c r="A936" s="150"/>
      <c r="B936" s="106"/>
      <c r="C936" s="106"/>
      <c r="D936" s="106"/>
      <c r="E936" s="107"/>
      <c r="F936" s="106"/>
      <c r="G936" s="106"/>
      <c r="H936" s="155"/>
      <c r="I936" s="155"/>
      <c r="J936" s="106"/>
    </row>
    <row r="937" spans="1:10" ht="15.6" hidden="1" customHeight="1" x14ac:dyDescent="0.3">
      <c r="A937" s="150"/>
      <c r="B937" s="106"/>
      <c r="C937" s="106"/>
      <c r="D937" s="106"/>
      <c r="E937" s="107"/>
      <c r="F937" s="106"/>
      <c r="G937" s="106"/>
      <c r="H937" s="155"/>
      <c r="I937" s="155"/>
      <c r="J937" s="106"/>
    </row>
    <row r="938" spans="1:10" ht="15.6" hidden="1" customHeight="1" x14ac:dyDescent="0.3">
      <c r="A938" s="150" t="s">
        <v>327</v>
      </c>
      <c r="B938" s="106"/>
      <c r="C938" s="106"/>
      <c r="D938" s="106"/>
      <c r="E938" s="107"/>
      <c r="F938" s="106"/>
      <c r="G938" s="106"/>
      <c r="H938" s="155"/>
      <c r="I938" s="155"/>
      <c r="J938" s="106"/>
    </row>
    <row r="939" spans="1:10" ht="15.6" hidden="1" customHeight="1" x14ac:dyDescent="0.3">
      <c r="A939" s="150"/>
      <c r="B939" s="106"/>
      <c r="C939" s="106"/>
      <c r="D939" s="106"/>
      <c r="E939" s="107"/>
      <c r="F939" s="106"/>
      <c r="G939" s="106"/>
      <c r="H939" s="155"/>
      <c r="I939" s="155"/>
      <c r="J939" s="106"/>
    </row>
    <row r="940" spans="1:10" s="20" customFormat="1" ht="15.6" hidden="1" customHeight="1" x14ac:dyDescent="0.3">
      <c r="A940" s="150"/>
      <c r="B940" s="106"/>
      <c r="C940" s="106"/>
      <c r="D940" s="106"/>
      <c r="E940" s="107"/>
      <c r="F940" s="106"/>
      <c r="G940" s="106"/>
      <c r="H940" s="155"/>
      <c r="I940" s="155"/>
      <c r="J940" s="106"/>
    </row>
    <row r="941" spans="1:10" s="20" customFormat="1" ht="15.6" hidden="1" customHeight="1" x14ac:dyDescent="0.3">
      <c r="A941" s="151" t="s">
        <v>328</v>
      </c>
      <c r="B941" s="106"/>
      <c r="C941" s="106"/>
      <c r="D941" s="106"/>
      <c r="E941" s="107"/>
      <c r="F941" s="106"/>
      <c r="G941" s="106"/>
      <c r="H941" s="155"/>
      <c r="I941" s="155"/>
      <c r="J941" s="106"/>
    </row>
    <row r="942" spans="1:10" s="20" customFormat="1" ht="15.6" hidden="1" customHeight="1" x14ac:dyDescent="0.3">
      <c r="A942" s="151"/>
      <c r="B942" s="106"/>
      <c r="C942" s="106"/>
      <c r="D942" s="106"/>
      <c r="E942" s="107"/>
      <c r="F942" s="106"/>
      <c r="G942" s="106"/>
      <c r="H942" s="155"/>
      <c r="I942" s="155"/>
      <c r="J942" s="106"/>
    </row>
    <row r="943" spans="1:10" s="20" customFormat="1" ht="15.6" hidden="1" customHeight="1" x14ac:dyDescent="0.3">
      <c r="A943" s="151"/>
      <c r="B943" s="106"/>
      <c r="C943" s="106"/>
      <c r="D943" s="106"/>
      <c r="E943" s="107"/>
      <c r="F943" s="106"/>
      <c r="G943" s="106"/>
      <c r="H943" s="155"/>
      <c r="I943" s="155"/>
      <c r="J943" s="106"/>
    </row>
    <row r="944" spans="1:10" s="20" customFormat="1" ht="15.6" hidden="1" customHeight="1" x14ac:dyDescent="0.3">
      <c r="A944" s="150" t="s">
        <v>329</v>
      </c>
      <c r="B944" s="106"/>
      <c r="C944" s="106"/>
      <c r="D944" s="106"/>
      <c r="E944" s="107"/>
      <c r="F944" s="106"/>
      <c r="G944" s="106"/>
      <c r="H944" s="155"/>
      <c r="I944" s="155"/>
      <c r="J944" s="106"/>
    </row>
    <row r="945" spans="1:10" s="20" customFormat="1" ht="15.6" hidden="1" customHeight="1" x14ac:dyDescent="0.3">
      <c r="A945" s="150"/>
      <c r="B945" s="106"/>
      <c r="C945" s="106"/>
      <c r="D945" s="106"/>
      <c r="E945" s="107"/>
      <c r="F945" s="106"/>
      <c r="G945" s="106"/>
      <c r="H945" s="155"/>
      <c r="I945" s="155"/>
      <c r="J945" s="106"/>
    </row>
    <row r="946" spans="1:10" ht="15.6" hidden="1" customHeight="1" x14ac:dyDescent="0.3">
      <c r="A946" s="150"/>
      <c r="B946" s="106"/>
      <c r="C946" s="106"/>
      <c r="D946" s="106"/>
      <c r="E946" s="107"/>
      <c r="F946" s="106"/>
      <c r="G946" s="106"/>
      <c r="H946" s="155"/>
      <c r="I946" s="155"/>
      <c r="J946" s="106"/>
    </row>
    <row r="947" spans="1:10" ht="15.6" hidden="1" customHeight="1" x14ac:dyDescent="0.3">
      <c r="A947" s="150" t="s">
        <v>330</v>
      </c>
      <c r="B947" s="108"/>
      <c r="C947" s="108"/>
      <c r="D947" s="108"/>
      <c r="E947" s="115"/>
      <c r="F947" s="108"/>
      <c r="G947" s="108"/>
      <c r="H947" s="155"/>
      <c r="I947" s="155"/>
      <c r="J947" s="108"/>
    </row>
    <row r="948" spans="1:10" ht="15.6" hidden="1" customHeight="1" x14ac:dyDescent="0.3">
      <c r="A948" s="150"/>
      <c r="B948" s="108"/>
      <c r="C948" s="108"/>
      <c r="D948" s="108"/>
      <c r="E948" s="115"/>
      <c r="F948" s="108"/>
      <c r="G948" s="108"/>
      <c r="H948" s="155"/>
      <c r="I948" s="155"/>
      <c r="J948" s="108"/>
    </row>
    <row r="949" spans="1:10" ht="15.6" hidden="1" customHeight="1" x14ac:dyDescent="0.3">
      <c r="A949" s="150"/>
      <c r="B949" s="108"/>
      <c r="C949" s="108"/>
      <c r="D949" s="108"/>
      <c r="E949" s="115"/>
      <c r="F949" s="108"/>
      <c r="G949" s="108"/>
      <c r="H949" s="155"/>
      <c r="I949" s="155"/>
      <c r="J949" s="108"/>
    </row>
    <row r="950" spans="1:10" ht="15.6" hidden="1" customHeight="1" x14ac:dyDescent="0.3">
      <c r="A950" s="110" t="s">
        <v>331</v>
      </c>
      <c r="B950" s="106"/>
      <c r="C950" s="106" t="s">
        <v>535</v>
      </c>
      <c r="D950" s="106"/>
      <c r="E950" s="107">
        <v>46114</v>
      </c>
      <c r="F950" s="106" t="s">
        <v>490</v>
      </c>
      <c r="G950" s="106"/>
      <c r="H950" s="155"/>
      <c r="I950" s="155"/>
      <c r="J950" s="106"/>
    </row>
    <row r="951" spans="1:10" ht="15.6" hidden="1" customHeight="1" x14ac:dyDescent="0.3">
      <c r="A951" s="110" t="s">
        <v>331</v>
      </c>
      <c r="B951" s="106"/>
      <c r="C951" s="106" t="s">
        <v>507</v>
      </c>
      <c r="D951" s="106"/>
      <c r="E951" s="107">
        <v>46116</v>
      </c>
      <c r="F951" s="106" t="s">
        <v>490</v>
      </c>
      <c r="G951" s="106"/>
      <c r="H951" s="155"/>
      <c r="I951" s="155"/>
      <c r="J951" s="106"/>
    </row>
    <row r="952" spans="1:10" ht="15.6" customHeight="1" x14ac:dyDescent="0.3">
      <c r="A952" s="110" t="s">
        <v>331</v>
      </c>
      <c r="B952" s="106"/>
      <c r="C952" s="141" t="s">
        <v>516</v>
      </c>
      <c r="D952" s="106"/>
      <c r="E952" s="107">
        <v>46126</v>
      </c>
      <c r="F952" s="106" t="s">
        <v>490</v>
      </c>
      <c r="G952" s="106"/>
      <c r="H952" s="155"/>
      <c r="I952" s="155"/>
      <c r="J952" s="106">
        <v>16</v>
      </c>
    </row>
    <row r="953" spans="1:10" ht="15.6" hidden="1" customHeight="1" x14ac:dyDescent="0.3">
      <c r="A953" s="150" t="s">
        <v>332</v>
      </c>
      <c r="B953" s="108"/>
      <c r="C953" s="108"/>
      <c r="D953" s="108"/>
      <c r="E953" s="108"/>
      <c r="F953" s="108"/>
      <c r="G953" s="108"/>
      <c r="H953" s="155"/>
      <c r="I953" s="155"/>
      <c r="J953" s="108"/>
    </row>
    <row r="954" spans="1:10" ht="15.6" hidden="1" customHeight="1" x14ac:dyDescent="0.3">
      <c r="A954" s="150"/>
      <c r="B954" s="108"/>
      <c r="C954" s="108"/>
      <c r="D954" s="108"/>
      <c r="E954" s="108"/>
      <c r="F954" s="108"/>
      <c r="G954" s="108"/>
      <c r="H954" s="155"/>
      <c r="I954" s="155"/>
      <c r="J954" s="108"/>
    </row>
    <row r="955" spans="1:10" ht="15.6" hidden="1" customHeight="1" x14ac:dyDescent="0.3">
      <c r="A955" s="150"/>
      <c r="B955" s="108"/>
      <c r="C955" s="108"/>
      <c r="D955" s="108"/>
      <c r="E955" s="108"/>
      <c r="F955" s="108"/>
      <c r="G955" s="108"/>
      <c r="H955" s="155"/>
      <c r="I955" s="155"/>
      <c r="J955" s="108"/>
    </row>
    <row r="956" spans="1:10" ht="15.6" customHeight="1" x14ac:dyDescent="0.3">
      <c r="A956" s="110" t="s">
        <v>333</v>
      </c>
      <c r="B956" s="106"/>
      <c r="C956" s="141" t="s">
        <v>492</v>
      </c>
      <c r="D956" s="106"/>
      <c r="E956" s="107">
        <v>46114</v>
      </c>
      <c r="F956" s="106" t="s">
        <v>491</v>
      </c>
      <c r="G956" s="106"/>
      <c r="H956" s="155"/>
      <c r="I956" s="155"/>
      <c r="J956" s="106">
        <v>16</v>
      </c>
    </row>
    <row r="957" spans="1:10" ht="15.6" hidden="1" customHeight="1" x14ac:dyDescent="0.3">
      <c r="A957" s="110" t="s">
        <v>333</v>
      </c>
      <c r="B957" s="106"/>
      <c r="C957" s="106" t="s">
        <v>493</v>
      </c>
      <c r="D957" s="106"/>
      <c r="E957" s="107">
        <v>46114</v>
      </c>
      <c r="F957" s="106" t="s">
        <v>491</v>
      </c>
      <c r="G957" s="106"/>
      <c r="H957" s="155"/>
      <c r="I957" s="155"/>
      <c r="J957" s="106"/>
    </row>
    <row r="958" spans="1:10" ht="15.6" hidden="1" customHeight="1" x14ac:dyDescent="0.3">
      <c r="A958" s="110" t="s">
        <v>333</v>
      </c>
      <c r="B958" s="106"/>
      <c r="C958" s="106"/>
      <c r="D958" s="106"/>
      <c r="E958" s="107"/>
      <c r="F958" s="106"/>
      <c r="G958" s="106"/>
      <c r="H958" s="155"/>
      <c r="I958" s="155"/>
      <c r="J958" s="106"/>
    </row>
    <row r="959" spans="1:10" ht="15.6" hidden="1" customHeight="1" x14ac:dyDescent="0.3">
      <c r="A959" s="110" t="s">
        <v>333</v>
      </c>
      <c r="B959" s="106"/>
      <c r="C959" s="106"/>
      <c r="D959" s="106"/>
      <c r="E959" s="107"/>
      <c r="F959" s="106"/>
      <c r="G959" s="106"/>
      <c r="H959" s="155"/>
      <c r="I959" s="155"/>
      <c r="J959" s="106"/>
    </row>
    <row r="960" spans="1:10" ht="15.6" customHeight="1" x14ac:dyDescent="0.3">
      <c r="A960" s="110" t="s">
        <v>334</v>
      </c>
      <c r="B960" s="106"/>
      <c r="C960" s="141" t="s">
        <v>492</v>
      </c>
      <c r="D960" s="106"/>
      <c r="E960" s="107">
        <v>46114</v>
      </c>
      <c r="F960" s="106" t="s">
        <v>490</v>
      </c>
      <c r="G960" s="106"/>
      <c r="H960" s="155"/>
      <c r="I960" s="155"/>
      <c r="J960" s="106">
        <v>16</v>
      </c>
    </row>
    <row r="961" spans="1:10" ht="15.6" hidden="1" customHeight="1" x14ac:dyDescent="0.3">
      <c r="A961" s="110" t="s">
        <v>334</v>
      </c>
      <c r="B961" s="106"/>
      <c r="C961" s="106" t="s">
        <v>493</v>
      </c>
      <c r="D961" s="106"/>
      <c r="E961" s="107">
        <v>46114</v>
      </c>
      <c r="F961" s="106" t="s">
        <v>490</v>
      </c>
      <c r="G961" s="106"/>
      <c r="H961" s="155"/>
      <c r="I961" s="155"/>
      <c r="J961" s="106"/>
    </row>
    <row r="962" spans="1:10" ht="15.6" hidden="1" customHeight="1" x14ac:dyDescent="0.3">
      <c r="A962" s="110" t="s">
        <v>334</v>
      </c>
      <c r="B962" s="106"/>
      <c r="C962" s="106" t="s">
        <v>501</v>
      </c>
      <c r="D962" s="106"/>
      <c r="E962" s="107">
        <v>46113</v>
      </c>
      <c r="F962" s="106" t="s">
        <v>496</v>
      </c>
      <c r="G962" s="106"/>
      <c r="H962" s="155"/>
      <c r="I962" s="155"/>
      <c r="J962" s="106"/>
    </row>
    <row r="963" spans="1:10" ht="15.6" customHeight="1" x14ac:dyDescent="0.3">
      <c r="A963" s="109" t="s">
        <v>335</v>
      </c>
      <c r="B963" s="106"/>
      <c r="C963" s="141" t="s">
        <v>492</v>
      </c>
      <c r="D963" s="106"/>
      <c r="E963" s="107">
        <v>46114</v>
      </c>
      <c r="F963" s="106" t="s">
        <v>491</v>
      </c>
      <c r="G963" s="106"/>
      <c r="H963" s="155"/>
      <c r="I963" s="155"/>
      <c r="J963" s="106">
        <v>16</v>
      </c>
    </row>
    <row r="964" spans="1:10" ht="15.6" hidden="1" customHeight="1" x14ac:dyDescent="0.3">
      <c r="A964" s="109" t="s">
        <v>335</v>
      </c>
      <c r="B964" s="106"/>
      <c r="C964" s="106" t="s">
        <v>493</v>
      </c>
      <c r="D964" s="106"/>
      <c r="E964" s="107"/>
      <c r="F964" s="106"/>
      <c r="G964" s="106"/>
      <c r="H964" s="155"/>
      <c r="I964" s="155"/>
      <c r="J964" s="106"/>
    </row>
    <row r="965" spans="1:10" ht="15.6" hidden="1" customHeight="1" x14ac:dyDescent="0.3">
      <c r="A965" s="109" t="s">
        <v>335</v>
      </c>
      <c r="B965" s="106"/>
      <c r="C965" s="106"/>
      <c r="D965" s="106"/>
      <c r="E965" s="107"/>
      <c r="F965" s="106"/>
      <c r="G965" s="106"/>
      <c r="H965" s="155"/>
      <c r="I965" s="155"/>
      <c r="J965" s="106"/>
    </row>
    <row r="966" spans="1:10" ht="15.6" hidden="1" customHeight="1" x14ac:dyDescent="0.3">
      <c r="A966" s="150" t="s">
        <v>336</v>
      </c>
      <c r="B966" s="106"/>
      <c r="C966" s="106"/>
      <c r="D966" s="106"/>
      <c r="E966" s="107"/>
      <c r="F966" s="106"/>
      <c r="G966" s="106"/>
      <c r="H966" s="155"/>
      <c r="I966" s="155"/>
      <c r="J966" s="106"/>
    </row>
    <row r="967" spans="1:10" ht="15.6" hidden="1" customHeight="1" x14ac:dyDescent="0.3">
      <c r="A967" s="150"/>
      <c r="B967" s="106"/>
      <c r="C967" s="106"/>
      <c r="D967" s="106"/>
      <c r="E967" s="107"/>
      <c r="F967" s="106"/>
      <c r="G967" s="106"/>
      <c r="H967" s="155"/>
      <c r="I967" s="155"/>
      <c r="J967" s="106"/>
    </row>
    <row r="968" spans="1:10" ht="15.6" hidden="1" customHeight="1" x14ac:dyDescent="0.3">
      <c r="A968" s="150"/>
      <c r="B968" s="106"/>
      <c r="C968" s="106"/>
      <c r="D968" s="106"/>
      <c r="E968" s="107"/>
      <c r="F968" s="106"/>
      <c r="G968" s="106"/>
      <c r="H968" s="155"/>
      <c r="I968" s="155"/>
      <c r="J968" s="106"/>
    </row>
    <row r="969" spans="1:10" ht="15.6" hidden="1" customHeight="1" x14ac:dyDescent="0.3">
      <c r="A969" s="150" t="s">
        <v>337</v>
      </c>
      <c r="B969" s="106"/>
      <c r="C969" s="106"/>
      <c r="D969" s="106"/>
      <c r="E969" s="107"/>
      <c r="F969" s="106"/>
      <c r="G969" s="106"/>
      <c r="H969" s="155"/>
      <c r="I969" s="155"/>
      <c r="J969" s="106"/>
    </row>
    <row r="970" spans="1:10" ht="15.6" hidden="1" customHeight="1" x14ac:dyDescent="0.3">
      <c r="A970" s="150"/>
      <c r="B970" s="106"/>
      <c r="C970" s="106"/>
      <c r="D970" s="106"/>
      <c r="E970" s="107"/>
      <c r="F970" s="106"/>
      <c r="G970" s="106"/>
      <c r="H970" s="155"/>
      <c r="I970" s="155"/>
      <c r="J970" s="106"/>
    </row>
    <row r="971" spans="1:10" ht="15.6" hidden="1" customHeight="1" x14ac:dyDescent="0.3">
      <c r="A971" s="150"/>
      <c r="B971" s="106"/>
      <c r="C971" s="106"/>
      <c r="D971" s="106"/>
      <c r="E971" s="107"/>
      <c r="F971" s="106"/>
      <c r="G971" s="106"/>
      <c r="H971" s="155"/>
      <c r="I971" s="155"/>
      <c r="J971" s="106"/>
    </row>
    <row r="972" spans="1:10" ht="15.6" hidden="1" customHeight="1" x14ac:dyDescent="0.3">
      <c r="A972" s="150" t="s">
        <v>338</v>
      </c>
      <c r="B972" s="106"/>
      <c r="C972" s="106"/>
      <c r="D972" s="106"/>
      <c r="E972" s="107"/>
      <c r="F972" s="106"/>
      <c r="G972" s="106"/>
      <c r="H972" s="155"/>
      <c r="I972" s="155"/>
      <c r="J972" s="106"/>
    </row>
    <row r="973" spans="1:10" ht="15.6" hidden="1" customHeight="1" x14ac:dyDescent="0.3">
      <c r="A973" s="150"/>
      <c r="B973" s="106"/>
      <c r="C973" s="106"/>
      <c r="D973" s="106"/>
      <c r="E973" s="107"/>
      <c r="F973" s="106"/>
      <c r="G973" s="106"/>
      <c r="H973" s="155"/>
      <c r="I973" s="155"/>
      <c r="J973" s="106"/>
    </row>
    <row r="974" spans="1:10" ht="15.6" hidden="1" customHeight="1" x14ac:dyDescent="0.3">
      <c r="A974" s="150"/>
      <c r="B974" s="106"/>
      <c r="C974" s="106"/>
      <c r="D974" s="106"/>
      <c r="E974" s="107"/>
      <c r="F974" s="106"/>
      <c r="G974" s="106"/>
      <c r="H974" s="155"/>
      <c r="I974" s="155"/>
      <c r="J974" s="106"/>
    </row>
    <row r="975" spans="1:10" ht="15.6" hidden="1" customHeight="1" x14ac:dyDescent="0.3">
      <c r="A975" s="150" t="s">
        <v>339</v>
      </c>
      <c r="B975" s="106"/>
      <c r="C975" s="106" t="s">
        <v>486</v>
      </c>
      <c r="D975" s="106"/>
      <c r="E975" s="107">
        <v>46113</v>
      </c>
      <c r="F975" s="106" t="s">
        <v>502</v>
      </c>
      <c r="G975" s="106"/>
      <c r="H975" s="155"/>
      <c r="I975" s="155"/>
      <c r="J975" s="106"/>
    </row>
    <row r="976" spans="1:10" ht="15.6" hidden="1" customHeight="1" x14ac:dyDescent="0.3">
      <c r="A976" s="150"/>
      <c r="B976" s="106"/>
      <c r="C976" s="106"/>
      <c r="D976" s="106"/>
      <c r="E976" s="107"/>
      <c r="F976" s="106"/>
      <c r="G976" s="106"/>
      <c r="H976" s="155"/>
      <c r="I976" s="155"/>
      <c r="J976" s="106"/>
    </row>
    <row r="977" spans="1:10" ht="15.6" hidden="1" customHeight="1" x14ac:dyDescent="0.3">
      <c r="A977" s="150"/>
      <c r="B977" s="106"/>
      <c r="C977" s="106"/>
      <c r="D977" s="106"/>
      <c r="E977" s="107"/>
      <c r="F977" s="106"/>
      <c r="G977" s="106"/>
      <c r="H977" s="155"/>
      <c r="I977" s="155"/>
      <c r="J977" s="106"/>
    </row>
    <row r="978" spans="1:10" ht="15.6" hidden="1" customHeight="1" x14ac:dyDescent="0.3">
      <c r="A978" s="150" t="s">
        <v>340</v>
      </c>
      <c r="B978" s="108"/>
      <c r="C978" s="108"/>
      <c r="D978" s="108"/>
      <c r="E978" s="108"/>
      <c r="F978" s="108"/>
      <c r="G978" s="108"/>
      <c r="H978" s="155"/>
      <c r="I978" s="155"/>
      <c r="J978" s="108"/>
    </row>
    <row r="979" spans="1:10" ht="15.6" hidden="1" customHeight="1" x14ac:dyDescent="0.3">
      <c r="A979" s="150"/>
      <c r="B979" s="108"/>
      <c r="C979" s="108"/>
      <c r="D979" s="108"/>
      <c r="E979" s="108"/>
      <c r="F979" s="108"/>
      <c r="G979" s="108"/>
      <c r="H979" s="155"/>
      <c r="I979" s="155"/>
      <c r="J979" s="108"/>
    </row>
    <row r="980" spans="1:10" ht="15.6" hidden="1" customHeight="1" x14ac:dyDescent="0.3">
      <c r="A980" s="150"/>
      <c r="B980" s="108"/>
      <c r="C980" s="108"/>
      <c r="D980" s="108"/>
      <c r="E980" s="108"/>
      <c r="F980" s="108"/>
      <c r="G980" s="108"/>
      <c r="H980" s="155"/>
      <c r="I980" s="155"/>
      <c r="J980" s="108"/>
    </row>
    <row r="981" spans="1:10" ht="15.6" customHeight="1" x14ac:dyDescent="0.3">
      <c r="A981" s="109" t="s">
        <v>341</v>
      </c>
      <c r="B981" s="108"/>
      <c r="C981" s="141" t="s">
        <v>516</v>
      </c>
      <c r="D981" s="108"/>
      <c r="E981" s="107">
        <v>46130</v>
      </c>
      <c r="F981" s="106" t="s">
        <v>490</v>
      </c>
      <c r="G981" s="108"/>
      <c r="H981" s="155"/>
      <c r="I981" s="155"/>
      <c r="J981" s="106">
        <v>16</v>
      </c>
    </row>
    <row r="982" spans="1:10" ht="15.6" hidden="1" customHeight="1" x14ac:dyDescent="0.3">
      <c r="A982" s="109" t="s">
        <v>341</v>
      </c>
      <c r="B982" s="108"/>
      <c r="C982" s="106"/>
      <c r="D982" s="108"/>
      <c r="E982" s="107"/>
      <c r="F982" s="106"/>
      <c r="G982" s="108"/>
      <c r="H982" s="155"/>
      <c r="I982" s="155"/>
      <c r="J982" s="106"/>
    </row>
    <row r="983" spans="1:10" ht="15.6" hidden="1" customHeight="1" x14ac:dyDescent="0.3">
      <c r="A983" s="109" t="s">
        <v>341</v>
      </c>
      <c r="B983" s="108"/>
      <c r="C983" s="106"/>
      <c r="D983" s="108"/>
      <c r="E983" s="107"/>
      <c r="F983" s="106"/>
      <c r="G983" s="108"/>
      <c r="H983" s="155"/>
      <c r="I983" s="155"/>
      <c r="J983" s="106"/>
    </row>
    <row r="984" spans="1:10" ht="15.6" hidden="1" customHeight="1" x14ac:dyDescent="0.3">
      <c r="A984" s="150" t="s">
        <v>342</v>
      </c>
      <c r="B984" s="106"/>
      <c r="C984" s="106"/>
      <c r="D984" s="106"/>
      <c r="E984" s="107"/>
      <c r="F984" s="106"/>
      <c r="G984" s="106"/>
      <c r="H984" s="155"/>
      <c r="I984" s="155"/>
      <c r="J984" s="106"/>
    </row>
    <row r="985" spans="1:10" ht="15.6" hidden="1" customHeight="1" x14ac:dyDescent="0.3">
      <c r="A985" s="150"/>
      <c r="B985" s="106"/>
      <c r="C985" s="106"/>
      <c r="D985" s="106"/>
      <c r="E985" s="107"/>
      <c r="F985" s="106"/>
      <c r="G985" s="106"/>
      <c r="H985" s="155"/>
      <c r="I985" s="155"/>
      <c r="J985" s="106"/>
    </row>
    <row r="986" spans="1:10" ht="15.6" hidden="1" customHeight="1" x14ac:dyDescent="0.3">
      <c r="A986" s="150"/>
      <c r="B986" s="106"/>
      <c r="C986" s="106"/>
      <c r="D986" s="106"/>
      <c r="E986" s="107"/>
      <c r="F986" s="106"/>
      <c r="G986" s="106"/>
      <c r="H986" s="155"/>
      <c r="I986" s="155"/>
      <c r="J986" s="106"/>
    </row>
    <row r="987" spans="1:10" ht="15.6" hidden="1" customHeight="1" x14ac:dyDescent="0.3">
      <c r="A987" s="109" t="s">
        <v>343</v>
      </c>
      <c r="B987" s="106"/>
      <c r="C987" s="106"/>
      <c r="D987" s="106"/>
      <c r="E987" s="107"/>
      <c r="F987" s="106"/>
      <c r="G987" s="106"/>
      <c r="H987" s="155"/>
      <c r="I987" s="155"/>
      <c r="J987" s="106"/>
    </row>
    <row r="988" spans="1:10" ht="15.6" hidden="1" customHeight="1" x14ac:dyDescent="0.3">
      <c r="A988" s="109" t="s">
        <v>476</v>
      </c>
      <c r="B988" s="106"/>
      <c r="C988" s="106"/>
      <c r="D988" s="106"/>
      <c r="E988" s="107"/>
      <c r="F988" s="106"/>
      <c r="G988" s="106"/>
      <c r="H988" s="155"/>
      <c r="I988" s="155"/>
      <c r="J988" s="106"/>
    </row>
    <row r="989" spans="1:10" ht="15.6" hidden="1" customHeight="1" x14ac:dyDescent="0.3">
      <c r="A989" s="109" t="s">
        <v>477</v>
      </c>
      <c r="B989" s="106"/>
      <c r="C989" s="106"/>
      <c r="D989" s="106"/>
      <c r="E989" s="107"/>
      <c r="F989" s="106"/>
      <c r="G989" s="106"/>
      <c r="H989" s="155"/>
      <c r="I989" s="155"/>
      <c r="J989" s="106"/>
    </row>
    <row r="990" spans="1:10" ht="15.6" hidden="1" customHeight="1" x14ac:dyDescent="0.3">
      <c r="A990" s="150" t="s">
        <v>344</v>
      </c>
      <c r="B990" s="106"/>
      <c r="C990" s="106"/>
      <c r="D990" s="106"/>
      <c r="E990" s="107"/>
      <c r="F990" s="106"/>
      <c r="G990" s="106"/>
      <c r="H990" s="155"/>
      <c r="I990" s="155"/>
      <c r="J990" s="106"/>
    </row>
    <row r="991" spans="1:10" ht="15.6" hidden="1" customHeight="1" x14ac:dyDescent="0.3">
      <c r="A991" s="150"/>
      <c r="B991" s="106"/>
      <c r="C991" s="106"/>
      <c r="D991" s="106"/>
      <c r="E991" s="107"/>
      <c r="F991" s="106"/>
      <c r="G991" s="106"/>
      <c r="H991" s="155"/>
      <c r="I991" s="155"/>
      <c r="J991" s="106"/>
    </row>
    <row r="992" spans="1:10" ht="15.6" hidden="1" customHeight="1" x14ac:dyDescent="0.3">
      <c r="A992" s="150"/>
      <c r="B992" s="106"/>
      <c r="C992" s="106"/>
      <c r="D992" s="106"/>
      <c r="E992" s="107"/>
      <c r="F992" s="106"/>
      <c r="G992" s="106"/>
      <c r="H992" s="155"/>
      <c r="I992" s="155"/>
      <c r="J992" s="106"/>
    </row>
    <row r="993" spans="1:10" ht="15.6" hidden="1" customHeight="1" x14ac:dyDescent="0.3">
      <c r="A993" s="150" t="s">
        <v>345</v>
      </c>
      <c r="B993" s="108"/>
      <c r="C993" s="108"/>
      <c r="D993" s="108"/>
      <c r="E993" s="115"/>
      <c r="F993" s="108"/>
      <c r="G993" s="108"/>
      <c r="H993" s="155"/>
      <c r="I993" s="155"/>
      <c r="J993" s="108"/>
    </row>
    <row r="994" spans="1:10" ht="15.6" hidden="1" customHeight="1" x14ac:dyDescent="0.3">
      <c r="A994" s="150"/>
      <c r="B994" s="108"/>
      <c r="C994" s="108"/>
      <c r="D994" s="108"/>
      <c r="E994" s="115"/>
      <c r="F994" s="108"/>
      <c r="G994" s="108"/>
      <c r="H994" s="155"/>
      <c r="I994" s="155"/>
      <c r="J994" s="108"/>
    </row>
    <row r="995" spans="1:10" ht="15.6" hidden="1" customHeight="1" x14ac:dyDescent="0.3">
      <c r="A995" s="150"/>
      <c r="B995" s="108"/>
      <c r="C995" s="108"/>
      <c r="D995" s="108"/>
      <c r="E995" s="115"/>
      <c r="F995" s="108"/>
      <c r="G995" s="108"/>
      <c r="H995" s="155"/>
      <c r="I995" s="155"/>
      <c r="J995" s="108"/>
    </row>
    <row r="996" spans="1:10" ht="15.6" hidden="1" customHeight="1" x14ac:dyDescent="0.3">
      <c r="A996" s="150" t="s">
        <v>346</v>
      </c>
      <c r="B996" s="108"/>
      <c r="C996" s="108"/>
      <c r="D996" s="108"/>
      <c r="E996" s="108"/>
      <c r="F996" s="108"/>
      <c r="G996" s="108"/>
      <c r="H996" s="155"/>
      <c r="I996" s="155"/>
      <c r="J996" s="108"/>
    </row>
    <row r="997" spans="1:10" ht="15.6" hidden="1" customHeight="1" x14ac:dyDescent="0.3">
      <c r="A997" s="150"/>
      <c r="B997" s="108"/>
      <c r="C997" s="108"/>
      <c r="D997" s="108"/>
      <c r="E997" s="108"/>
      <c r="F997" s="108"/>
      <c r="G997" s="108"/>
      <c r="H997" s="155"/>
      <c r="I997" s="155"/>
      <c r="J997" s="108"/>
    </row>
    <row r="998" spans="1:10" s="20" customFormat="1" ht="15.6" hidden="1" customHeight="1" x14ac:dyDescent="0.3">
      <c r="A998" s="150"/>
      <c r="B998" s="108"/>
      <c r="C998" s="108"/>
      <c r="D998" s="108"/>
      <c r="E998" s="108"/>
      <c r="F998" s="108"/>
      <c r="G998" s="108"/>
      <c r="H998" s="155"/>
      <c r="I998" s="155"/>
      <c r="J998" s="108"/>
    </row>
    <row r="999" spans="1:10" s="20" customFormat="1" ht="15.6" customHeight="1" x14ac:dyDescent="0.3">
      <c r="A999" s="109" t="s">
        <v>347</v>
      </c>
      <c r="B999" s="106"/>
      <c r="C999" s="141" t="s">
        <v>525</v>
      </c>
      <c r="D999" s="106"/>
      <c r="E999" s="107">
        <v>46127</v>
      </c>
      <c r="F999" s="106" t="s">
        <v>496</v>
      </c>
      <c r="G999" s="106"/>
      <c r="H999" s="155"/>
      <c r="I999" s="155"/>
      <c r="J999" s="106">
        <v>16</v>
      </c>
    </row>
    <row r="1000" spans="1:10" s="20" customFormat="1" ht="15.6" hidden="1" customHeight="1" x14ac:dyDescent="0.3">
      <c r="A1000" s="109" t="s">
        <v>347</v>
      </c>
      <c r="B1000" s="106"/>
      <c r="C1000" s="106" t="s">
        <v>524</v>
      </c>
      <c r="D1000" s="106"/>
      <c r="E1000" s="107">
        <v>46127</v>
      </c>
      <c r="F1000" s="106" t="s">
        <v>496</v>
      </c>
      <c r="G1000" s="106"/>
      <c r="H1000" s="155"/>
      <c r="I1000" s="155"/>
      <c r="J1000" s="106"/>
    </row>
    <row r="1001" spans="1:10" ht="15.6" hidden="1" customHeight="1" x14ac:dyDescent="0.3">
      <c r="A1001" s="109" t="s">
        <v>347</v>
      </c>
      <c r="B1001" s="106"/>
      <c r="C1001" s="106" t="s">
        <v>542</v>
      </c>
      <c r="D1001" s="106"/>
      <c r="E1001" s="107">
        <v>46134</v>
      </c>
      <c r="F1001" s="106" t="s">
        <v>496</v>
      </c>
      <c r="G1001" s="106"/>
      <c r="H1001" s="155"/>
      <c r="I1001" s="155"/>
      <c r="J1001" s="106"/>
    </row>
    <row r="1002" spans="1:10" ht="15.6" hidden="1" customHeight="1" x14ac:dyDescent="0.3">
      <c r="A1002" s="109" t="s">
        <v>348</v>
      </c>
      <c r="B1002" s="106"/>
      <c r="C1002" s="106"/>
      <c r="D1002" s="106"/>
      <c r="E1002" s="107"/>
      <c r="F1002" s="106"/>
      <c r="G1002" s="106"/>
      <c r="H1002" s="155"/>
      <c r="I1002" s="155"/>
      <c r="J1002" s="106"/>
    </row>
    <row r="1003" spans="1:10" ht="15.6" hidden="1" customHeight="1" x14ac:dyDescent="0.3">
      <c r="A1003" s="109" t="s">
        <v>348</v>
      </c>
      <c r="B1003" s="106"/>
      <c r="C1003" s="106"/>
      <c r="D1003" s="106"/>
      <c r="E1003" s="107"/>
      <c r="F1003" s="106"/>
      <c r="G1003" s="106"/>
      <c r="H1003" s="155"/>
      <c r="I1003" s="155"/>
      <c r="J1003" s="106"/>
    </row>
    <row r="1004" spans="1:10" ht="15.6" hidden="1" customHeight="1" x14ac:dyDescent="0.3">
      <c r="A1004" s="109" t="s">
        <v>348</v>
      </c>
      <c r="B1004" s="106"/>
      <c r="C1004" s="106"/>
      <c r="D1004" s="106"/>
      <c r="E1004" s="107"/>
      <c r="F1004" s="106"/>
      <c r="G1004" s="106"/>
      <c r="H1004" s="155"/>
      <c r="I1004" s="155"/>
      <c r="J1004" s="106"/>
    </row>
    <row r="1005" spans="1:10" ht="15.6" hidden="1" customHeight="1" x14ac:dyDescent="0.3">
      <c r="A1005" s="150" t="s">
        <v>349</v>
      </c>
      <c r="B1005" s="108"/>
      <c r="C1005" s="106"/>
      <c r="D1005" s="106"/>
      <c r="E1005" s="107"/>
      <c r="F1005" s="106"/>
      <c r="G1005" s="108"/>
      <c r="H1005" s="155"/>
      <c r="I1005" s="155"/>
      <c r="J1005" s="108"/>
    </row>
    <row r="1006" spans="1:10" ht="15.6" hidden="1" customHeight="1" x14ac:dyDescent="0.3">
      <c r="A1006" s="150"/>
      <c r="B1006" s="108"/>
      <c r="C1006" s="106"/>
      <c r="D1006" s="106"/>
      <c r="E1006" s="107"/>
      <c r="F1006" s="106"/>
      <c r="G1006" s="108"/>
      <c r="H1006" s="155"/>
      <c r="I1006" s="155"/>
      <c r="J1006" s="108"/>
    </row>
    <row r="1007" spans="1:10" ht="15.6" hidden="1" customHeight="1" x14ac:dyDescent="0.3">
      <c r="A1007" s="150"/>
      <c r="B1007" s="108"/>
      <c r="C1007" s="106"/>
      <c r="D1007" s="106"/>
      <c r="E1007" s="107"/>
      <c r="F1007" s="106"/>
      <c r="G1007" s="108"/>
      <c r="H1007" s="155"/>
      <c r="I1007" s="155"/>
      <c r="J1007" s="108"/>
    </row>
    <row r="1008" spans="1:10" ht="15.6" hidden="1" customHeight="1" x14ac:dyDescent="0.3">
      <c r="A1008" s="150" t="s">
        <v>350</v>
      </c>
      <c r="B1008" s="108"/>
      <c r="C1008" s="108"/>
      <c r="D1008" s="108"/>
      <c r="E1008" s="108"/>
      <c r="F1008" s="108"/>
      <c r="G1008" s="108"/>
      <c r="H1008" s="155"/>
      <c r="I1008" s="155"/>
      <c r="J1008" s="108"/>
    </row>
    <row r="1009" spans="1:10" ht="15.6" hidden="1" customHeight="1" x14ac:dyDescent="0.3">
      <c r="A1009" s="150"/>
      <c r="B1009" s="108"/>
      <c r="C1009" s="108"/>
      <c r="D1009" s="108"/>
      <c r="E1009" s="108"/>
      <c r="F1009" s="108"/>
      <c r="G1009" s="108"/>
      <c r="H1009" s="155"/>
      <c r="I1009" s="155"/>
      <c r="J1009" s="108"/>
    </row>
    <row r="1010" spans="1:10" ht="15.6" hidden="1" customHeight="1" x14ac:dyDescent="0.3">
      <c r="A1010" s="150"/>
      <c r="B1010" s="108"/>
      <c r="C1010" s="108"/>
      <c r="D1010" s="108"/>
      <c r="E1010" s="108"/>
      <c r="F1010" s="108"/>
      <c r="G1010" s="108"/>
      <c r="H1010" s="155"/>
      <c r="I1010" s="155"/>
      <c r="J1010" s="108"/>
    </row>
    <row r="1011" spans="1:10" ht="15.6" hidden="1" customHeight="1" x14ac:dyDescent="0.3">
      <c r="A1011" s="150" t="s">
        <v>351</v>
      </c>
      <c r="B1011" s="108"/>
      <c r="C1011" s="106" t="s">
        <v>488</v>
      </c>
      <c r="D1011" s="106"/>
      <c r="E1011" s="107"/>
      <c r="F1011" s="106" t="s">
        <v>487</v>
      </c>
      <c r="G1011" s="108"/>
      <c r="H1011" s="155"/>
      <c r="I1011" s="155"/>
      <c r="J1011" s="108"/>
    </row>
    <row r="1012" spans="1:10" ht="15.6" hidden="1" customHeight="1" x14ac:dyDescent="0.3">
      <c r="A1012" s="150"/>
      <c r="B1012" s="108"/>
      <c r="C1012" s="106"/>
      <c r="D1012" s="106"/>
      <c r="E1012" s="107"/>
      <c r="F1012" s="106"/>
      <c r="G1012" s="108"/>
      <c r="H1012" s="155"/>
      <c r="I1012" s="155"/>
      <c r="J1012" s="108"/>
    </row>
    <row r="1013" spans="1:10" ht="15.6" hidden="1" customHeight="1" x14ac:dyDescent="0.3">
      <c r="A1013" s="150"/>
      <c r="B1013" s="108"/>
      <c r="C1013" s="106"/>
      <c r="D1013" s="106"/>
      <c r="E1013" s="107"/>
      <c r="F1013" s="106"/>
      <c r="G1013" s="108"/>
      <c r="H1013" s="155"/>
      <c r="I1013" s="155"/>
      <c r="J1013" s="108"/>
    </row>
    <row r="1014" spans="1:10" ht="15.6" hidden="1" customHeight="1" x14ac:dyDescent="0.3">
      <c r="A1014" s="150" t="s">
        <v>352</v>
      </c>
      <c r="B1014" s="106"/>
      <c r="C1014" s="106"/>
      <c r="D1014" s="106"/>
      <c r="E1014" s="107"/>
      <c r="F1014" s="106"/>
      <c r="G1014" s="106"/>
      <c r="H1014" s="155"/>
      <c r="I1014" s="155"/>
      <c r="J1014" s="106"/>
    </row>
    <row r="1015" spans="1:10" ht="15.6" hidden="1" customHeight="1" x14ac:dyDescent="0.3">
      <c r="A1015" s="150"/>
      <c r="B1015" s="106"/>
      <c r="C1015" s="106"/>
      <c r="D1015" s="106"/>
      <c r="E1015" s="107"/>
      <c r="F1015" s="106"/>
      <c r="G1015" s="106"/>
      <c r="H1015" s="155"/>
      <c r="I1015" s="155"/>
      <c r="J1015" s="106"/>
    </row>
    <row r="1016" spans="1:10" ht="15.6" hidden="1" customHeight="1" x14ac:dyDescent="0.3">
      <c r="A1016" s="150"/>
      <c r="B1016" s="106"/>
      <c r="C1016" s="106"/>
      <c r="D1016" s="106"/>
      <c r="E1016" s="107"/>
      <c r="F1016" s="106"/>
      <c r="G1016" s="106"/>
      <c r="H1016" s="155"/>
      <c r="I1016" s="155"/>
      <c r="J1016" s="106"/>
    </row>
    <row r="1017" spans="1:10" ht="15.6" hidden="1" customHeight="1" x14ac:dyDescent="0.3">
      <c r="A1017" s="150" t="s">
        <v>353</v>
      </c>
      <c r="B1017" s="106"/>
      <c r="C1017" s="106"/>
      <c r="D1017" s="106"/>
      <c r="E1017" s="107"/>
      <c r="F1017" s="106"/>
      <c r="G1017" s="106"/>
      <c r="H1017" s="155"/>
      <c r="I1017" s="155"/>
      <c r="J1017" s="106"/>
    </row>
    <row r="1018" spans="1:10" ht="15.6" hidden="1" customHeight="1" x14ac:dyDescent="0.3">
      <c r="A1018" s="150"/>
      <c r="B1018" s="106"/>
      <c r="C1018" s="106"/>
      <c r="D1018" s="106"/>
      <c r="E1018" s="107"/>
      <c r="F1018" s="106"/>
      <c r="G1018" s="106"/>
      <c r="H1018" s="155"/>
      <c r="I1018" s="155"/>
      <c r="J1018" s="106"/>
    </row>
    <row r="1019" spans="1:10" ht="15.6" hidden="1" customHeight="1" x14ac:dyDescent="0.3">
      <c r="A1019" s="150"/>
      <c r="B1019" s="106"/>
      <c r="C1019" s="106"/>
      <c r="D1019" s="106"/>
      <c r="E1019" s="107"/>
      <c r="F1019" s="106"/>
      <c r="G1019" s="106"/>
      <c r="H1019" s="155"/>
      <c r="I1019" s="155"/>
      <c r="J1019" s="106"/>
    </row>
    <row r="1020" spans="1:10" ht="15.6" hidden="1" customHeight="1" x14ac:dyDescent="0.3">
      <c r="A1020" s="150" t="s">
        <v>354</v>
      </c>
      <c r="B1020" s="108"/>
      <c r="C1020" s="108"/>
      <c r="D1020" s="108"/>
      <c r="E1020" s="115"/>
      <c r="F1020" s="108"/>
      <c r="G1020" s="108"/>
      <c r="H1020" s="155"/>
      <c r="I1020" s="155"/>
      <c r="J1020" s="108"/>
    </row>
    <row r="1021" spans="1:10" ht="15.6" hidden="1" customHeight="1" x14ac:dyDescent="0.3">
      <c r="A1021" s="150"/>
      <c r="B1021" s="108"/>
      <c r="C1021" s="108"/>
      <c r="D1021" s="108"/>
      <c r="E1021" s="115"/>
      <c r="F1021" s="108"/>
      <c r="G1021" s="108"/>
      <c r="H1021" s="155"/>
      <c r="I1021" s="155"/>
      <c r="J1021" s="108"/>
    </row>
    <row r="1022" spans="1:10" ht="15.6" hidden="1" customHeight="1" x14ac:dyDescent="0.3">
      <c r="A1022" s="150"/>
      <c r="B1022" s="108"/>
      <c r="C1022" s="108"/>
      <c r="D1022" s="108"/>
      <c r="E1022" s="115"/>
      <c r="F1022" s="108"/>
      <c r="G1022" s="108"/>
      <c r="H1022" s="155"/>
      <c r="I1022" s="155"/>
      <c r="J1022" s="108"/>
    </row>
    <row r="1023" spans="1:10" ht="15.6" hidden="1" customHeight="1" x14ac:dyDescent="0.3">
      <c r="A1023" s="110" t="s">
        <v>355</v>
      </c>
      <c r="B1023" s="106"/>
      <c r="C1023" s="23" t="s">
        <v>526</v>
      </c>
      <c r="D1023" s="106"/>
      <c r="E1023" s="107">
        <v>46127</v>
      </c>
      <c r="F1023" s="106" t="s">
        <v>496</v>
      </c>
      <c r="G1023" s="106"/>
      <c r="H1023" s="155"/>
      <c r="I1023" s="155"/>
      <c r="J1023" s="106"/>
    </row>
    <row r="1024" spans="1:10" ht="15.6" hidden="1" customHeight="1" x14ac:dyDescent="0.3">
      <c r="A1024" s="110" t="s">
        <v>355</v>
      </c>
      <c r="B1024" s="106"/>
      <c r="C1024" s="23"/>
      <c r="D1024" s="106"/>
      <c r="E1024" s="107"/>
      <c r="F1024" s="106"/>
      <c r="G1024" s="106"/>
      <c r="H1024" s="155"/>
      <c r="I1024" s="155"/>
      <c r="J1024" s="106"/>
    </row>
    <row r="1025" spans="1:10" s="20" customFormat="1" ht="15.6" hidden="1" customHeight="1" x14ac:dyDescent="0.3">
      <c r="A1025" s="110" t="s">
        <v>355</v>
      </c>
      <c r="B1025" s="106"/>
      <c r="C1025" s="23"/>
      <c r="D1025" s="106"/>
      <c r="E1025" s="107"/>
      <c r="F1025" s="106"/>
      <c r="G1025" s="106"/>
      <c r="H1025" s="155"/>
      <c r="I1025" s="155"/>
      <c r="J1025" s="106"/>
    </row>
    <row r="1026" spans="1:10" s="20" customFormat="1" ht="15.6" hidden="1" customHeight="1" x14ac:dyDescent="0.3">
      <c r="A1026" s="109" t="s">
        <v>356</v>
      </c>
      <c r="B1026" s="106"/>
      <c r="C1026" s="106" t="s">
        <v>551</v>
      </c>
      <c r="D1026" s="106"/>
      <c r="E1026" s="107">
        <v>46139</v>
      </c>
      <c r="F1026" s="106" t="s">
        <v>552</v>
      </c>
      <c r="G1026" s="106"/>
      <c r="H1026" s="155"/>
      <c r="I1026" s="155"/>
      <c r="J1026" s="106"/>
    </row>
    <row r="1027" spans="1:10" s="20" customFormat="1" ht="15.6" hidden="1" customHeight="1" x14ac:dyDescent="0.3">
      <c r="A1027" s="109" t="s">
        <v>356</v>
      </c>
      <c r="B1027" s="106"/>
      <c r="C1027" s="106"/>
      <c r="D1027" s="106"/>
      <c r="E1027" s="107"/>
      <c r="F1027" s="106"/>
      <c r="G1027" s="106"/>
      <c r="H1027" s="155"/>
      <c r="I1027" s="155"/>
      <c r="J1027" s="106"/>
    </row>
    <row r="1028" spans="1:10" s="20" customFormat="1" ht="15.6" hidden="1" customHeight="1" x14ac:dyDescent="0.3">
      <c r="A1028" s="109" t="s">
        <v>356</v>
      </c>
      <c r="B1028" s="106"/>
      <c r="C1028" s="106"/>
      <c r="D1028" s="106"/>
      <c r="E1028" s="107"/>
      <c r="F1028" s="106"/>
      <c r="G1028" s="106"/>
      <c r="H1028" s="155"/>
      <c r="I1028" s="155"/>
      <c r="J1028" s="106"/>
    </row>
    <row r="1029" spans="1:10" ht="15.6" hidden="1" customHeight="1" x14ac:dyDescent="0.3">
      <c r="A1029" s="109" t="s">
        <v>356</v>
      </c>
      <c r="B1029" s="106"/>
      <c r="C1029" s="106"/>
      <c r="D1029" s="106"/>
      <c r="E1029" s="107"/>
      <c r="F1029" s="106"/>
      <c r="G1029" s="106"/>
      <c r="H1029" s="155"/>
      <c r="I1029" s="155"/>
      <c r="J1029" s="106"/>
    </row>
    <row r="1030" spans="1:10" ht="15.6" hidden="1" customHeight="1" x14ac:dyDescent="0.3">
      <c r="A1030" s="110" t="s">
        <v>357</v>
      </c>
      <c r="B1030" s="106"/>
      <c r="C1030" s="106"/>
      <c r="D1030" s="106"/>
      <c r="E1030" s="107"/>
      <c r="F1030" s="106"/>
      <c r="G1030" s="106"/>
      <c r="H1030" s="155"/>
      <c r="I1030" s="155"/>
      <c r="J1030" s="106"/>
    </row>
    <row r="1031" spans="1:10" ht="15.6" hidden="1" customHeight="1" x14ac:dyDescent="0.3">
      <c r="A1031" s="110" t="s">
        <v>357</v>
      </c>
      <c r="B1031" s="106"/>
      <c r="C1031" s="106"/>
      <c r="D1031" s="106"/>
      <c r="E1031" s="107"/>
      <c r="F1031" s="106"/>
      <c r="G1031" s="106"/>
      <c r="H1031" s="155"/>
      <c r="I1031" s="155"/>
      <c r="J1031" s="106"/>
    </row>
    <row r="1032" spans="1:10" ht="15.6" hidden="1" customHeight="1" x14ac:dyDescent="0.3">
      <c r="A1032" s="110" t="s">
        <v>357</v>
      </c>
      <c r="B1032" s="106"/>
      <c r="C1032" s="106"/>
      <c r="D1032" s="106"/>
      <c r="E1032" s="107"/>
      <c r="F1032" s="106"/>
      <c r="G1032" s="106"/>
      <c r="H1032" s="155"/>
      <c r="I1032" s="155"/>
      <c r="J1032" s="106"/>
    </row>
    <row r="1033" spans="1:10" ht="15.6" hidden="1" customHeight="1" x14ac:dyDescent="0.3">
      <c r="A1033" s="150" t="s">
        <v>358</v>
      </c>
      <c r="B1033" s="106"/>
      <c r="C1033" s="106"/>
      <c r="D1033" s="106"/>
      <c r="E1033" s="107"/>
      <c r="F1033" s="106"/>
      <c r="G1033" s="106"/>
      <c r="H1033" s="155"/>
      <c r="I1033" s="155"/>
      <c r="J1033" s="106"/>
    </row>
    <row r="1034" spans="1:10" ht="15.6" hidden="1" customHeight="1" x14ac:dyDescent="0.3">
      <c r="A1034" s="150"/>
      <c r="B1034" s="106"/>
      <c r="C1034" s="106"/>
      <c r="D1034" s="106"/>
      <c r="E1034" s="107"/>
      <c r="F1034" s="106"/>
      <c r="G1034" s="106"/>
      <c r="H1034" s="155"/>
      <c r="I1034" s="155"/>
      <c r="J1034" s="106"/>
    </row>
    <row r="1035" spans="1:10" ht="15.6" hidden="1" customHeight="1" x14ac:dyDescent="0.3">
      <c r="A1035" s="150"/>
      <c r="B1035" s="106"/>
      <c r="C1035" s="106"/>
      <c r="D1035" s="106"/>
      <c r="E1035" s="107"/>
      <c r="F1035" s="106"/>
      <c r="G1035" s="106"/>
      <c r="H1035" s="155"/>
      <c r="I1035" s="155"/>
      <c r="J1035" s="106"/>
    </row>
    <row r="1036" spans="1:10" ht="15.6" hidden="1" customHeight="1" x14ac:dyDescent="0.3">
      <c r="A1036" s="151" t="s">
        <v>359</v>
      </c>
      <c r="B1036" s="106"/>
      <c r="C1036" s="106"/>
      <c r="D1036" s="106"/>
      <c r="E1036" s="107"/>
      <c r="F1036" s="106"/>
      <c r="G1036" s="106"/>
      <c r="H1036" s="155"/>
      <c r="I1036" s="155"/>
      <c r="J1036" s="106"/>
    </row>
    <row r="1037" spans="1:10" ht="15.6" hidden="1" customHeight="1" x14ac:dyDescent="0.3">
      <c r="A1037" s="151"/>
      <c r="B1037" s="106"/>
      <c r="C1037" s="106"/>
      <c r="D1037" s="106"/>
      <c r="E1037" s="107"/>
      <c r="F1037" s="106"/>
      <c r="G1037" s="106"/>
      <c r="H1037" s="155"/>
      <c r="I1037" s="155"/>
      <c r="J1037" s="106"/>
    </row>
    <row r="1038" spans="1:10" ht="15.6" hidden="1" customHeight="1" x14ac:dyDescent="0.3">
      <c r="A1038" s="151"/>
      <c r="B1038" s="106"/>
      <c r="C1038" s="106"/>
      <c r="D1038" s="106"/>
      <c r="E1038" s="107"/>
      <c r="F1038" s="106"/>
      <c r="G1038" s="106"/>
      <c r="H1038" s="155"/>
      <c r="I1038" s="155"/>
      <c r="J1038" s="106"/>
    </row>
    <row r="1039" spans="1:10" ht="15.6" hidden="1" customHeight="1" x14ac:dyDescent="0.3">
      <c r="A1039" s="151" t="s">
        <v>360</v>
      </c>
      <c r="B1039" s="106"/>
      <c r="C1039" s="106"/>
      <c r="D1039" s="106"/>
      <c r="E1039" s="107"/>
      <c r="F1039" s="106"/>
      <c r="G1039" s="106"/>
      <c r="H1039" s="155"/>
      <c r="I1039" s="155"/>
      <c r="J1039" s="106"/>
    </row>
    <row r="1040" spans="1:10" ht="15.6" hidden="1" customHeight="1" x14ac:dyDescent="0.3">
      <c r="A1040" s="151"/>
      <c r="B1040" s="106"/>
      <c r="C1040" s="106"/>
      <c r="D1040" s="106"/>
      <c r="E1040" s="107"/>
      <c r="F1040" s="106"/>
      <c r="G1040" s="106"/>
      <c r="H1040" s="155"/>
      <c r="I1040" s="155"/>
      <c r="J1040" s="106"/>
    </row>
    <row r="1041" spans="1:10" ht="15.6" hidden="1" customHeight="1" x14ac:dyDescent="0.3">
      <c r="A1041" s="151"/>
      <c r="B1041" s="106"/>
      <c r="C1041" s="106"/>
      <c r="D1041" s="106"/>
      <c r="E1041" s="107"/>
      <c r="F1041" s="106"/>
      <c r="G1041" s="106"/>
      <c r="H1041" s="155"/>
      <c r="I1041" s="155"/>
      <c r="J1041" s="106"/>
    </row>
    <row r="1042" spans="1:10" ht="15.6" hidden="1" customHeight="1" x14ac:dyDescent="0.3">
      <c r="A1042" s="151" t="s">
        <v>361</v>
      </c>
      <c r="B1042" s="106"/>
      <c r="C1042" s="106"/>
      <c r="D1042" s="106"/>
      <c r="E1042" s="107"/>
      <c r="F1042" s="106"/>
      <c r="G1042" s="106"/>
      <c r="H1042" s="155"/>
      <c r="I1042" s="155"/>
      <c r="J1042" s="106"/>
    </row>
    <row r="1043" spans="1:10" ht="15.6" hidden="1" customHeight="1" x14ac:dyDescent="0.3">
      <c r="A1043" s="151"/>
      <c r="B1043" s="106"/>
      <c r="C1043" s="106"/>
      <c r="D1043" s="106"/>
      <c r="E1043" s="107"/>
      <c r="F1043" s="106"/>
      <c r="G1043" s="106"/>
      <c r="H1043" s="155"/>
      <c r="I1043" s="155"/>
      <c r="J1043" s="106"/>
    </row>
    <row r="1044" spans="1:10" ht="15.6" hidden="1" customHeight="1" x14ac:dyDescent="0.3">
      <c r="A1044" s="151"/>
      <c r="B1044" s="106"/>
      <c r="C1044" s="106"/>
      <c r="D1044" s="106"/>
      <c r="E1044" s="107"/>
      <c r="F1044" s="106"/>
      <c r="G1044" s="106"/>
      <c r="H1044" s="155"/>
      <c r="I1044" s="155"/>
      <c r="J1044" s="106"/>
    </row>
    <row r="1045" spans="1:10" ht="15.6" hidden="1" customHeight="1" x14ac:dyDescent="0.3">
      <c r="A1045" s="150" t="s">
        <v>362</v>
      </c>
      <c r="B1045" s="108"/>
      <c r="C1045" s="106"/>
      <c r="D1045" s="108"/>
      <c r="E1045" s="107"/>
      <c r="F1045" s="106"/>
      <c r="G1045" s="108"/>
      <c r="H1045" s="155"/>
      <c r="I1045" s="155"/>
      <c r="J1045" s="108"/>
    </row>
    <row r="1046" spans="1:10" ht="15.6" hidden="1" customHeight="1" x14ac:dyDescent="0.3">
      <c r="A1046" s="150"/>
      <c r="B1046" s="108"/>
      <c r="C1046" s="106"/>
      <c r="D1046" s="108"/>
      <c r="E1046" s="107"/>
      <c r="F1046" s="106"/>
      <c r="G1046" s="108"/>
      <c r="H1046" s="155"/>
      <c r="I1046" s="155"/>
      <c r="J1046" s="108"/>
    </row>
    <row r="1047" spans="1:10" ht="15.6" hidden="1" customHeight="1" x14ac:dyDescent="0.3">
      <c r="A1047" s="150"/>
      <c r="B1047" s="108"/>
      <c r="C1047" s="106"/>
      <c r="D1047" s="108"/>
      <c r="E1047" s="107"/>
      <c r="F1047" s="106"/>
      <c r="G1047" s="108"/>
      <c r="H1047" s="155"/>
      <c r="I1047" s="155"/>
      <c r="J1047" s="108"/>
    </row>
    <row r="1048" spans="1:10" ht="15.6" hidden="1" customHeight="1" x14ac:dyDescent="0.3">
      <c r="A1048" s="150" t="s">
        <v>363</v>
      </c>
      <c r="B1048" s="108"/>
      <c r="C1048" s="106"/>
      <c r="D1048" s="108"/>
      <c r="E1048" s="107"/>
      <c r="F1048" s="106"/>
      <c r="G1048" s="108"/>
      <c r="H1048" s="155"/>
      <c r="I1048" s="155"/>
      <c r="J1048" s="108"/>
    </row>
    <row r="1049" spans="1:10" ht="15.6" hidden="1" customHeight="1" x14ac:dyDescent="0.3">
      <c r="A1049" s="150"/>
      <c r="B1049" s="108"/>
      <c r="C1049" s="106"/>
      <c r="D1049" s="108"/>
      <c r="E1049" s="107"/>
      <c r="F1049" s="106"/>
      <c r="G1049" s="108"/>
      <c r="H1049" s="155"/>
      <c r="I1049" s="155"/>
      <c r="J1049" s="108"/>
    </row>
    <row r="1050" spans="1:10" ht="15.6" hidden="1" customHeight="1" x14ac:dyDescent="0.3">
      <c r="A1050" s="150"/>
      <c r="B1050" s="108"/>
      <c r="C1050" s="106"/>
      <c r="D1050" s="108"/>
      <c r="E1050" s="107"/>
      <c r="F1050" s="106"/>
      <c r="G1050" s="108"/>
      <c r="H1050" s="155"/>
      <c r="I1050" s="155"/>
      <c r="J1050" s="108"/>
    </row>
    <row r="1051" spans="1:10" ht="15.6" hidden="1" customHeight="1" x14ac:dyDescent="0.3">
      <c r="A1051" s="150" t="s">
        <v>364</v>
      </c>
      <c r="B1051" s="106"/>
      <c r="C1051" s="106"/>
      <c r="D1051" s="106"/>
      <c r="E1051" s="107"/>
      <c r="F1051" s="106"/>
      <c r="G1051" s="106"/>
      <c r="H1051" s="155"/>
      <c r="I1051" s="155"/>
      <c r="J1051" s="106"/>
    </row>
    <row r="1052" spans="1:10" ht="15.6" hidden="1" customHeight="1" x14ac:dyDescent="0.3">
      <c r="A1052" s="150"/>
      <c r="B1052" s="106"/>
      <c r="C1052" s="106"/>
      <c r="D1052" s="106"/>
      <c r="E1052" s="107"/>
      <c r="F1052" s="106"/>
      <c r="G1052" s="106"/>
      <c r="H1052" s="155"/>
      <c r="I1052" s="155"/>
      <c r="J1052" s="106"/>
    </row>
    <row r="1053" spans="1:10" ht="15.6" hidden="1" customHeight="1" x14ac:dyDescent="0.3">
      <c r="A1053" s="150"/>
      <c r="B1053" s="106"/>
      <c r="C1053" s="106"/>
      <c r="D1053" s="106"/>
      <c r="E1053" s="107"/>
      <c r="F1053" s="106"/>
      <c r="G1053" s="106"/>
      <c r="H1053" s="155"/>
      <c r="I1053" s="155"/>
      <c r="J1053" s="106"/>
    </row>
    <row r="1054" spans="1:10" ht="15.6" hidden="1" customHeight="1" x14ac:dyDescent="0.3">
      <c r="A1054" s="111" t="s">
        <v>365</v>
      </c>
      <c r="B1054" s="106"/>
      <c r="C1054" s="106"/>
      <c r="D1054" s="106"/>
      <c r="E1054" s="107"/>
      <c r="F1054" s="106"/>
      <c r="G1054" s="106"/>
      <c r="H1054" s="155"/>
      <c r="I1054" s="155"/>
      <c r="J1054" s="106"/>
    </row>
    <row r="1055" spans="1:10" ht="15.6" hidden="1" customHeight="1" x14ac:dyDescent="0.3">
      <c r="A1055" s="150" t="s">
        <v>365</v>
      </c>
      <c r="B1055" s="106"/>
      <c r="C1055" s="106"/>
      <c r="D1055" s="106"/>
      <c r="E1055" s="107"/>
      <c r="F1055" s="106"/>
      <c r="G1055" s="106"/>
      <c r="H1055" s="155"/>
      <c r="I1055" s="155"/>
      <c r="J1055" s="106"/>
    </row>
    <row r="1056" spans="1:10" ht="15.6" hidden="1" customHeight="1" x14ac:dyDescent="0.3">
      <c r="A1056" s="150"/>
      <c r="B1056" s="106"/>
      <c r="C1056" s="106"/>
      <c r="D1056" s="106"/>
      <c r="E1056" s="107"/>
      <c r="F1056" s="106"/>
      <c r="G1056" s="106"/>
      <c r="H1056" s="155"/>
      <c r="I1056" s="155"/>
      <c r="J1056" s="106"/>
    </row>
    <row r="1057" spans="1:10" ht="15.6" hidden="1" customHeight="1" x14ac:dyDescent="0.3">
      <c r="A1057" s="150"/>
      <c r="B1057" s="106"/>
      <c r="C1057" s="106"/>
      <c r="D1057" s="106"/>
      <c r="E1057" s="107"/>
      <c r="F1057" s="106"/>
      <c r="G1057" s="106"/>
      <c r="H1057" s="155"/>
      <c r="I1057" s="155"/>
      <c r="J1057" s="106"/>
    </row>
    <row r="1058" spans="1:10" ht="15.6" hidden="1" customHeight="1" x14ac:dyDescent="0.3">
      <c r="A1058" s="109" t="s">
        <v>366</v>
      </c>
      <c r="B1058" s="106"/>
      <c r="C1058" s="106"/>
      <c r="D1058" s="106"/>
      <c r="E1058" s="107"/>
      <c r="F1058" s="107"/>
      <c r="G1058" s="106"/>
      <c r="H1058" s="155"/>
      <c r="I1058" s="155"/>
      <c r="J1058" s="106"/>
    </row>
    <row r="1059" spans="1:10" ht="15.6" hidden="1" customHeight="1" x14ac:dyDescent="0.3">
      <c r="A1059" s="109" t="s">
        <v>366</v>
      </c>
      <c r="B1059" s="106"/>
      <c r="C1059" s="106"/>
      <c r="D1059" s="106"/>
      <c r="E1059" s="107"/>
      <c r="F1059" s="107"/>
      <c r="G1059" s="106"/>
      <c r="H1059" s="155"/>
      <c r="I1059" s="155"/>
      <c r="J1059" s="106"/>
    </row>
    <row r="1060" spans="1:10" ht="15.6" hidden="1" customHeight="1" x14ac:dyDescent="0.3">
      <c r="A1060" s="109" t="s">
        <v>366</v>
      </c>
      <c r="B1060" s="106"/>
      <c r="C1060" s="106"/>
      <c r="D1060" s="106"/>
      <c r="E1060" s="107"/>
      <c r="F1060" s="107"/>
      <c r="G1060" s="106"/>
      <c r="H1060" s="155"/>
      <c r="I1060" s="155"/>
      <c r="J1060" s="106"/>
    </row>
    <row r="1061" spans="1:10" ht="15.6" hidden="1" customHeight="1" x14ac:dyDescent="0.3">
      <c r="A1061" s="109" t="s">
        <v>367</v>
      </c>
      <c r="B1061" s="106"/>
      <c r="C1061" s="106"/>
      <c r="D1061" s="106"/>
      <c r="E1061" s="107"/>
      <c r="F1061" s="106"/>
      <c r="G1061" s="106"/>
      <c r="H1061" s="155"/>
      <c r="I1061" s="155"/>
      <c r="J1061" s="106"/>
    </row>
    <row r="1062" spans="1:10" ht="15.6" hidden="1" customHeight="1" x14ac:dyDescent="0.3">
      <c r="A1062" s="109" t="s">
        <v>367</v>
      </c>
      <c r="B1062" s="106"/>
      <c r="C1062" s="106"/>
      <c r="D1062" s="106"/>
      <c r="E1062" s="107"/>
      <c r="F1062" s="106"/>
      <c r="G1062" s="106"/>
      <c r="H1062" s="155"/>
      <c r="I1062" s="155"/>
      <c r="J1062" s="106"/>
    </row>
    <row r="1063" spans="1:10" ht="15.6" hidden="1" customHeight="1" x14ac:dyDescent="0.3">
      <c r="A1063" s="109" t="s">
        <v>367</v>
      </c>
      <c r="B1063" s="106"/>
      <c r="C1063" s="106"/>
      <c r="D1063" s="106"/>
      <c r="E1063" s="107"/>
      <c r="F1063" s="106"/>
      <c r="G1063" s="106"/>
      <c r="H1063" s="155"/>
      <c r="I1063" s="155"/>
      <c r="J1063" s="106"/>
    </row>
    <row r="1064" spans="1:10" ht="15.6" hidden="1" customHeight="1" x14ac:dyDescent="0.3">
      <c r="A1064" s="150" t="s">
        <v>368</v>
      </c>
      <c r="B1064" s="108"/>
      <c r="C1064" s="106"/>
      <c r="D1064" s="108"/>
      <c r="E1064" s="107"/>
      <c r="F1064" s="106"/>
      <c r="G1064" s="108"/>
      <c r="H1064" s="155"/>
      <c r="I1064" s="155"/>
      <c r="J1064" s="108"/>
    </row>
    <row r="1065" spans="1:10" ht="15.6" hidden="1" customHeight="1" x14ac:dyDescent="0.3">
      <c r="A1065" s="150"/>
      <c r="B1065" s="108"/>
      <c r="C1065" s="106"/>
      <c r="D1065" s="108"/>
      <c r="E1065" s="107"/>
      <c r="F1065" s="106"/>
      <c r="G1065" s="108"/>
      <c r="H1065" s="155"/>
      <c r="I1065" s="155"/>
      <c r="J1065" s="108"/>
    </row>
    <row r="1066" spans="1:10" ht="15.6" hidden="1" customHeight="1" x14ac:dyDescent="0.3">
      <c r="A1066" s="150"/>
      <c r="B1066" s="108"/>
      <c r="C1066" s="106"/>
      <c r="D1066" s="108"/>
      <c r="E1066" s="107"/>
      <c r="F1066" s="106"/>
      <c r="G1066" s="108"/>
      <c r="H1066" s="155"/>
      <c r="I1066" s="155"/>
      <c r="J1066" s="108"/>
    </row>
    <row r="1067" spans="1:10" ht="15.6" hidden="1" customHeight="1" x14ac:dyDescent="0.3">
      <c r="A1067" s="150" t="s">
        <v>369</v>
      </c>
      <c r="B1067" s="108"/>
      <c r="C1067" s="108"/>
      <c r="D1067" s="108"/>
      <c r="E1067" s="108"/>
      <c r="F1067" s="108"/>
      <c r="G1067" s="108"/>
      <c r="H1067" s="155"/>
      <c r="I1067" s="155"/>
      <c r="J1067" s="108"/>
    </row>
    <row r="1068" spans="1:10" s="20" customFormat="1" ht="15.6" hidden="1" customHeight="1" x14ac:dyDescent="0.3">
      <c r="A1068" s="150"/>
      <c r="B1068" s="108"/>
      <c r="C1068" s="108"/>
      <c r="D1068" s="108"/>
      <c r="E1068" s="108"/>
      <c r="F1068" s="108"/>
      <c r="G1068" s="108"/>
      <c r="H1068" s="155"/>
      <c r="I1068" s="155"/>
      <c r="J1068" s="108"/>
    </row>
    <row r="1069" spans="1:10" s="20" customFormat="1" ht="15.6" hidden="1" customHeight="1" x14ac:dyDescent="0.3">
      <c r="A1069" s="150"/>
      <c r="B1069" s="108"/>
      <c r="C1069" s="108"/>
      <c r="D1069" s="108"/>
      <c r="E1069" s="108"/>
      <c r="F1069" s="108"/>
      <c r="G1069" s="108"/>
      <c r="H1069" s="155"/>
      <c r="I1069" s="155"/>
      <c r="J1069" s="108"/>
    </row>
    <row r="1070" spans="1:10" s="20" customFormat="1" ht="15.6" hidden="1" customHeight="1" x14ac:dyDescent="0.3">
      <c r="A1070" s="150" t="s">
        <v>370</v>
      </c>
      <c r="B1070" s="106"/>
      <c r="C1070" s="106"/>
      <c r="D1070" s="106"/>
      <c r="E1070" s="107"/>
      <c r="F1070" s="106"/>
      <c r="G1070" s="106"/>
      <c r="H1070" s="155"/>
      <c r="I1070" s="155"/>
      <c r="J1070" s="106"/>
    </row>
    <row r="1071" spans="1:10" ht="15.6" hidden="1" customHeight="1" x14ac:dyDescent="0.3">
      <c r="A1071" s="150"/>
      <c r="B1071" s="106"/>
      <c r="C1071" s="106"/>
      <c r="D1071" s="106"/>
      <c r="E1071" s="107"/>
      <c r="F1071" s="106"/>
      <c r="G1071" s="106"/>
      <c r="H1071" s="155"/>
      <c r="I1071" s="155"/>
      <c r="J1071" s="106"/>
    </row>
    <row r="1072" spans="1:10" ht="15.6" hidden="1" customHeight="1" x14ac:dyDescent="0.3">
      <c r="A1072" s="150"/>
      <c r="B1072" s="106"/>
      <c r="C1072" s="106"/>
      <c r="D1072" s="106"/>
      <c r="E1072" s="107"/>
      <c r="F1072" s="106"/>
      <c r="G1072" s="106"/>
      <c r="H1072" s="155"/>
      <c r="I1072" s="155"/>
      <c r="J1072" s="106"/>
    </row>
    <row r="1073" spans="1:10" ht="15.6" hidden="1" customHeight="1" x14ac:dyDescent="0.3">
      <c r="A1073" s="150" t="s">
        <v>371</v>
      </c>
      <c r="B1073" s="108"/>
      <c r="C1073" s="106"/>
      <c r="D1073" s="108"/>
      <c r="E1073" s="107"/>
      <c r="F1073" s="106"/>
      <c r="G1073" s="108"/>
      <c r="H1073" s="155"/>
      <c r="I1073" s="155"/>
      <c r="J1073" s="108"/>
    </row>
    <row r="1074" spans="1:10" ht="15.6" hidden="1" customHeight="1" x14ac:dyDescent="0.3">
      <c r="A1074" s="150"/>
      <c r="B1074" s="108"/>
      <c r="C1074" s="106"/>
      <c r="D1074" s="108"/>
      <c r="E1074" s="107"/>
      <c r="F1074" s="106"/>
      <c r="G1074" s="108"/>
      <c r="H1074" s="155"/>
      <c r="I1074" s="155"/>
      <c r="J1074" s="108"/>
    </row>
    <row r="1075" spans="1:10" ht="15.6" hidden="1" customHeight="1" x14ac:dyDescent="0.3">
      <c r="A1075" s="150"/>
      <c r="B1075" s="108"/>
      <c r="C1075" s="106"/>
      <c r="D1075" s="108"/>
      <c r="E1075" s="107"/>
      <c r="F1075" s="106"/>
      <c r="G1075" s="108"/>
      <c r="H1075" s="155"/>
      <c r="I1075" s="155"/>
      <c r="J1075" s="108"/>
    </row>
    <row r="1076" spans="1:10" ht="15.6" hidden="1" customHeight="1" x14ac:dyDescent="0.3">
      <c r="A1076" s="150" t="s">
        <v>372</v>
      </c>
      <c r="B1076" s="108"/>
      <c r="C1076" s="106"/>
      <c r="D1076" s="108"/>
      <c r="E1076" s="107"/>
      <c r="F1076" s="106"/>
      <c r="G1076" s="108"/>
      <c r="H1076" s="155"/>
      <c r="I1076" s="155"/>
      <c r="J1076" s="108"/>
    </row>
    <row r="1077" spans="1:10" ht="15.6" hidden="1" customHeight="1" x14ac:dyDescent="0.3">
      <c r="A1077" s="150"/>
      <c r="B1077" s="108"/>
      <c r="C1077" s="106"/>
      <c r="D1077" s="108"/>
      <c r="E1077" s="107"/>
      <c r="F1077" s="106"/>
      <c r="G1077" s="108"/>
      <c r="H1077" s="155"/>
      <c r="I1077" s="155"/>
      <c r="J1077" s="108"/>
    </row>
    <row r="1078" spans="1:10" ht="15.6" hidden="1" customHeight="1" x14ac:dyDescent="0.3">
      <c r="A1078" s="150"/>
      <c r="B1078" s="108"/>
      <c r="C1078" s="106"/>
      <c r="D1078" s="108"/>
      <c r="E1078" s="107"/>
      <c r="F1078" s="106"/>
      <c r="G1078" s="108"/>
      <c r="H1078" s="155"/>
      <c r="I1078" s="155"/>
      <c r="J1078" s="108"/>
    </row>
    <row r="1079" spans="1:10" ht="15.6" hidden="1" customHeight="1" x14ac:dyDescent="0.3">
      <c r="A1079" s="150" t="s">
        <v>373</v>
      </c>
      <c r="B1079" s="108"/>
      <c r="C1079" s="108"/>
      <c r="D1079" s="108"/>
      <c r="E1079" s="115"/>
      <c r="F1079" s="108"/>
      <c r="G1079" s="108"/>
      <c r="H1079" s="155"/>
      <c r="I1079" s="155"/>
      <c r="J1079" s="108"/>
    </row>
    <row r="1080" spans="1:10" ht="15.6" hidden="1" customHeight="1" x14ac:dyDescent="0.3">
      <c r="A1080" s="150"/>
      <c r="B1080" s="108"/>
      <c r="C1080" s="108"/>
      <c r="D1080" s="108"/>
      <c r="E1080" s="115"/>
      <c r="F1080" s="108"/>
      <c r="G1080" s="108"/>
      <c r="H1080" s="155"/>
      <c r="I1080" s="155"/>
      <c r="J1080" s="108"/>
    </row>
    <row r="1081" spans="1:10" ht="15.6" hidden="1" customHeight="1" x14ac:dyDescent="0.3">
      <c r="A1081" s="150"/>
      <c r="B1081" s="108"/>
      <c r="C1081" s="108"/>
      <c r="D1081" s="108"/>
      <c r="E1081" s="115"/>
      <c r="F1081" s="108"/>
      <c r="G1081" s="108"/>
      <c r="H1081" s="155"/>
      <c r="I1081" s="155"/>
      <c r="J1081" s="108"/>
    </row>
    <row r="1082" spans="1:10" ht="15.6" hidden="1" customHeight="1" x14ac:dyDescent="0.3">
      <c r="A1082" s="150" t="s">
        <v>374</v>
      </c>
      <c r="B1082" s="108"/>
      <c r="C1082" s="106" t="s">
        <v>548</v>
      </c>
      <c r="D1082" s="108"/>
      <c r="E1082" s="107">
        <v>46139</v>
      </c>
      <c r="F1082" s="106" t="s">
        <v>496</v>
      </c>
      <c r="G1082" s="108"/>
      <c r="H1082" s="155"/>
      <c r="I1082" s="155"/>
      <c r="J1082" s="106"/>
    </row>
    <row r="1083" spans="1:10" ht="15.6" hidden="1" customHeight="1" x14ac:dyDescent="0.3">
      <c r="A1083" s="150"/>
      <c r="B1083" s="108"/>
      <c r="C1083" s="106"/>
      <c r="D1083" s="108"/>
      <c r="E1083" s="107"/>
      <c r="F1083" s="106"/>
      <c r="G1083" s="108"/>
      <c r="H1083" s="155"/>
      <c r="I1083" s="155"/>
      <c r="J1083" s="106"/>
    </row>
    <row r="1084" spans="1:10" ht="15.6" hidden="1" customHeight="1" x14ac:dyDescent="0.3">
      <c r="A1084" s="150"/>
      <c r="B1084" s="108"/>
      <c r="C1084" s="106"/>
      <c r="D1084" s="108"/>
      <c r="E1084" s="107"/>
      <c r="F1084" s="106"/>
      <c r="G1084" s="108"/>
      <c r="H1084" s="155"/>
      <c r="I1084" s="155"/>
      <c r="J1084" s="106"/>
    </row>
    <row r="1085" spans="1:10" ht="15.6" hidden="1" customHeight="1" x14ac:dyDescent="0.3">
      <c r="A1085" s="150" t="s">
        <v>375</v>
      </c>
      <c r="B1085" s="108"/>
      <c r="C1085" s="106"/>
      <c r="D1085" s="106"/>
      <c r="E1085" s="107"/>
      <c r="F1085" s="106"/>
      <c r="G1085" s="108"/>
      <c r="H1085" s="155"/>
      <c r="I1085" s="155"/>
      <c r="J1085" s="108"/>
    </row>
    <row r="1086" spans="1:10" ht="15.6" hidden="1" customHeight="1" x14ac:dyDescent="0.3">
      <c r="A1086" s="150"/>
      <c r="B1086" s="108"/>
      <c r="C1086" s="106"/>
      <c r="D1086" s="106"/>
      <c r="E1086" s="107"/>
      <c r="F1086" s="106"/>
      <c r="G1086" s="108"/>
      <c r="H1086" s="155"/>
      <c r="I1086" s="155"/>
      <c r="J1086" s="108"/>
    </row>
    <row r="1087" spans="1:10" ht="15.6" hidden="1" customHeight="1" x14ac:dyDescent="0.3">
      <c r="A1087" s="150"/>
      <c r="B1087" s="108"/>
      <c r="C1087" s="106"/>
      <c r="D1087" s="106"/>
      <c r="E1087" s="107"/>
      <c r="F1087" s="106"/>
      <c r="G1087" s="108"/>
      <c r="H1087" s="155"/>
      <c r="I1087" s="155"/>
      <c r="J1087" s="108"/>
    </row>
    <row r="1088" spans="1:10" ht="15.6" hidden="1" customHeight="1" x14ac:dyDescent="0.3">
      <c r="A1088" s="150" t="s">
        <v>376</v>
      </c>
      <c r="B1088" s="108"/>
      <c r="C1088" s="106"/>
      <c r="D1088" s="108"/>
      <c r="E1088" s="107"/>
      <c r="F1088" s="106"/>
      <c r="G1088" s="108"/>
      <c r="H1088" s="155"/>
      <c r="I1088" s="155"/>
      <c r="J1088" s="108"/>
    </row>
    <row r="1089" spans="1:10" s="20" customFormat="1" ht="15.6" hidden="1" customHeight="1" x14ac:dyDescent="0.3">
      <c r="A1089" s="150"/>
      <c r="B1089" s="108"/>
      <c r="C1089" s="106"/>
      <c r="D1089" s="108"/>
      <c r="E1089" s="107"/>
      <c r="F1089" s="106"/>
      <c r="G1089" s="108"/>
      <c r="H1089" s="155"/>
      <c r="I1089" s="155"/>
      <c r="J1089" s="108"/>
    </row>
    <row r="1090" spans="1:10" s="20" customFormat="1" ht="15.6" hidden="1" customHeight="1" x14ac:dyDescent="0.3">
      <c r="A1090" s="150"/>
      <c r="B1090" s="108"/>
      <c r="C1090" s="106"/>
      <c r="D1090" s="108"/>
      <c r="E1090" s="107"/>
      <c r="F1090" s="106"/>
      <c r="G1090" s="108"/>
      <c r="H1090" s="155"/>
      <c r="I1090" s="155"/>
      <c r="J1090" s="108"/>
    </row>
    <row r="1091" spans="1:10" s="20" customFormat="1" ht="15.6" hidden="1" customHeight="1" x14ac:dyDescent="0.3">
      <c r="A1091" s="150" t="s">
        <v>377</v>
      </c>
      <c r="B1091" s="108"/>
      <c r="C1091" s="106"/>
      <c r="D1091" s="106"/>
      <c r="E1091" s="107"/>
      <c r="F1091" s="106"/>
      <c r="G1091" s="108"/>
      <c r="H1091" s="155"/>
      <c r="I1091" s="155"/>
      <c r="J1091" s="108"/>
    </row>
    <row r="1092" spans="1:10" ht="15.6" hidden="1" customHeight="1" x14ac:dyDescent="0.3">
      <c r="A1092" s="150"/>
      <c r="B1092" s="108"/>
      <c r="C1092" s="106"/>
      <c r="D1092" s="106"/>
      <c r="E1092" s="107"/>
      <c r="F1092" s="106"/>
      <c r="G1092" s="108"/>
      <c r="H1092" s="155"/>
      <c r="I1092" s="155"/>
      <c r="J1092" s="108"/>
    </row>
    <row r="1093" spans="1:10" ht="15.6" hidden="1" customHeight="1" x14ac:dyDescent="0.3">
      <c r="A1093" s="150"/>
      <c r="B1093" s="108"/>
      <c r="C1093" s="106"/>
      <c r="D1093" s="106"/>
      <c r="E1093" s="107"/>
      <c r="F1093" s="106"/>
      <c r="G1093" s="108"/>
      <c r="H1093" s="155"/>
      <c r="I1093" s="155"/>
      <c r="J1093" s="108"/>
    </row>
    <row r="1094" spans="1:10" ht="15.6" hidden="1" customHeight="1" x14ac:dyDescent="0.3">
      <c r="A1094" s="109" t="s">
        <v>378</v>
      </c>
      <c r="B1094" s="106"/>
      <c r="C1094" s="106"/>
      <c r="D1094" s="106"/>
      <c r="E1094" s="107"/>
      <c r="F1094" s="106"/>
      <c r="G1094" s="106"/>
      <c r="H1094" s="155"/>
      <c r="I1094" s="155"/>
      <c r="J1094" s="106"/>
    </row>
    <row r="1095" spans="1:10" ht="15.6" hidden="1" customHeight="1" x14ac:dyDescent="0.3">
      <c r="A1095" s="109" t="s">
        <v>378</v>
      </c>
      <c r="B1095" s="106"/>
      <c r="C1095" s="106"/>
      <c r="D1095" s="106"/>
      <c r="E1095" s="107"/>
      <c r="F1095" s="106"/>
      <c r="G1095" s="106"/>
      <c r="H1095" s="155"/>
      <c r="I1095" s="155"/>
      <c r="J1095" s="106"/>
    </row>
    <row r="1096" spans="1:10" ht="15.6" hidden="1" customHeight="1" x14ac:dyDescent="0.3">
      <c r="A1096" s="109" t="s">
        <v>378</v>
      </c>
      <c r="B1096" s="106"/>
      <c r="C1096" s="106"/>
      <c r="D1096" s="106"/>
      <c r="E1096" s="107"/>
      <c r="F1096" s="106"/>
      <c r="G1096" s="106"/>
      <c r="H1096" s="155"/>
      <c r="I1096" s="155"/>
      <c r="J1096" s="106"/>
    </row>
    <row r="1097" spans="1:10" ht="15.6" hidden="1" customHeight="1" x14ac:dyDescent="0.3">
      <c r="A1097" s="150" t="s">
        <v>379</v>
      </c>
      <c r="B1097" s="108"/>
      <c r="C1097" s="106"/>
      <c r="D1097" s="108"/>
      <c r="E1097" s="107"/>
      <c r="F1097" s="106"/>
      <c r="G1097" s="108"/>
      <c r="H1097" s="155"/>
      <c r="I1097" s="155"/>
      <c r="J1097" s="108"/>
    </row>
    <row r="1098" spans="1:10" ht="15.6" hidden="1" customHeight="1" x14ac:dyDescent="0.3">
      <c r="A1098" s="150"/>
      <c r="B1098" s="108"/>
      <c r="C1098" s="106"/>
      <c r="D1098" s="108"/>
      <c r="E1098" s="107"/>
      <c r="F1098" s="106"/>
      <c r="G1098" s="108"/>
      <c r="H1098" s="155"/>
      <c r="I1098" s="155"/>
      <c r="J1098" s="108"/>
    </row>
    <row r="1099" spans="1:10" ht="15.6" hidden="1" customHeight="1" x14ac:dyDescent="0.3">
      <c r="A1099" s="150"/>
      <c r="B1099" s="108"/>
      <c r="C1099" s="106"/>
      <c r="D1099" s="108"/>
      <c r="E1099" s="107"/>
      <c r="F1099" s="106"/>
      <c r="G1099" s="108"/>
      <c r="H1099" s="155"/>
      <c r="I1099" s="155"/>
      <c r="J1099" s="108"/>
    </row>
    <row r="1100" spans="1:10" ht="15.6" hidden="1" customHeight="1" x14ac:dyDescent="0.3">
      <c r="A1100" s="150" t="s">
        <v>380</v>
      </c>
      <c r="B1100" s="108"/>
      <c r="C1100" s="106"/>
      <c r="D1100" s="108"/>
      <c r="E1100" s="107"/>
      <c r="F1100" s="106"/>
      <c r="G1100" s="108"/>
      <c r="H1100" s="155"/>
      <c r="I1100" s="155"/>
      <c r="J1100" s="108"/>
    </row>
    <row r="1101" spans="1:10" ht="15.6" hidden="1" customHeight="1" x14ac:dyDescent="0.3">
      <c r="A1101" s="150"/>
      <c r="B1101" s="108"/>
      <c r="C1101" s="106"/>
      <c r="D1101" s="108"/>
      <c r="E1101" s="107"/>
      <c r="F1101" s="106"/>
      <c r="G1101" s="108"/>
      <c r="H1101" s="155"/>
      <c r="I1101" s="155"/>
      <c r="J1101" s="108"/>
    </row>
    <row r="1102" spans="1:10" ht="15.6" hidden="1" customHeight="1" x14ac:dyDescent="0.3">
      <c r="A1102" s="150"/>
      <c r="B1102" s="108"/>
      <c r="C1102" s="106"/>
      <c r="D1102" s="108"/>
      <c r="E1102" s="107"/>
      <c r="F1102" s="106"/>
      <c r="G1102" s="108"/>
      <c r="H1102" s="155"/>
      <c r="I1102" s="155"/>
      <c r="J1102" s="108"/>
    </row>
    <row r="1103" spans="1:10" ht="15.6" hidden="1" customHeight="1" x14ac:dyDescent="0.3">
      <c r="A1103" s="151" t="s">
        <v>381</v>
      </c>
      <c r="B1103" s="106"/>
      <c r="C1103" s="106"/>
      <c r="D1103" s="106"/>
      <c r="E1103" s="107"/>
      <c r="F1103" s="106"/>
      <c r="G1103" s="106"/>
      <c r="H1103" s="155"/>
      <c r="I1103" s="155"/>
      <c r="J1103" s="106"/>
    </row>
    <row r="1104" spans="1:10" s="20" customFormat="1" ht="15.6" hidden="1" customHeight="1" x14ac:dyDescent="0.3">
      <c r="A1104" s="151"/>
      <c r="B1104" s="106"/>
      <c r="C1104" s="106"/>
      <c r="D1104" s="106"/>
      <c r="E1104" s="107"/>
      <c r="F1104" s="106"/>
      <c r="G1104" s="106"/>
      <c r="H1104" s="155"/>
      <c r="I1104" s="155"/>
      <c r="J1104" s="106"/>
    </row>
    <row r="1105" spans="1:10" s="20" customFormat="1" ht="15.6" hidden="1" customHeight="1" x14ac:dyDescent="0.3">
      <c r="A1105" s="151"/>
      <c r="B1105" s="106"/>
      <c r="C1105" s="106"/>
      <c r="D1105" s="106"/>
      <c r="E1105" s="107"/>
      <c r="F1105" s="106"/>
      <c r="G1105" s="106"/>
      <c r="H1105" s="155"/>
      <c r="I1105" s="155"/>
      <c r="J1105" s="106"/>
    </row>
    <row r="1106" spans="1:10" s="20" customFormat="1" ht="15.6" hidden="1" customHeight="1" x14ac:dyDescent="0.3">
      <c r="A1106" s="151" t="s">
        <v>382</v>
      </c>
      <c r="B1106" s="116"/>
      <c r="C1106" s="106"/>
      <c r="D1106" s="106"/>
      <c r="E1106" s="107"/>
      <c r="F1106" s="106"/>
      <c r="G1106" s="106"/>
      <c r="H1106" s="155"/>
      <c r="I1106" s="155"/>
      <c r="J1106" s="106"/>
    </row>
    <row r="1107" spans="1:10" ht="15.6" hidden="1" customHeight="1" x14ac:dyDescent="0.3">
      <c r="A1107" s="151"/>
      <c r="B1107" s="116"/>
      <c r="C1107" s="106"/>
      <c r="D1107" s="106"/>
      <c r="E1107" s="107"/>
      <c r="F1107" s="106"/>
      <c r="G1107" s="106"/>
      <c r="H1107" s="155"/>
      <c r="I1107" s="155"/>
      <c r="J1107" s="106"/>
    </row>
    <row r="1108" spans="1:10" ht="15.6" hidden="1" customHeight="1" x14ac:dyDescent="0.3">
      <c r="A1108" s="151"/>
      <c r="B1108" s="116"/>
      <c r="C1108" s="106"/>
      <c r="D1108" s="106"/>
      <c r="E1108" s="107"/>
      <c r="F1108" s="106"/>
      <c r="G1108" s="106"/>
      <c r="H1108" s="155"/>
      <c r="I1108" s="155"/>
      <c r="J1108" s="106"/>
    </row>
    <row r="1109" spans="1:10" ht="15.6" hidden="1" customHeight="1" x14ac:dyDescent="0.3">
      <c r="A1109" s="151" t="s">
        <v>383</v>
      </c>
      <c r="B1109" s="106"/>
      <c r="C1109" s="106"/>
      <c r="D1109" s="106"/>
      <c r="E1109" s="107"/>
      <c r="F1109" s="106"/>
      <c r="G1109" s="106"/>
      <c r="H1109" s="155"/>
      <c r="I1109" s="155"/>
      <c r="J1109" s="106"/>
    </row>
    <row r="1110" spans="1:10" ht="15.6" hidden="1" customHeight="1" x14ac:dyDescent="0.3">
      <c r="A1110" s="151"/>
      <c r="B1110" s="106"/>
      <c r="C1110" s="106"/>
      <c r="D1110" s="106"/>
      <c r="E1110" s="107"/>
      <c r="F1110" s="106"/>
      <c r="G1110" s="106"/>
      <c r="H1110" s="155"/>
      <c r="I1110" s="155"/>
      <c r="J1110" s="106"/>
    </row>
    <row r="1111" spans="1:10" ht="15.6" hidden="1" customHeight="1" x14ac:dyDescent="0.3">
      <c r="A1111" s="151"/>
      <c r="B1111" s="106"/>
      <c r="C1111" s="106"/>
      <c r="D1111" s="106"/>
      <c r="E1111" s="107"/>
      <c r="F1111" s="106"/>
      <c r="G1111" s="106"/>
      <c r="H1111" s="155"/>
      <c r="I1111" s="155"/>
      <c r="J1111" s="106"/>
    </row>
    <row r="1112" spans="1:10" ht="15.6" customHeight="1" x14ac:dyDescent="0.3">
      <c r="A1112" s="111" t="s">
        <v>384</v>
      </c>
      <c r="B1112" s="106"/>
      <c r="C1112" s="141" t="s">
        <v>516</v>
      </c>
      <c r="D1112" s="106"/>
      <c r="E1112" s="107">
        <v>46129</v>
      </c>
      <c r="F1112" s="106" t="s">
        <v>496</v>
      </c>
      <c r="G1112" s="106"/>
      <c r="H1112" s="155"/>
      <c r="I1112" s="155"/>
      <c r="J1112" s="106">
        <v>16</v>
      </c>
    </row>
    <row r="1113" spans="1:10" ht="15.6" hidden="1" customHeight="1" x14ac:dyDescent="0.3">
      <c r="A1113" s="150" t="s">
        <v>384</v>
      </c>
      <c r="B1113" s="106"/>
      <c r="C1113" s="106"/>
      <c r="D1113" s="107"/>
      <c r="E1113" s="107"/>
      <c r="F1113" s="106"/>
      <c r="G1113" s="106"/>
      <c r="H1113" s="155"/>
      <c r="I1113" s="155"/>
      <c r="J1113" s="106"/>
    </row>
    <row r="1114" spans="1:10" ht="15.6" hidden="1" customHeight="1" x14ac:dyDescent="0.3">
      <c r="A1114" s="150"/>
      <c r="B1114" s="106"/>
      <c r="C1114" s="106"/>
      <c r="D1114" s="107"/>
      <c r="E1114" s="107"/>
      <c r="F1114" s="106"/>
      <c r="G1114" s="106"/>
      <c r="H1114" s="155"/>
      <c r="I1114" s="155"/>
      <c r="J1114" s="106"/>
    </row>
    <row r="1115" spans="1:10" ht="15.6" hidden="1" customHeight="1" x14ac:dyDescent="0.3">
      <c r="A1115" s="150"/>
      <c r="B1115" s="106"/>
      <c r="C1115" s="106"/>
      <c r="D1115" s="107"/>
      <c r="E1115" s="107"/>
      <c r="F1115" s="106"/>
      <c r="G1115" s="106"/>
      <c r="H1115" s="155"/>
      <c r="I1115" s="155"/>
      <c r="J1115" s="106"/>
    </row>
    <row r="1116" spans="1:10" ht="15.6" hidden="1" customHeight="1" x14ac:dyDescent="0.3">
      <c r="A1116" s="150" t="s">
        <v>385</v>
      </c>
      <c r="B1116" s="106"/>
      <c r="C1116" s="106"/>
      <c r="D1116" s="106"/>
      <c r="E1116" s="107"/>
      <c r="F1116" s="106"/>
      <c r="G1116" s="106"/>
      <c r="H1116" s="155"/>
      <c r="I1116" s="155"/>
      <c r="J1116" s="106"/>
    </row>
    <row r="1117" spans="1:10" ht="15.6" hidden="1" customHeight="1" x14ac:dyDescent="0.3">
      <c r="A1117" s="150"/>
      <c r="B1117" s="106"/>
      <c r="C1117" s="106"/>
      <c r="D1117" s="106"/>
      <c r="E1117" s="107"/>
      <c r="F1117" s="106"/>
      <c r="G1117" s="106"/>
      <c r="H1117" s="155"/>
      <c r="I1117" s="155"/>
      <c r="J1117" s="106"/>
    </row>
    <row r="1118" spans="1:10" ht="15.6" hidden="1" customHeight="1" x14ac:dyDescent="0.3">
      <c r="A1118" s="150"/>
      <c r="B1118" s="106"/>
      <c r="C1118" s="106"/>
      <c r="D1118" s="106"/>
      <c r="E1118" s="107"/>
      <c r="F1118" s="106"/>
      <c r="G1118" s="106"/>
      <c r="H1118" s="155"/>
      <c r="I1118" s="155"/>
      <c r="J1118" s="106"/>
    </row>
    <row r="1119" spans="1:10" ht="15.6" hidden="1" customHeight="1" x14ac:dyDescent="0.3">
      <c r="A1119" s="151" t="s">
        <v>386</v>
      </c>
      <c r="B1119" s="106"/>
      <c r="C1119" s="106"/>
      <c r="D1119" s="106"/>
      <c r="E1119" s="107"/>
      <c r="F1119" s="106"/>
      <c r="G1119" s="106"/>
      <c r="H1119" s="155"/>
      <c r="I1119" s="155"/>
      <c r="J1119" s="106"/>
    </row>
    <row r="1120" spans="1:10" ht="15.6" hidden="1" customHeight="1" x14ac:dyDescent="0.3">
      <c r="A1120" s="151"/>
      <c r="B1120" s="106"/>
      <c r="C1120" s="106"/>
      <c r="D1120" s="106"/>
      <c r="E1120" s="107"/>
      <c r="F1120" s="106"/>
      <c r="G1120" s="106"/>
      <c r="H1120" s="155"/>
      <c r="I1120" s="155"/>
      <c r="J1120" s="106"/>
    </row>
    <row r="1121" spans="1:10" ht="15.6" hidden="1" customHeight="1" x14ac:dyDescent="0.3">
      <c r="A1121" s="151"/>
      <c r="B1121" s="106"/>
      <c r="C1121" s="106"/>
      <c r="D1121" s="106"/>
      <c r="E1121" s="107"/>
      <c r="F1121" s="106"/>
      <c r="G1121" s="106"/>
      <c r="H1121" s="155"/>
      <c r="I1121" s="155"/>
      <c r="J1121" s="106"/>
    </row>
    <row r="1122" spans="1:10" ht="15.6" hidden="1" customHeight="1" x14ac:dyDescent="0.3">
      <c r="A1122" s="150" t="s">
        <v>387</v>
      </c>
      <c r="B1122" s="108"/>
      <c r="C1122" s="106"/>
      <c r="D1122" s="106"/>
      <c r="E1122" s="107"/>
      <c r="F1122" s="106"/>
      <c r="G1122" s="106"/>
      <c r="H1122" s="155"/>
      <c r="I1122" s="155"/>
      <c r="J1122" s="106"/>
    </row>
    <row r="1123" spans="1:10" ht="15.6" hidden="1" customHeight="1" x14ac:dyDescent="0.3">
      <c r="A1123" s="150"/>
      <c r="B1123" s="108"/>
      <c r="C1123" s="106"/>
      <c r="D1123" s="106"/>
      <c r="E1123" s="107"/>
      <c r="F1123" s="106"/>
      <c r="G1123" s="106"/>
      <c r="H1123" s="155"/>
      <c r="I1123" s="155"/>
      <c r="J1123" s="106"/>
    </row>
    <row r="1124" spans="1:10" ht="15.6" hidden="1" customHeight="1" x14ac:dyDescent="0.3">
      <c r="A1124" s="150"/>
      <c r="B1124" s="108"/>
      <c r="C1124" s="106"/>
      <c r="D1124" s="106"/>
      <c r="E1124" s="107"/>
      <c r="F1124" s="106"/>
      <c r="G1124" s="106"/>
      <c r="H1124" s="155"/>
      <c r="I1124" s="155"/>
      <c r="J1124" s="106"/>
    </row>
    <row r="1125" spans="1:10" ht="15.6" hidden="1" customHeight="1" x14ac:dyDescent="0.3">
      <c r="A1125" s="150" t="s">
        <v>388</v>
      </c>
      <c r="B1125" s="119"/>
      <c r="C1125" s="106"/>
      <c r="D1125" s="108"/>
      <c r="E1125" s="107"/>
      <c r="F1125" s="106"/>
      <c r="G1125" s="108"/>
      <c r="H1125" s="155"/>
      <c r="I1125" s="155"/>
      <c r="J1125" s="24"/>
    </row>
    <row r="1126" spans="1:10" s="20" customFormat="1" ht="15.6" hidden="1" customHeight="1" x14ac:dyDescent="0.3">
      <c r="A1126" s="150"/>
      <c r="B1126" s="119"/>
      <c r="C1126" s="106"/>
      <c r="D1126" s="108"/>
      <c r="E1126" s="107"/>
      <c r="F1126" s="106"/>
      <c r="G1126" s="108"/>
      <c r="H1126" s="155"/>
      <c r="I1126" s="155"/>
      <c r="J1126" s="24"/>
    </row>
    <row r="1127" spans="1:10" s="20" customFormat="1" ht="15.6" hidden="1" customHeight="1" x14ac:dyDescent="0.3">
      <c r="A1127" s="150"/>
      <c r="B1127" s="119"/>
      <c r="C1127" s="106"/>
      <c r="D1127" s="108"/>
      <c r="E1127" s="107"/>
      <c r="F1127" s="106"/>
      <c r="G1127" s="108"/>
      <c r="H1127" s="155"/>
      <c r="I1127" s="155"/>
      <c r="J1127" s="24"/>
    </row>
    <row r="1128" spans="1:10" s="20" customFormat="1" ht="15.6" customHeight="1" x14ac:dyDescent="0.3">
      <c r="A1128" s="110" t="s">
        <v>389</v>
      </c>
      <c r="B1128" s="106"/>
      <c r="C1128" s="141" t="s">
        <v>537</v>
      </c>
      <c r="D1128" s="106"/>
      <c r="E1128" s="107">
        <v>46114</v>
      </c>
      <c r="F1128" s="106" t="s">
        <v>496</v>
      </c>
      <c r="G1128" s="106"/>
      <c r="H1128" s="155"/>
      <c r="I1128" s="155"/>
      <c r="J1128" s="106">
        <v>16</v>
      </c>
    </row>
    <row r="1129" spans="1:10" s="20" customFormat="1" ht="15.6" hidden="1" customHeight="1" x14ac:dyDescent="0.3">
      <c r="A1129" s="110" t="s">
        <v>389</v>
      </c>
      <c r="B1129" s="106"/>
      <c r="C1129" s="106" t="s">
        <v>497</v>
      </c>
      <c r="D1129" s="106"/>
      <c r="E1129" s="107"/>
      <c r="F1129" s="106"/>
      <c r="G1129" s="106"/>
      <c r="H1129" s="155"/>
      <c r="I1129" s="155"/>
      <c r="J1129" s="106"/>
    </row>
    <row r="1130" spans="1:10" s="20" customFormat="1" ht="15.6" hidden="1" customHeight="1" x14ac:dyDescent="0.3">
      <c r="A1130" s="110" t="s">
        <v>389</v>
      </c>
      <c r="B1130" s="106"/>
      <c r="C1130" s="106"/>
      <c r="D1130" s="106"/>
      <c r="E1130" s="107"/>
      <c r="F1130" s="106"/>
      <c r="G1130" s="106"/>
      <c r="H1130" s="155"/>
      <c r="I1130" s="155"/>
      <c r="J1130" s="106"/>
    </row>
    <row r="1131" spans="1:10" ht="15.6" hidden="1" customHeight="1" x14ac:dyDescent="0.3">
      <c r="A1131" s="110" t="s">
        <v>389</v>
      </c>
      <c r="B1131" s="106"/>
      <c r="C1131" s="106"/>
      <c r="D1131" s="106"/>
      <c r="E1131" s="107"/>
      <c r="F1131" s="106"/>
      <c r="G1131" s="106"/>
      <c r="H1131" s="155"/>
      <c r="I1131" s="155"/>
      <c r="J1131" s="106"/>
    </row>
    <row r="1132" spans="1:10" ht="15.6" hidden="1" customHeight="1" x14ac:dyDescent="0.3">
      <c r="A1132" s="110" t="s">
        <v>389</v>
      </c>
      <c r="B1132" s="106"/>
      <c r="C1132" s="106"/>
      <c r="D1132" s="106"/>
      <c r="E1132" s="107"/>
      <c r="F1132" s="106"/>
      <c r="G1132" s="106"/>
      <c r="H1132" s="155"/>
      <c r="I1132" s="155"/>
      <c r="J1132" s="106"/>
    </row>
    <row r="1133" spans="1:10" ht="15.6" hidden="1" customHeight="1" x14ac:dyDescent="0.3">
      <c r="A1133" s="150" t="s">
        <v>390</v>
      </c>
      <c r="B1133" s="106"/>
      <c r="C1133" s="106"/>
      <c r="D1133" s="106"/>
      <c r="E1133" s="107"/>
      <c r="F1133" s="106"/>
      <c r="G1133" s="106"/>
      <c r="H1133" s="155"/>
      <c r="I1133" s="155"/>
      <c r="J1133" s="106"/>
    </row>
    <row r="1134" spans="1:10" ht="15.6" hidden="1" customHeight="1" x14ac:dyDescent="0.3">
      <c r="A1134" s="150"/>
      <c r="B1134" s="106"/>
      <c r="C1134" s="106"/>
      <c r="D1134" s="106"/>
      <c r="E1134" s="107"/>
      <c r="F1134" s="106"/>
      <c r="G1134" s="106"/>
      <c r="H1134" s="155"/>
      <c r="I1134" s="155"/>
      <c r="J1134" s="106"/>
    </row>
    <row r="1135" spans="1:10" ht="15.6" hidden="1" customHeight="1" x14ac:dyDescent="0.3">
      <c r="A1135" s="150"/>
      <c r="B1135" s="106"/>
      <c r="C1135" s="106"/>
      <c r="D1135" s="106"/>
      <c r="E1135" s="107"/>
      <c r="F1135" s="106"/>
      <c r="G1135" s="106"/>
      <c r="H1135" s="155"/>
      <c r="I1135" s="155"/>
      <c r="J1135" s="106"/>
    </row>
    <row r="1136" spans="1:10" ht="15.6" hidden="1" customHeight="1" x14ac:dyDescent="0.3">
      <c r="A1136" s="150" t="s">
        <v>391</v>
      </c>
      <c r="B1136" s="106"/>
      <c r="C1136" s="106"/>
      <c r="D1136" s="106"/>
      <c r="E1136" s="107"/>
      <c r="F1136" s="106"/>
      <c r="G1136" s="106"/>
      <c r="H1136" s="155"/>
      <c r="I1136" s="155"/>
      <c r="J1136" s="106"/>
    </row>
    <row r="1137" spans="1:10" ht="15.6" hidden="1" customHeight="1" x14ac:dyDescent="0.3">
      <c r="A1137" s="150"/>
      <c r="B1137" s="106"/>
      <c r="C1137" s="106"/>
      <c r="D1137" s="106"/>
      <c r="E1137" s="107"/>
      <c r="F1137" s="106"/>
      <c r="G1137" s="106"/>
      <c r="H1137" s="155"/>
      <c r="I1137" s="155"/>
      <c r="J1137" s="106"/>
    </row>
    <row r="1138" spans="1:10" ht="15.6" hidden="1" customHeight="1" x14ac:dyDescent="0.3">
      <c r="A1138" s="150"/>
      <c r="B1138" s="106"/>
      <c r="C1138" s="106"/>
      <c r="D1138" s="106"/>
      <c r="E1138" s="107"/>
      <c r="F1138" s="106"/>
      <c r="G1138" s="106"/>
      <c r="H1138" s="155"/>
      <c r="I1138" s="155"/>
      <c r="J1138" s="106"/>
    </row>
    <row r="1139" spans="1:10" ht="15.6" hidden="1" customHeight="1" x14ac:dyDescent="0.3">
      <c r="A1139" s="150" t="s">
        <v>392</v>
      </c>
      <c r="B1139" s="108"/>
      <c r="C1139" s="106"/>
      <c r="D1139" s="108"/>
      <c r="E1139" s="107"/>
      <c r="F1139" s="106"/>
      <c r="G1139" s="108"/>
      <c r="H1139" s="155"/>
      <c r="I1139" s="155"/>
      <c r="J1139" s="108"/>
    </row>
    <row r="1140" spans="1:10" ht="15.6" hidden="1" customHeight="1" x14ac:dyDescent="0.3">
      <c r="A1140" s="150"/>
      <c r="B1140" s="108"/>
      <c r="C1140" s="106"/>
      <c r="D1140" s="108"/>
      <c r="E1140" s="107"/>
      <c r="F1140" s="106"/>
      <c r="G1140" s="108"/>
      <c r="H1140" s="155"/>
      <c r="I1140" s="155"/>
      <c r="J1140" s="108"/>
    </row>
    <row r="1141" spans="1:10" ht="15.6" hidden="1" customHeight="1" x14ac:dyDescent="0.3">
      <c r="A1141" s="150"/>
      <c r="B1141" s="108"/>
      <c r="C1141" s="106"/>
      <c r="D1141" s="108"/>
      <c r="E1141" s="107"/>
      <c r="F1141" s="106"/>
      <c r="G1141" s="108"/>
      <c r="H1141" s="155"/>
      <c r="I1141" s="155"/>
      <c r="J1141" s="108"/>
    </row>
    <row r="1142" spans="1:10" ht="15.6" customHeight="1" x14ac:dyDescent="0.3">
      <c r="A1142" s="109" t="s">
        <v>393</v>
      </c>
      <c r="B1142" s="106"/>
      <c r="C1142" s="141" t="s">
        <v>492</v>
      </c>
      <c r="D1142" s="106"/>
      <c r="E1142" s="107">
        <v>46115</v>
      </c>
      <c r="F1142" s="106" t="s">
        <v>496</v>
      </c>
      <c r="G1142" s="106"/>
      <c r="H1142" s="155"/>
      <c r="I1142" s="155"/>
      <c r="J1142" s="106">
        <v>16</v>
      </c>
    </row>
    <row r="1143" spans="1:10" ht="15.6" hidden="1" customHeight="1" x14ac:dyDescent="0.3">
      <c r="A1143" s="109" t="s">
        <v>393</v>
      </c>
      <c r="B1143" s="106"/>
      <c r="C1143" s="106" t="s">
        <v>493</v>
      </c>
      <c r="D1143" s="106"/>
      <c r="E1143" s="107">
        <v>46115</v>
      </c>
      <c r="F1143" s="106" t="s">
        <v>496</v>
      </c>
      <c r="G1143" s="106"/>
      <c r="H1143" s="155"/>
      <c r="I1143" s="155"/>
      <c r="J1143" s="106"/>
    </row>
    <row r="1144" spans="1:10" ht="15.6" hidden="1" customHeight="1" x14ac:dyDescent="0.3">
      <c r="A1144" s="109" t="s">
        <v>393</v>
      </c>
      <c r="B1144" s="106"/>
      <c r="C1144" s="106"/>
      <c r="D1144" s="106"/>
      <c r="E1144" s="107"/>
      <c r="F1144" s="106"/>
      <c r="G1144" s="106"/>
      <c r="H1144" s="155"/>
      <c r="I1144" s="155"/>
      <c r="J1144" s="106"/>
    </row>
    <row r="1145" spans="1:10" ht="15.6" hidden="1" customHeight="1" x14ac:dyDescent="0.3">
      <c r="A1145" s="109" t="s">
        <v>393</v>
      </c>
      <c r="B1145" s="106"/>
      <c r="C1145" s="106"/>
      <c r="D1145" s="106"/>
      <c r="E1145" s="107"/>
      <c r="F1145" s="106"/>
      <c r="G1145" s="106"/>
      <c r="H1145" s="155"/>
      <c r="I1145" s="155"/>
      <c r="J1145" s="106"/>
    </row>
    <row r="1146" spans="1:10" ht="15.6" hidden="1" customHeight="1" x14ac:dyDescent="0.3">
      <c r="A1146" s="109" t="s">
        <v>393</v>
      </c>
      <c r="B1146" s="106"/>
      <c r="C1146" s="106"/>
      <c r="D1146" s="106"/>
      <c r="E1146" s="107"/>
      <c r="F1146" s="106"/>
      <c r="G1146" s="106"/>
      <c r="H1146" s="155"/>
      <c r="I1146" s="155"/>
      <c r="J1146" s="106"/>
    </row>
    <row r="1147" spans="1:10" ht="15.6" hidden="1" customHeight="1" x14ac:dyDescent="0.3">
      <c r="A1147" s="109" t="s">
        <v>393</v>
      </c>
      <c r="B1147" s="106"/>
      <c r="C1147" s="106"/>
      <c r="D1147" s="106"/>
      <c r="E1147" s="107"/>
      <c r="F1147" s="106"/>
      <c r="G1147" s="106"/>
      <c r="H1147" s="155"/>
      <c r="I1147" s="155"/>
      <c r="J1147" s="106"/>
    </row>
    <row r="1148" spans="1:10" ht="15.6" hidden="1" customHeight="1" x14ac:dyDescent="0.3">
      <c r="A1148" s="150" t="s">
        <v>394</v>
      </c>
      <c r="B1148" s="106"/>
      <c r="C1148" s="106"/>
      <c r="D1148" s="106"/>
      <c r="E1148" s="107"/>
      <c r="F1148" s="106"/>
      <c r="G1148" s="106"/>
      <c r="H1148" s="155"/>
      <c r="I1148" s="155"/>
      <c r="J1148" s="106"/>
    </row>
    <row r="1149" spans="1:10" ht="15.6" hidden="1" customHeight="1" x14ac:dyDescent="0.3">
      <c r="A1149" s="150"/>
      <c r="B1149" s="106"/>
      <c r="C1149" s="106"/>
      <c r="D1149" s="106"/>
      <c r="E1149" s="107"/>
      <c r="F1149" s="106"/>
      <c r="G1149" s="106"/>
      <c r="H1149" s="155"/>
      <c r="I1149" s="155"/>
      <c r="J1149" s="106"/>
    </row>
    <row r="1150" spans="1:10" ht="15.6" hidden="1" customHeight="1" x14ac:dyDescent="0.3">
      <c r="A1150" s="150"/>
      <c r="B1150" s="106"/>
      <c r="C1150" s="106"/>
      <c r="D1150" s="106"/>
      <c r="E1150" s="107"/>
      <c r="F1150" s="106"/>
      <c r="G1150" s="106"/>
      <c r="H1150" s="155"/>
      <c r="I1150" s="155"/>
      <c r="J1150" s="106"/>
    </row>
    <row r="1151" spans="1:10" ht="15.6" hidden="1" customHeight="1" x14ac:dyDescent="0.3">
      <c r="A1151" s="109" t="s">
        <v>395</v>
      </c>
      <c r="B1151" s="106"/>
      <c r="C1151" s="106" t="s">
        <v>513</v>
      </c>
      <c r="D1151" s="106"/>
      <c r="E1151" s="107">
        <v>46120</v>
      </c>
      <c r="F1151" s="107" t="s">
        <v>496</v>
      </c>
      <c r="G1151" s="106"/>
      <c r="H1151" s="155"/>
      <c r="I1151" s="155"/>
      <c r="J1151" s="106"/>
    </row>
    <row r="1152" spans="1:10" ht="15.6" hidden="1" customHeight="1" x14ac:dyDescent="0.3">
      <c r="A1152" s="109" t="s">
        <v>395</v>
      </c>
      <c r="B1152" s="106"/>
      <c r="C1152" s="106"/>
      <c r="D1152" s="106"/>
      <c r="E1152" s="107"/>
      <c r="F1152" s="107"/>
      <c r="G1152" s="106"/>
      <c r="H1152" s="155"/>
      <c r="I1152" s="155"/>
      <c r="J1152" s="106"/>
    </row>
    <row r="1153" spans="1:10" ht="15.6" hidden="1" customHeight="1" x14ac:dyDescent="0.3">
      <c r="A1153" s="109" t="s">
        <v>395</v>
      </c>
      <c r="B1153" s="106"/>
      <c r="C1153" s="106"/>
      <c r="D1153" s="106"/>
      <c r="E1153" s="107"/>
      <c r="F1153" s="107"/>
      <c r="G1153" s="106"/>
      <c r="H1153" s="155"/>
      <c r="I1153" s="155"/>
      <c r="J1153" s="106"/>
    </row>
    <row r="1154" spans="1:10" ht="15.6" hidden="1" customHeight="1" x14ac:dyDescent="0.3">
      <c r="A1154" s="150" t="s">
        <v>396</v>
      </c>
      <c r="B1154" s="106"/>
      <c r="C1154" s="106"/>
      <c r="D1154" s="106"/>
      <c r="E1154" s="107"/>
      <c r="F1154" s="107"/>
      <c r="G1154" s="106"/>
      <c r="H1154" s="155"/>
      <c r="I1154" s="155"/>
      <c r="J1154" s="106"/>
    </row>
    <row r="1155" spans="1:10" ht="15.6" hidden="1" customHeight="1" x14ac:dyDescent="0.3">
      <c r="A1155" s="150"/>
      <c r="B1155" s="106"/>
      <c r="C1155" s="106"/>
      <c r="D1155" s="106"/>
      <c r="E1155" s="107"/>
      <c r="F1155" s="107"/>
      <c r="G1155" s="106"/>
      <c r="H1155" s="155"/>
      <c r="I1155" s="155"/>
      <c r="J1155" s="106"/>
    </row>
    <row r="1156" spans="1:10" ht="15.6" hidden="1" customHeight="1" x14ac:dyDescent="0.3">
      <c r="A1156" s="150"/>
      <c r="B1156" s="106"/>
      <c r="C1156" s="106"/>
      <c r="D1156" s="106"/>
      <c r="E1156" s="107"/>
      <c r="F1156" s="107"/>
      <c r="G1156" s="106"/>
      <c r="H1156" s="155"/>
      <c r="I1156" s="155"/>
      <c r="J1156" s="106"/>
    </row>
    <row r="1157" spans="1:10" ht="15.6" customHeight="1" x14ac:dyDescent="0.3">
      <c r="A1157" s="110" t="s">
        <v>397</v>
      </c>
      <c r="B1157" s="106"/>
      <c r="C1157" s="141" t="s">
        <v>492</v>
      </c>
      <c r="D1157" s="106"/>
      <c r="E1157" s="107">
        <v>46115</v>
      </c>
      <c r="F1157" s="106" t="s">
        <v>496</v>
      </c>
      <c r="G1157" s="106"/>
      <c r="H1157" s="155"/>
      <c r="I1157" s="155"/>
      <c r="J1157" s="106">
        <v>16</v>
      </c>
    </row>
    <row r="1158" spans="1:10" ht="15.6" hidden="1" customHeight="1" x14ac:dyDescent="0.3">
      <c r="A1158" s="110" t="s">
        <v>397</v>
      </c>
      <c r="B1158" s="106"/>
      <c r="C1158" s="106" t="s">
        <v>493</v>
      </c>
      <c r="D1158" s="106"/>
      <c r="E1158" s="107">
        <v>46115</v>
      </c>
      <c r="F1158" s="106" t="s">
        <v>496</v>
      </c>
      <c r="G1158" s="106"/>
      <c r="H1158" s="155"/>
      <c r="I1158" s="155"/>
      <c r="J1158" s="106"/>
    </row>
    <row r="1159" spans="1:10" ht="15.6" hidden="1" customHeight="1" x14ac:dyDescent="0.3">
      <c r="A1159" s="110" t="s">
        <v>397</v>
      </c>
      <c r="B1159" s="106"/>
      <c r="C1159" s="106"/>
      <c r="D1159" s="106"/>
      <c r="E1159" s="107"/>
      <c r="F1159" s="106"/>
      <c r="G1159" s="106"/>
      <c r="H1159" s="155"/>
      <c r="I1159" s="155"/>
      <c r="J1159" s="106"/>
    </row>
    <row r="1160" spans="1:10" ht="15.6" hidden="1" customHeight="1" x14ac:dyDescent="0.3">
      <c r="A1160" s="150" t="s">
        <v>398</v>
      </c>
      <c r="B1160" s="108"/>
      <c r="C1160" s="108"/>
      <c r="D1160" s="108"/>
      <c r="E1160" s="108"/>
      <c r="F1160" s="108"/>
      <c r="G1160" s="108"/>
      <c r="H1160" s="155"/>
      <c r="I1160" s="155"/>
      <c r="J1160" s="108"/>
    </row>
    <row r="1161" spans="1:10" ht="15.6" hidden="1" customHeight="1" x14ac:dyDescent="0.3">
      <c r="A1161" s="150"/>
      <c r="B1161" s="108"/>
      <c r="C1161" s="108"/>
      <c r="D1161" s="108"/>
      <c r="E1161" s="108"/>
      <c r="F1161" s="108"/>
      <c r="G1161" s="108"/>
      <c r="H1161" s="155"/>
      <c r="I1161" s="155"/>
      <c r="J1161" s="108"/>
    </row>
    <row r="1162" spans="1:10" ht="15.6" hidden="1" customHeight="1" x14ac:dyDescent="0.3">
      <c r="A1162" s="150"/>
      <c r="B1162" s="108"/>
      <c r="C1162" s="108"/>
      <c r="D1162" s="108"/>
      <c r="E1162" s="108"/>
      <c r="F1162" s="108"/>
      <c r="G1162" s="108"/>
      <c r="H1162" s="155"/>
      <c r="I1162" s="155"/>
      <c r="J1162" s="108"/>
    </row>
    <row r="1163" spans="1:10" ht="15.6" hidden="1" customHeight="1" x14ac:dyDescent="0.3">
      <c r="A1163" s="151" t="s">
        <v>399</v>
      </c>
      <c r="B1163" s="106"/>
      <c r="C1163" s="106"/>
      <c r="D1163" s="106"/>
      <c r="E1163" s="107"/>
      <c r="F1163" s="106"/>
      <c r="G1163" s="106"/>
      <c r="H1163" s="155"/>
      <c r="I1163" s="155"/>
      <c r="J1163" s="106"/>
    </row>
    <row r="1164" spans="1:10" ht="15.6" hidden="1" customHeight="1" x14ac:dyDescent="0.3">
      <c r="A1164" s="151"/>
      <c r="B1164" s="106"/>
      <c r="C1164" s="106"/>
      <c r="D1164" s="106"/>
      <c r="E1164" s="107"/>
      <c r="F1164" s="106"/>
      <c r="G1164" s="106"/>
      <c r="H1164" s="155"/>
      <c r="I1164" s="155"/>
      <c r="J1164" s="106"/>
    </row>
    <row r="1165" spans="1:10" ht="15.6" hidden="1" customHeight="1" x14ac:dyDescent="0.3">
      <c r="A1165" s="151"/>
      <c r="B1165" s="106"/>
      <c r="C1165" s="106"/>
      <c r="D1165" s="106"/>
      <c r="E1165" s="107"/>
      <c r="F1165" s="106"/>
      <c r="G1165" s="106"/>
      <c r="H1165" s="155"/>
      <c r="I1165" s="155"/>
      <c r="J1165" s="106"/>
    </row>
    <row r="1166" spans="1:10" ht="15.6" hidden="1" customHeight="1" x14ac:dyDescent="0.3">
      <c r="A1166" s="150" t="s">
        <v>400</v>
      </c>
      <c r="B1166" s="106"/>
      <c r="C1166" s="106"/>
      <c r="D1166" s="106"/>
      <c r="E1166" s="107"/>
      <c r="F1166" s="106"/>
      <c r="G1166" s="106"/>
      <c r="H1166" s="155"/>
      <c r="I1166" s="155"/>
      <c r="J1166" s="106"/>
    </row>
    <row r="1167" spans="1:10" ht="15.6" hidden="1" customHeight="1" x14ac:dyDescent="0.3">
      <c r="A1167" s="150"/>
      <c r="B1167" s="106"/>
      <c r="C1167" s="106"/>
      <c r="D1167" s="106"/>
      <c r="E1167" s="107"/>
      <c r="F1167" s="106"/>
      <c r="G1167" s="106"/>
      <c r="H1167" s="155"/>
      <c r="I1167" s="155"/>
      <c r="J1167" s="106"/>
    </row>
    <row r="1168" spans="1:10" ht="15.6" hidden="1" customHeight="1" x14ac:dyDescent="0.3">
      <c r="A1168" s="150"/>
      <c r="B1168" s="106"/>
      <c r="C1168" s="106"/>
      <c r="D1168" s="106"/>
      <c r="E1168" s="107"/>
      <c r="F1168" s="106"/>
      <c r="G1168" s="106"/>
      <c r="H1168" s="155"/>
      <c r="I1168" s="155"/>
      <c r="J1168" s="106"/>
    </row>
    <row r="1169" spans="1:10" ht="15.6" hidden="1" customHeight="1" x14ac:dyDescent="0.3">
      <c r="A1169" s="150" t="s">
        <v>401</v>
      </c>
      <c r="B1169" s="106"/>
      <c r="C1169" s="106"/>
      <c r="D1169" s="106"/>
      <c r="E1169" s="107"/>
      <c r="F1169" s="106"/>
      <c r="G1169" s="106"/>
      <c r="H1169" s="155"/>
      <c r="I1169" s="155"/>
      <c r="J1169" s="106"/>
    </row>
    <row r="1170" spans="1:10" ht="15.6" hidden="1" customHeight="1" x14ac:dyDescent="0.3">
      <c r="A1170" s="150"/>
      <c r="B1170" s="106"/>
      <c r="C1170" s="106"/>
      <c r="D1170" s="106"/>
      <c r="E1170" s="107"/>
      <c r="F1170" s="106"/>
      <c r="G1170" s="106"/>
      <c r="H1170" s="155"/>
      <c r="I1170" s="155"/>
      <c r="J1170" s="106"/>
    </row>
    <row r="1171" spans="1:10" ht="15.6" hidden="1" customHeight="1" x14ac:dyDescent="0.3">
      <c r="A1171" s="150"/>
      <c r="B1171" s="106"/>
      <c r="C1171" s="106"/>
      <c r="D1171" s="106"/>
      <c r="E1171" s="107"/>
      <c r="F1171" s="106"/>
      <c r="G1171" s="106"/>
      <c r="H1171" s="155"/>
      <c r="I1171" s="155"/>
      <c r="J1171" s="106"/>
    </row>
    <row r="1172" spans="1:10" ht="15.6" hidden="1" customHeight="1" x14ac:dyDescent="0.3">
      <c r="A1172" s="150" t="s">
        <v>402</v>
      </c>
      <c r="B1172" s="108"/>
      <c r="C1172" s="106"/>
      <c r="D1172" s="108"/>
      <c r="E1172" s="107"/>
      <c r="F1172" s="106"/>
      <c r="G1172" s="108"/>
      <c r="H1172" s="155"/>
      <c r="I1172" s="155"/>
      <c r="J1172" s="108"/>
    </row>
    <row r="1173" spans="1:10" ht="15.6" hidden="1" customHeight="1" x14ac:dyDescent="0.3">
      <c r="A1173" s="150"/>
      <c r="B1173" s="108"/>
      <c r="C1173" s="106"/>
      <c r="D1173" s="108"/>
      <c r="E1173" s="107"/>
      <c r="F1173" s="106"/>
      <c r="G1173" s="108"/>
      <c r="H1173" s="155"/>
      <c r="I1173" s="155"/>
      <c r="J1173" s="108"/>
    </row>
    <row r="1174" spans="1:10" ht="15.6" hidden="1" customHeight="1" x14ac:dyDescent="0.3">
      <c r="A1174" s="150"/>
      <c r="B1174" s="108"/>
      <c r="C1174" s="106"/>
      <c r="D1174" s="108"/>
      <c r="E1174" s="107"/>
      <c r="F1174" s="106"/>
      <c r="G1174" s="108"/>
      <c r="H1174" s="155"/>
      <c r="I1174" s="155"/>
      <c r="J1174" s="108"/>
    </row>
    <row r="1175" spans="1:10" ht="15.6" customHeight="1" x14ac:dyDescent="0.3">
      <c r="A1175" s="109" t="s">
        <v>403</v>
      </c>
      <c r="B1175" s="106"/>
      <c r="C1175" s="141" t="s">
        <v>495</v>
      </c>
      <c r="D1175" s="106"/>
      <c r="E1175" s="107">
        <v>46114</v>
      </c>
      <c r="F1175" s="106" t="s">
        <v>496</v>
      </c>
      <c r="G1175" s="106"/>
      <c r="H1175" s="155"/>
      <c r="I1175" s="155"/>
      <c r="J1175" s="106">
        <v>16</v>
      </c>
    </row>
    <row r="1176" spans="1:10" ht="15.6" hidden="1" customHeight="1" x14ac:dyDescent="0.3">
      <c r="A1176" s="109" t="s">
        <v>403</v>
      </c>
      <c r="B1176" s="106"/>
      <c r="C1176" s="106" t="s">
        <v>493</v>
      </c>
      <c r="D1176" s="106"/>
      <c r="E1176" s="107">
        <v>46114</v>
      </c>
      <c r="F1176" s="106" t="s">
        <v>496</v>
      </c>
      <c r="G1176" s="106"/>
      <c r="H1176" s="155"/>
      <c r="I1176" s="155"/>
      <c r="J1176" s="106"/>
    </row>
    <row r="1177" spans="1:10" ht="15.6" hidden="1" customHeight="1" x14ac:dyDescent="0.3">
      <c r="A1177" s="109" t="s">
        <v>403</v>
      </c>
      <c r="B1177" s="106"/>
      <c r="C1177" s="106"/>
      <c r="D1177" s="106"/>
      <c r="E1177" s="107"/>
      <c r="F1177" s="106"/>
      <c r="G1177" s="106"/>
      <c r="H1177" s="155"/>
      <c r="I1177" s="155"/>
      <c r="J1177" s="106"/>
    </row>
    <row r="1178" spans="1:10" ht="15.6" hidden="1" customHeight="1" x14ac:dyDescent="0.3">
      <c r="A1178" s="150" t="s">
        <v>404</v>
      </c>
      <c r="B1178" s="108"/>
      <c r="C1178" s="106"/>
      <c r="D1178" s="108"/>
      <c r="E1178" s="107"/>
      <c r="F1178" s="106"/>
      <c r="G1178" s="108"/>
      <c r="H1178" s="155"/>
      <c r="I1178" s="155"/>
      <c r="J1178" s="108"/>
    </row>
    <row r="1179" spans="1:10" ht="15.6" hidden="1" customHeight="1" x14ac:dyDescent="0.3">
      <c r="A1179" s="150"/>
      <c r="B1179" s="108"/>
      <c r="C1179" s="106"/>
      <c r="D1179" s="108"/>
      <c r="E1179" s="107"/>
      <c r="F1179" s="106"/>
      <c r="G1179" s="108"/>
      <c r="H1179" s="155"/>
      <c r="I1179" s="155"/>
      <c r="J1179" s="108"/>
    </row>
    <row r="1180" spans="1:10" ht="15.6" hidden="1" customHeight="1" x14ac:dyDescent="0.3">
      <c r="A1180" s="150"/>
      <c r="B1180" s="108"/>
      <c r="C1180" s="106"/>
      <c r="D1180" s="108"/>
      <c r="E1180" s="107"/>
      <c r="F1180" s="106"/>
      <c r="G1180" s="108"/>
      <c r="H1180" s="155"/>
      <c r="I1180" s="155"/>
      <c r="J1180" s="108"/>
    </row>
    <row r="1181" spans="1:10" ht="15.6" hidden="1" customHeight="1" x14ac:dyDescent="0.3">
      <c r="A1181" s="150" t="s">
        <v>405</v>
      </c>
      <c r="B1181" s="106"/>
      <c r="C1181" s="106"/>
      <c r="D1181" s="107"/>
      <c r="E1181" s="107"/>
      <c r="F1181" s="106"/>
      <c r="G1181" s="106"/>
      <c r="H1181" s="155"/>
      <c r="I1181" s="155"/>
      <c r="J1181" s="106"/>
    </row>
    <row r="1182" spans="1:10" ht="15.6" hidden="1" customHeight="1" x14ac:dyDescent="0.3">
      <c r="A1182" s="150"/>
      <c r="B1182" s="106"/>
      <c r="C1182" s="106"/>
      <c r="D1182" s="106"/>
      <c r="E1182" s="107"/>
      <c r="F1182" s="106"/>
      <c r="G1182" s="106"/>
      <c r="H1182" s="155"/>
      <c r="I1182" s="155"/>
      <c r="J1182" s="106"/>
    </row>
    <row r="1183" spans="1:10" ht="15.6" hidden="1" customHeight="1" x14ac:dyDescent="0.3">
      <c r="A1183" s="150"/>
      <c r="B1183" s="106"/>
      <c r="C1183" s="106"/>
      <c r="D1183" s="106"/>
      <c r="E1183" s="107"/>
      <c r="F1183" s="106"/>
      <c r="G1183" s="106"/>
      <c r="H1183" s="155"/>
      <c r="I1183" s="155"/>
      <c r="J1183" s="106"/>
    </row>
    <row r="1184" spans="1:10" ht="15.6" hidden="1" customHeight="1" x14ac:dyDescent="0.3">
      <c r="A1184" s="150" t="s">
        <v>406</v>
      </c>
      <c r="B1184" s="106"/>
      <c r="C1184" s="106"/>
      <c r="D1184" s="106"/>
      <c r="E1184" s="107"/>
      <c r="F1184" s="106"/>
      <c r="G1184" s="106"/>
      <c r="H1184" s="155"/>
      <c r="I1184" s="155"/>
      <c r="J1184" s="106"/>
    </row>
    <row r="1185" spans="1:10" ht="15.6" hidden="1" customHeight="1" x14ac:dyDescent="0.3">
      <c r="A1185" s="150"/>
      <c r="B1185" s="106"/>
      <c r="C1185" s="106"/>
      <c r="D1185" s="106"/>
      <c r="E1185" s="107"/>
      <c r="F1185" s="106"/>
      <c r="G1185" s="106"/>
      <c r="H1185" s="155"/>
      <c r="I1185" s="155"/>
      <c r="J1185" s="106"/>
    </row>
    <row r="1186" spans="1:10" ht="15.6" hidden="1" customHeight="1" x14ac:dyDescent="0.3">
      <c r="A1186" s="150"/>
      <c r="B1186" s="106"/>
      <c r="C1186" s="106"/>
      <c r="D1186" s="106"/>
      <c r="E1186" s="107"/>
      <c r="F1186" s="106"/>
      <c r="G1186" s="106"/>
      <c r="H1186" s="155"/>
      <c r="I1186" s="155"/>
      <c r="J1186" s="106"/>
    </row>
    <row r="1187" spans="1:10" ht="15.6" hidden="1" customHeight="1" x14ac:dyDescent="0.3">
      <c r="A1187" s="150" t="s">
        <v>407</v>
      </c>
      <c r="B1187" s="106"/>
      <c r="C1187" s="106"/>
      <c r="D1187" s="106"/>
      <c r="E1187" s="107"/>
      <c r="F1187" s="106"/>
      <c r="G1187" s="106"/>
      <c r="H1187" s="155"/>
      <c r="I1187" s="155"/>
      <c r="J1187" s="106"/>
    </row>
    <row r="1188" spans="1:10" ht="15.6" hidden="1" customHeight="1" x14ac:dyDescent="0.3">
      <c r="A1188" s="150"/>
      <c r="B1188" s="106"/>
      <c r="C1188" s="106"/>
      <c r="D1188" s="106"/>
      <c r="E1188" s="107"/>
      <c r="F1188" s="106"/>
      <c r="G1188" s="106"/>
      <c r="H1188" s="155"/>
      <c r="I1188" s="155"/>
      <c r="J1188" s="106"/>
    </row>
    <row r="1189" spans="1:10" ht="15.6" hidden="1" customHeight="1" x14ac:dyDescent="0.3">
      <c r="A1189" s="150"/>
      <c r="B1189" s="106"/>
      <c r="C1189" s="106"/>
      <c r="D1189" s="106"/>
      <c r="E1189" s="107"/>
      <c r="F1189" s="106"/>
      <c r="G1189" s="106"/>
      <c r="H1189" s="155"/>
      <c r="I1189" s="155"/>
      <c r="J1189" s="106"/>
    </row>
    <row r="1190" spans="1:10" ht="15.6" customHeight="1" x14ac:dyDescent="0.3">
      <c r="A1190" s="109" t="s">
        <v>408</v>
      </c>
      <c r="B1190" s="106"/>
      <c r="C1190" s="141" t="s">
        <v>515</v>
      </c>
      <c r="D1190" s="106"/>
      <c r="E1190" s="107">
        <v>46125</v>
      </c>
      <c r="F1190" s="107" t="s">
        <v>496</v>
      </c>
      <c r="G1190" s="106"/>
      <c r="H1190" s="155"/>
      <c r="I1190" s="155"/>
      <c r="J1190" s="106">
        <v>16</v>
      </c>
    </row>
    <row r="1191" spans="1:10" ht="15.6" hidden="1" customHeight="1" x14ac:dyDescent="0.3">
      <c r="A1191" s="109" t="s">
        <v>408</v>
      </c>
      <c r="B1191" s="106"/>
      <c r="C1191" s="106" t="s">
        <v>544</v>
      </c>
      <c r="D1191" s="106"/>
      <c r="E1191" s="107">
        <v>46138</v>
      </c>
      <c r="F1191" s="107" t="s">
        <v>496</v>
      </c>
      <c r="G1191" s="106"/>
      <c r="H1191" s="155"/>
      <c r="I1191" s="155"/>
      <c r="J1191" s="106"/>
    </row>
    <row r="1192" spans="1:10" ht="15.6" hidden="1" customHeight="1" x14ac:dyDescent="0.3">
      <c r="A1192" s="109" t="s">
        <v>408</v>
      </c>
      <c r="B1192" s="106"/>
      <c r="C1192" s="106"/>
      <c r="D1192" s="106"/>
      <c r="E1192" s="107"/>
      <c r="F1192" s="107"/>
      <c r="G1192" s="106"/>
      <c r="H1192" s="155"/>
      <c r="I1192" s="155"/>
      <c r="J1192" s="106"/>
    </row>
    <row r="1193" spans="1:10" ht="15.6" hidden="1" customHeight="1" x14ac:dyDescent="0.3">
      <c r="A1193" s="109" t="s">
        <v>408</v>
      </c>
      <c r="B1193" s="106"/>
      <c r="C1193" s="106"/>
      <c r="D1193" s="106"/>
      <c r="E1193" s="107"/>
      <c r="F1193" s="107"/>
      <c r="G1193" s="106"/>
      <c r="H1193" s="155"/>
      <c r="I1193" s="155"/>
      <c r="J1193" s="106"/>
    </row>
    <row r="1194" spans="1:10" ht="15.6" hidden="1" customHeight="1" x14ac:dyDescent="0.3">
      <c r="A1194" s="109" t="s">
        <v>408</v>
      </c>
      <c r="B1194" s="106"/>
      <c r="C1194" s="106"/>
      <c r="D1194" s="106"/>
      <c r="E1194" s="107"/>
      <c r="F1194" s="107"/>
      <c r="G1194" s="106"/>
      <c r="H1194" s="155"/>
      <c r="I1194" s="155"/>
      <c r="J1194" s="106"/>
    </row>
    <row r="1195" spans="1:10" ht="15.6" hidden="1" customHeight="1" x14ac:dyDescent="0.3">
      <c r="A1195" s="150" t="s">
        <v>409</v>
      </c>
      <c r="B1195" s="106"/>
      <c r="C1195" s="106"/>
      <c r="D1195" s="106"/>
      <c r="E1195" s="107"/>
      <c r="F1195" s="106"/>
      <c r="G1195" s="106"/>
      <c r="H1195" s="155"/>
      <c r="I1195" s="155"/>
      <c r="J1195" s="106"/>
    </row>
    <row r="1196" spans="1:10" ht="15.6" hidden="1" customHeight="1" x14ac:dyDescent="0.3">
      <c r="A1196" s="150"/>
      <c r="B1196" s="106"/>
      <c r="C1196" s="106"/>
      <c r="D1196" s="106"/>
      <c r="E1196" s="107"/>
      <c r="F1196" s="106"/>
      <c r="G1196" s="106"/>
      <c r="H1196" s="155"/>
      <c r="I1196" s="155"/>
      <c r="J1196" s="106"/>
    </row>
    <row r="1197" spans="1:10" ht="15.6" hidden="1" customHeight="1" x14ac:dyDescent="0.3">
      <c r="A1197" s="150"/>
      <c r="B1197" s="106"/>
      <c r="C1197" s="106"/>
      <c r="D1197" s="106"/>
      <c r="E1197" s="107"/>
      <c r="F1197" s="106"/>
      <c r="G1197" s="106"/>
      <c r="H1197" s="155"/>
      <c r="I1197" s="155"/>
      <c r="J1197" s="106"/>
    </row>
    <row r="1198" spans="1:10" ht="15.6" hidden="1" customHeight="1" x14ac:dyDescent="0.3">
      <c r="A1198" s="150" t="s">
        <v>410</v>
      </c>
      <c r="B1198" s="106"/>
      <c r="C1198" s="106"/>
      <c r="D1198" s="106"/>
      <c r="E1198" s="107"/>
      <c r="F1198" s="106"/>
      <c r="G1198" s="106"/>
      <c r="H1198" s="155"/>
      <c r="I1198" s="155"/>
      <c r="J1198" s="106"/>
    </row>
    <row r="1199" spans="1:10" ht="15.6" hidden="1" customHeight="1" x14ac:dyDescent="0.3">
      <c r="A1199" s="150"/>
      <c r="B1199" s="106"/>
      <c r="C1199" s="106"/>
      <c r="D1199" s="106"/>
      <c r="E1199" s="107"/>
      <c r="F1199" s="106"/>
      <c r="G1199" s="106"/>
      <c r="H1199" s="155"/>
      <c r="I1199" s="155"/>
      <c r="J1199" s="106"/>
    </row>
    <row r="1200" spans="1:10" ht="15.6" hidden="1" customHeight="1" x14ac:dyDescent="0.3">
      <c r="A1200" s="150"/>
      <c r="B1200" s="106"/>
      <c r="C1200" s="106"/>
      <c r="D1200" s="106"/>
      <c r="E1200" s="107"/>
      <c r="F1200" s="106"/>
      <c r="G1200" s="106"/>
      <c r="H1200" s="155"/>
      <c r="I1200" s="155"/>
      <c r="J1200" s="106"/>
    </row>
    <row r="1201" spans="1:10" ht="15.6" hidden="1" customHeight="1" x14ac:dyDescent="0.3">
      <c r="A1201" s="150" t="s">
        <v>411</v>
      </c>
      <c r="B1201" s="108"/>
      <c r="C1201" s="108"/>
      <c r="D1201" s="108"/>
      <c r="E1201" s="108"/>
      <c r="F1201" s="108"/>
      <c r="G1201" s="108"/>
      <c r="H1201" s="155"/>
      <c r="I1201" s="155"/>
      <c r="J1201" s="108"/>
    </row>
    <row r="1202" spans="1:10" ht="15.6" hidden="1" customHeight="1" x14ac:dyDescent="0.3">
      <c r="A1202" s="150"/>
      <c r="B1202" s="108"/>
      <c r="C1202" s="108"/>
      <c r="D1202" s="108"/>
      <c r="E1202" s="108"/>
      <c r="F1202" s="108"/>
      <c r="G1202" s="108"/>
      <c r="H1202" s="155"/>
      <c r="I1202" s="155"/>
      <c r="J1202" s="108"/>
    </row>
    <row r="1203" spans="1:10" ht="15.6" hidden="1" customHeight="1" x14ac:dyDescent="0.3">
      <c r="A1203" s="150"/>
      <c r="B1203" s="108"/>
      <c r="C1203" s="108"/>
      <c r="D1203" s="108"/>
      <c r="E1203" s="108"/>
      <c r="F1203" s="108"/>
      <c r="G1203" s="108"/>
      <c r="H1203" s="155"/>
      <c r="I1203" s="155"/>
      <c r="J1203" s="108"/>
    </row>
    <row r="1204" spans="1:10" ht="15.6" hidden="1" customHeight="1" x14ac:dyDescent="0.3">
      <c r="A1204" s="150" t="s">
        <v>411</v>
      </c>
      <c r="B1204" s="108"/>
      <c r="C1204" s="108"/>
      <c r="D1204" s="108"/>
      <c r="E1204" s="115"/>
      <c r="F1204" s="108"/>
      <c r="G1204" s="108"/>
      <c r="H1204" s="155"/>
      <c r="I1204" s="155"/>
      <c r="J1204" s="108"/>
    </row>
    <row r="1205" spans="1:10" ht="15.6" hidden="1" customHeight="1" x14ac:dyDescent="0.3">
      <c r="A1205" s="150"/>
      <c r="B1205" s="108"/>
      <c r="C1205" s="108"/>
      <c r="D1205" s="108"/>
      <c r="E1205" s="115"/>
      <c r="F1205" s="108"/>
      <c r="G1205" s="108"/>
      <c r="H1205" s="155"/>
      <c r="I1205" s="155"/>
      <c r="J1205" s="108"/>
    </row>
    <row r="1206" spans="1:10" ht="15.6" hidden="1" customHeight="1" x14ac:dyDescent="0.3">
      <c r="A1206" s="150"/>
      <c r="B1206" s="108"/>
      <c r="C1206" s="108"/>
      <c r="D1206" s="108"/>
      <c r="E1206" s="115"/>
      <c r="F1206" s="108"/>
      <c r="G1206" s="108"/>
      <c r="H1206" s="155"/>
      <c r="I1206" s="155"/>
      <c r="J1206" s="108"/>
    </row>
    <row r="1207" spans="1:10" ht="15.6" hidden="1" customHeight="1" x14ac:dyDescent="0.3">
      <c r="A1207" s="150" t="s">
        <v>412</v>
      </c>
      <c r="B1207" s="106"/>
      <c r="C1207" s="106"/>
      <c r="D1207" s="106"/>
      <c r="E1207" s="107"/>
      <c r="F1207" s="106"/>
      <c r="G1207" s="106"/>
      <c r="H1207" s="155"/>
      <c r="I1207" s="155"/>
      <c r="J1207" s="106"/>
    </row>
    <row r="1208" spans="1:10" ht="15.6" hidden="1" customHeight="1" x14ac:dyDescent="0.3">
      <c r="A1208" s="150"/>
      <c r="B1208" s="106"/>
      <c r="C1208" s="106"/>
      <c r="D1208" s="106"/>
      <c r="E1208" s="107"/>
      <c r="F1208" s="106"/>
      <c r="G1208" s="106"/>
      <c r="H1208" s="155"/>
      <c r="I1208" s="155"/>
      <c r="J1208" s="106"/>
    </row>
    <row r="1209" spans="1:10" ht="15.6" hidden="1" customHeight="1" x14ac:dyDescent="0.3">
      <c r="A1209" s="150"/>
      <c r="B1209" s="106"/>
      <c r="C1209" s="106"/>
      <c r="D1209" s="106"/>
      <c r="E1209" s="107"/>
      <c r="F1209" s="106"/>
      <c r="G1209" s="106"/>
      <c r="H1209" s="155"/>
      <c r="I1209" s="155"/>
      <c r="J1209" s="106"/>
    </row>
    <row r="1210" spans="1:10" ht="15.6" hidden="1" customHeight="1" x14ac:dyDescent="0.3">
      <c r="A1210" s="111" t="s">
        <v>413</v>
      </c>
      <c r="B1210" s="106"/>
      <c r="C1210" s="106" t="s">
        <v>532</v>
      </c>
      <c r="D1210" s="106"/>
      <c r="E1210" s="107">
        <v>46130</v>
      </c>
      <c r="F1210" s="106" t="s">
        <v>490</v>
      </c>
      <c r="G1210" s="106"/>
      <c r="H1210" s="155"/>
      <c r="I1210" s="155"/>
      <c r="J1210" s="106"/>
    </row>
    <row r="1211" spans="1:10" ht="15.6" hidden="1" customHeight="1" x14ac:dyDescent="0.3">
      <c r="A1211" s="151" t="s">
        <v>413</v>
      </c>
      <c r="B1211" s="106"/>
      <c r="C1211" s="106"/>
      <c r="D1211" s="106"/>
      <c r="E1211" s="107"/>
      <c r="F1211" s="106"/>
      <c r="G1211" s="106"/>
      <c r="H1211" s="155"/>
      <c r="I1211" s="155"/>
      <c r="J1211" s="106"/>
    </row>
    <row r="1212" spans="1:10" ht="15.6" hidden="1" customHeight="1" x14ac:dyDescent="0.3">
      <c r="A1212" s="151"/>
      <c r="B1212" s="106"/>
      <c r="C1212" s="106"/>
      <c r="D1212" s="106"/>
      <c r="E1212" s="107"/>
      <c r="F1212" s="106"/>
      <c r="G1212" s="106"/>
      <c r="H1212" s="155"/>
      <c r="I1212" s="155"/>
      <c r="J1212" s="106"/>
    </row>
    <row r="1213" spans="1:10" ht="15.6" hidden="1" customHeight="1" x14ac:dyDescent="0.3">
      <c r="A1213" s="151"/>
      <c r="B1213" s="106"/>
      <c r="C1213" s="106"/>
      <c r="D1213" s="106"/>
      <c r="E1213" s="107"/>
      <c r="F1213" s="106"/>
      <c r="G1213" s="106"/>
      <c r="H1213" s="155"/>
      <c r="I1213" s="155"/>
      <c r="J1213" s="106"/>
    </row>
    <row r="1214" spans="1:10" ht="15.6" hidden="1" customHeight="1" x14ac:dyDescent="0.3">
      <c r="A1214" s="150" t="s">
        <v>414</v>
      </c>
      <c r="B1214" s="108"/>
      <c r="C1214" s="108"/>
      <c r="D1214" s="108"/>
      <c r="E1214" s="108"/>
      <c r="F1214" s="108"/>
      <c r="G1214" s="108"/>
      <c r="H1214" s="155"/>
      <c r="I1214" s="155"/>
      <c r="J1214" s="108"/>
    </row>
    <row r="1215" spans="1:10" ht="15.6" hidden="1" customHeight="1" x14ac:dyDescent="0.3">
      <c r="A1215" s="150"/>
      <c r="B1215" s="108"/>
      <c r="C1215" s="108"/>
      <c r="D1215" s="108"/>
      <c r="E1215" s="108"/>
      <c r="F1215" s="108"/>
      <c r="G1215" s="108"/>
      <c r="H1215" s="155"/>
      <c r="I1215" s="155"/>
      <c r="J1215" s="108"/>
    </row>
    <row r="1216" spans="1:10" ht="15.6" hidden="1" customHeight="1" x14ac:dyDescent="0.3">
      <c r="A1216" s="150"/>
      <c r="B1216" s="108"/>
      <c r="C1216" s="108"/>
      <c r="D1216" s="108"/>
      <c r="E1216" s="108"/>
      <c r="F1216" s="108"/>
      <c r="G1216" s="108"/>
      <c r="H1216" s="155"/>
      <c r="I1216" s="155"/>
      <c r="J1216" s="108"/>
    </row>
    <row r="1217" spans="1:10" ht="15.6" hidden="1" customHeight="1" x14ac:dyDescent="0.3">
      <c r="A1217" s="150" t="s">
        <v>415</v>
      </c>
      <c r="B1217" s="106"/>
      <c r="C1217" s="106"/>
      <c r="D1217" s="106"/>
      <c r="E1217" s="107"/>
      <c r="F1217" s="106"/>
      <c r="G1217" s="106"/>
      <c r="H1217" s="155"/>
      <c r="I1217" s="155"/>
      <c r="J1217" s="106"/>
    </row>
    <row r="1218" spans="1:10" ht="15.6" hidden="1" customHeight="1" x14ac:dyDescent="0.3">
      <c r="A1218" s="150"/>
      <c r="B1218" s="106"/>
      <c r="C1218" s="106"/>
      <c r="D1218" s="106"/>
      <c r="E1218" s="107"/>
      <c r="F1218" s="106"/>
      <c r="G1218" s="106"/>
      <c r="H1218" s="155"/>
      <c r="I1218" s="155"/>
      <c r="J1218" s="106"/>
    </row>
    <row r="1219" spans="1:10" ht="15.6" hidden="1" customHeight="1" x14ac:dyDescent="0.3">
      <c r="A1219" s="150"/>
      <c r="B1219" s="106"/>
      <c r="C1219" s="106"/>
      <c r="D1219" s="106"/>
      <c r="E1219" s="107"/>
      <c r="F1219" s="106"/>
      <c r="G1219" s="106"/>
      <c r="H1219" s="155"/>
      <c r="I1219" s="155"/>
      <c r="J1219" s="106"/>
    </row>
    <row r="1220" spans="1:10" ht="15.6" hidden="1" customHeight="1" x14ac:dyDescent="0.3">
      <c r="A1220" s="109" t="s">
        <v>416</v>
      </c>
      <c r="B1220" s="116"/>
      <c r="C1220" s="106" t="s">
        <v>533</v>
      </c>
      <c r="D1220" s="106"/>
      <c r="E1220" s="107">
        <v>46131</v>
      </c>
      <c r="F1220" s="106" t="s">
        <v>496</v>
      </c>
      <c r="G1220" s="106"/>
      <c r="H1220" s="155"/>
      <c r="I1220" s="155"/>
      <c r="J1220" s="106"/>
    </row>
    <row r="1221" spans="1:10" ht="15.6" hidden="1" customHeight="1" x14ac:dyDescent="0.3">
      <c r="A1221" s="109" t="s">
        <v>416</v>
      </c>
      <c r="B1221" s="116"/>
      <c r="C1221" s="106"/>
      <c r="D1221" s="106"/>
      <c r="E1221" s="107"/>
      <c r="F1221" s="106"/>
      <c r="G1221" s="106"/>
      <c r="H1221" s="155"/>
      <c r="I1221" s="155"/>
      <c r="J1221" s="106"/>
    </row>
    <row r="1222" spans="1:10" ht="15.6" hidden="1" customHeight="1" x14ac:dyDescent="0.3">
      <c r="A1222" s="109" t="s">
        <v>416</v>
      </c>
      <c r="B1222" s="116"/>
      <c r="C1222" s="106"/>
      <c r="D1222" s="106"/>
      <c r="E1222" s="107"/>
      <c r="F1222" s="106"/>
      <c r="G1222" s="106"/>
      <c r="H1222" s="155"/>
      <c r="I1222" s="155"/>
      <c r="J1222" s="106"/>
    </row>
    <row r="1223" spans="1:10" ht="15.6" hidden="1" customHeight="1" x14ac:dyDescent="0.3">
      <c r="A1223" s="150" t="s">
        <v>417</v>
      </c>
      <c r="B1223" s="106"/>
      <c r="C1223" s="106"/>
      <c r="D1223" s="106"/>
      <c r="E1223" s="107"/>
      <c r="F1223" s="106"/>
      <c r="G1223" s="106"/>
      <c r="H1223" s="155"/>
      <c r="I1223" s="155"/>
      <c r="J1223" s="106"/>
    </row>
    <row r="1224" spans="1:10" ht="15.6" hidden="1" customHeight="1" x14ac:dyDescent="0.3">
      <c r="A1224" s="150"/>
      <c r="B1224" s="106"/>
      <c r="C1224" s="106"/>
      <c r="D1224" s="106"/>
      <c r="E1224" s="107"/>
      <c r="F1224" s="106"/>
      <c r="G1224" s="106"/>
      <c r="H1224" s="155"/>
      <c r="I1224" s="155"/>
      <c r="J1224" s="106"/>
    </row>
    <row r="1225" spans="1:10" ht="15.6" hidden="1" customHeight="1" x14ac:dyDescent="0.3">
      <c r="A1225" s="150"/>
      <c r="B1225" s="106"/>
      <c r="C1225" s="106"/>
      <c r="D1225" s="106"/>
      <c r="E1225" s="107"/>
      <c r="F1225" s="106"/>
      <c r="G1225" s="106"/>
      <c r="H1225" s="155"/>
      <c r="I1225" s="155"/>
      <c r="J1225" s="106"/>
    </row>
    <row r="1226" spans="1:10" ht="15.6" hidden="1" customHeight="1" x14ac:dyDescent="0.3">
      <c r="A1226" s="150" t="s">
        <v>418</v>
      </c>
      <c r="B1226" s="108"/>
      <c r="C1226" s="106"/>
      <c r="D1226" s="106"/>
      <c r="E1226" s="107"/>
      <c r="F1226" s="106"/>
      <c r="G1226" s="108"/>
      <c r="H1226" s="155"/>
      <c r="I1226" s="155"/>
      <c r="J1226" s="108"/>
    </row>
    <row r="1227" spans="1:10" ht="15.6" hidden="1" customHeight="1" x14ac:dyDescent="0.3">
      <c r="A1227" s="150"/>
      <c r="B1227" s="108"/>
      <c r="C1227" s="106"/>
      <c r="D1227" s="106"/>
      <c r="E1227" s="107"/>
      <c r="F1227" s="106"/>
      <c r="G1227" s="108"/>
      <c r="H1227" s="155"/>
      <c r="I1227" s="155"/>
      <c r="J1227" s="108"/>
    </row>
    <row r="1228" spans="1:10" ht="15.6" hidden="1" customHeight="1" x14ac:dyDescent="0.3">
      <c r="A1228" s="150"/>
      <c r="B1228" s="108"/>
      <c r="C1228" s="106"/>
      <c r="D1228" s="106"/>
      <c r="E1228" s="107"/>
      <c r="F1228" s="106"/>
      <c r="G1228" s="108"/>
      <c r="H1228" s="155"/>
      <c r="I1228" s="155"/>
      <c r="J1228" s="108"/>
    </row>
    <row r="1229" spans="1:10" ht="15.6" hidden="1" customHeight="1" x14ac:dyDescent="0.3">
      <c r="A1229" s="150" t="s">
        <v>419</v>
      </c>
      <c r="B1229" s="108"/>
      <c r="C1229" s="108"/>
      <c r="D1229" s="108"/>
      <c r="E1229" s="108"/>
      <c r="F1229" s="108"/>
      <c r="G1229" s="108"/>
      <c r="H1229" s="155"/>
      <c r="I1229" s="155"/>
      <c r="J1229" s="108"/>
    </row>
    <row r="1230" spans="1:10" ht="15.6" hidden="1" customHeight="1" x14ac:dyDescent="0.3">
      <c r="A1230" s="150"/>
      <c r="B1230" s="108"/>
      <c r="C1230" s="108"/>
      <c r="D1230" s="108"/>
      <c r="E1230" s="108"/>
      <c r="F1230" s="108"/>
      <c r="G1230" s="108"/>
      <c r="H1230" s="155"/>
      <c r="I1230" s="155"/>
      <c r="J1230" s="108"/>
    </row>
    <row r="1231" spans="1:10" ht="15.6" hidden="1" customHeight="1" x14ac:dyDescent="0.3">
      <c r="A1231" s="150"/>
      <c r="B1231" s="108"/>
      <c r="C1231" s="108"/>
      <c r="D1231" s="108"/>
      <c r="E1231" s="108"/>
      <c r="F1231" s="108"/>
      <c r="G1231" s="108"/>
      <c r="H1231" s="155"/>
      <c r="I1231" s="155"/>
      <c r="J1231" s="108"/>
    </row>
    <row r="1232" spans="1:10" ht="15.6" hidden="1" customHeight="1" x14ac:dyDescent="0.3">
      <c r="A1232" s="150" t="s">
        <v>420</v>
      </c>
      <c r="B1232" s="106"/>
      <c r="C1232" s="106"/>
      <c r="D1232" s="106"/>
      <c r="E1232" s="107"/>
      <c r="F1232" s="107"/>
      <c r="G1232" s="106"/>
      <c r="H1232" s="155"/>
      <c r="I1232" s="155"/>
      <c r="J1232" s="106"/>
    </row>
    <row r="1233" spans="1:10" ht="15.6" hidden="1" customHeight="1" x14ac:dyDescent="0.3">
      <c r="A1233" s="150"/>
      <c r="B1233" s="106"/>
      <c r="C1233" s="106"/>
      <c r="D1233" s="106"/>
      <c r="E1233" s="107"/>
      <c r="F1233" s="107"/>
      <c r="G1233" s="106"/>
      <c r="H1233" s="155"/>
      <c r="I1233" s="155"/>
      <c r="J1233" s="106"/>
    </row>
    <row r="1234" spans="1:10" ht="15.6" hidden="1" customHeight="1" x14ac:dyDescent="0.3">
      <c r="A1234" s="150"/>
      <c r="B1234" s="106"/>
      <c r="C1234" s="106"/>
      <c r="D1234" s="106"/>
      <c r="E1234" s="107"/>
      <c r="F1234" s="107"/>
      <c r="G1234" s="106"/>
      <c r="H1234" s="155"/>
      <c r="I1234" s="155"/>
      <c r="J1234" s="106"/>
    </row>
    <row r="1235" spans="1:10" ht="15.6" hidden="1" customHeight="1" x14ac:dyDescent="0.3">
      <c r="A1235" s="150" t="s">
        <v>421</v>
      </c>
      <c r="B1235" s="106"/>
      <c r="C1235" s="106"/>
      <c r="D1235" s="106"/>
      <c r="E1235" s="107"/>
      <c r="F1235" s="106"/>
      <c r="G1235" s="106"/>
      <c r="H1235" s="155"/>
      <c r="I1235" s="155"/>
      <c r="J1235" s="106"/>
    </row>
    <row r="1236" spans="1:10" ht="15.6" hidden="1" customHeight="1" x14ac:dyDescent="0.3">
      <c r="A1236" s="150"/>
      <c r="B1236" s="106"/>
      <c r="C1236" s="106"/>
      <c r="D1236" s="106"/>
      <c r="E1236" s="107"/>
      <c r="F1236" s="106"/>
      <c r="G1236" s="106"/>
      <c r="H1236" s="155"/>
      <c r="I1236" s="155"/>
      <c r="J1236" s="106"/>
    </row>
    <row r="1237" spans="1:10" ht="15.6" hidden="1" customHeight="1" x14ac:dyDescent="0.3">
      <c r="A1237" s="150"/>
      <c r="B1237" s="106"/>
      <c r="C1237" s="106"/>
      <c r="D1237" s="106"/>
      <c r="E1237" s="107"/>
      <c r="F1237" s="106"/>
      <c r="G1237" s="106"/>
      <c r="H1237" s="155"/>
      <c r="I1237" s="155"/>
      <c r="J1237" s="106"/>
    </row>
    <row r="1238" spans="1:10" ht="15.6" customHeight="1" x14ac:dyDescent="0.3">
      <c r="A1238" s="110" t="s">
        <v>422</v>
      </c>
      <c r="B1238" s="108"/>
      <c r="C1238" s="106" t="s">
        <v>494</v>
      </c>
      <c r="D1238" s="108"/>
      <c r="E1238" s="107">
        <v>46114</v>
      </c>
      <c r="F1238" s="106" t="s">
        <v>491</v>
      </c>
      <c r="G1238" s="108"/>
      <c r="H1238" s="155"/>
      <c r="I1238" s="155"/>
      <c r="J1238" s="106">
        <v>8</v>
      </c>
    </row>
    <row r="1239" spans="1:10" ht="15.6" hidden="1" customHeight="1" x14ac:dyDescent="0.3">
      <c r="A1239" s="110" t="s">
        <v>422</v>
      </c>
      <c r="B1239" s="108"/>
      <c r="C1239" s="106" t="s">
        <v>513</v>
      </c>
      <c r="D1239" s="108"/>
      <c r="E1239" s="107">
        <v>46122</v>
      </c>
      <c r="F1239" s="106" t="s">
        <v>490</v>
      </c>
      <c r="G1239" s="108"/>
      <c r="H1239" s="155"/>
      <c r="I1239" s="155"/>
      <c r="J1239" s="106"/>
    </row>
    <row r="1240" spans="1:10" ht="15.6" hidden="1" customHeight="1" x14ac:dyDescent="0.3">
      <c r="A1240" s="110" t="s">
        <v>422</v>
      </c>
      <c r="B1240" s="108"/>
      <c r="C1240" s="106" t="s">
        <v>513</v>
      </c>
      <c r="D1240" s="108"/>
      <c r="E1240" s="107">
        <v>46121</v>
      </c>
      <c r="F1240" s="106" t="s">
        <v>490</v>
      </c>
      <c r="G1240" s="108"/>
      <c r="H1240" s="155"/>
      <c r="I1240" s="155"/>
      <c r="J1240" s="106"/>
    </row>
    <row r="1241" spans="1:10" ht="15.6" hidden="1" customHeight="1" x14ac:dyDescent="0.3">
      <c r="A1241" s="110" t="s">
        <v>422</v>
      </c>
      <c r="B1241" s="108"/>
      <c r="C1241" s="106" t="s">
        <v>534</v>
      </c>
      <c r="D1241" s="108"/>
      <c r="E1241" s="107">
        <v>46131</v>
      </c>
      <c r="F1241" s="106" t="s">
        <v>496</v>
      </c>
      <c r="G1241" s="108"/>
      <c r="H1241" s="155"/>
      <c r="I1241" s="155"/>
      <c r="J1241" s="106"/>
    </row>
    <row r="1242" spans="1:10" ht="15.6" customHeight="1" x14ac:dyDescent="0.3">
      <c r="A1242" s="109" t="s">
        <v>423</v>
      </c>
      <c r="B1242" s="106"/>
      <c r="C1242" s="141" t="s">
        <v>516</v>
      </c>
      <c r="D1242" s="106"/>
      <c r="E1242" s="107">
        <v>46130</v>
      </c>
      <c r="F1242" s="106" t="s">
        <v>490</v>
      </c>
      <c r="G1242" s="106"/>
      <c r="H1242" s="155"/>
      <c r="I1242" s="155"/>
      <c r="J1242" s="106">
        <v>16</v>
      </c>
    </row>
    <row r="1243" spans="1:10" ht="15.6" hidden="1" customHeight="1" x14ac:dyDescent="0.3">
      <c r="A1243" s="109" t="s">
        <v>423</v>
      </c>
      <c r="B1243" s="106"/>
      <c r="C1243" s="106"/>
      <c r="D1243" s="106"/>
      <c r="E1243" s="107"/>
      <c r="F1243" s="106"/>
      <c r="G1243" s="106"/>
      <c r="H1243" s="155"/>
      <c r="I1243" s="155"/>
      <c r="J1243" s="106"/>
    </row>
    <row r="1244" spans="1:10" ht="15.6" hidden="1" customHeight="1" x14ac:dyDescent="0.3">
      <c r="A1244" s="109" t="s">
        <v>423</v>
      </c>
      <c r="B1244" s="106"/>
      <c r="C1244" s="106"/>
      <c r="D1244" s="106"/>
      <c r="E1244" s="107"/>
      <c r="F1244" s="106"/>
      <c r="G1244" s="106"/>
      <c r="H1244" s="155"/>
      <c r="I1244" s="155"/>
      <c r="J1244" s="106"/>
    </row>
    <row r="1245" spans="1:10" ht="15.6" hidden="1" customHeight="1" x14ac:dyDescent="0.3">
      <c r="A1245" s="150" t="s">
        <v>424</v>
      </c>
      <c r="B1245" s="106"/>
      <c r="C1245" s="106"/>
      <c r="D1245" s="106"/>
      <c r="E1245" s="107"/>
      <c r="F1245" s="106"/>
      <c r="G1245" s="106"/>
      <c r="H1245" s="155"/>
      <c r="I1245" s="155"/>
      <c r="J1245" s="106"/>
    </row>
    <row r="1246" spans="1:10" ht="15.6" hidden="1" customHeight="1" x14ac:dyDescent="0.3">
      <c r="A1246" s="150"/>
      <c r="B1246" s="106"/>
      <c r="C1246" s="106"/>
      <c r="D1246" s="106"/>
      <c r="E1246" s="107"/>
      <c r="F1246" s="106"/>
      <c r="G1246" s="106"/>
      <c r="H1246" s="155"/>
      <c r="I1246" s="155"/>
      <c r="J1246" s="106"/>
    </row>
    <row r="1247" spans="1:10" ht="15.6" hidden="1" customHeight="1" x14ac:dyDescent="0.3">
      <c r="A1247" s="150"/>
      <c r="B1247" s="106"/>
      <c r="C1247" s="106"/>
      <c r="D1247" s="106"/>
      <c r="E1247" s="107"/>
      <c r="F1247" s="106"/>
      <c r="G1247" s="106"/>
      <c r="H1247" s="155"/>
      <c r="I1247" s="155"/>
      <c r="J1247" s="106"/>
    </row>
    <row r="1248" spans="1:10" ht="15.6" hidden="1" customHeight="1" x14ac:dyDescent="0.3">
      <c r="A1248" s="110" t="s">
        <v>425</v>
      </c>
      <c r="B1248" s="106"/>
      <c r="C1248" s="106"/>
      <c r="D1248" s="106"/>
      <c r="E1248" s="107"/>
      <c r="F1248" s="106"/>
      <c r="G1248" s="106"/>
      <c r="H1248" s="155"/>
      <c r="I1248" s="155"/>
      <c r="J1248" s="106"/>
    </row>
    <row r="1249" spans="1:10" ht="15.6" hidden="1" customHeight="1" x14ac:dyDescent="0.3">
      <c r="A1249" s="110" t="s">
        <v>425</v>
      </c>
      <c r="B1249" s="106"/>
      <c r="C1249" s="106"/>
      <c r="D1249" s="106"/>
      <c r="E1249" s="107"/>
      <c r="F1249" s="106"/>
      <c r="G1249" s="106"/>
      <c r="H1249" s="155"/>
      <c r="I1249" s="155"/>
      <c r="J1249" s="106"/>
    </row>
    <row r="1250" spans="1:10" ht="15.6" hidden="1" customHeight="1" x14ac:dyDescent="0.3">
      <c r="A1250" s="110" t="s">
        <v>425</v>
      </c>
      <c r="B1250" s="106"/>
      <c r="C1250" s="106"/>
      <c r="D1250" s="106"/>
      <c r="E1250" s="107"/>
      <c r="F1250" s="106"/>
      <c r="G1250" s="106"/>
      <c r="H1250" s="155"/>
      <c r="I1250" s="155"/>
      <c r="J1250" s="106"/>
    </row>
    <row r="1251" spans="1:10" ht="15.6" hidden="1" customHeight="1" x14ac:dyDescent="0.3">
      <c r="A1251" s="109" t="s">
        <v>426</v>
      </c>
      <c r="B1251" s="106"/>
      <c r="C1251" s="106"/>
      <c r="D1251" s="106"/>
      <c r="E1251" s="107"/>
      <c r="F1251" s="106"/>
      <c r="G1251" s="106"/>
      <c r="H1251" s="155"/>
      <c r="I1251" s="155"/>
      <c r="J1251" s="106"/>
    </row>
    <row r="1252" spans="1:10" ht="15.6" hidden="1" customHeight="1" x14ac:dyDescent="0.3">
      <c r="A1252" s="109" t="s">
        <v>426</v>
      </c>
      <c r="B1252" s="106"/>
      <c r="C1252" s="106"/>
      <c r="D1252" s="106"/>
      <c r="E1252" s="107"/>
      <c r="F1252" s="106"/>
      <c r="G1252" s="106"/>
      <c r="H1252" s="155"/>
      <c r="I1252" s="155"/>
      <c r="J1252" s="106"/>
    </row>
    <row r="1253" spans="1:10" ht="15.6" hidden="1" customHeight="1" x14ac:dyDescent="0.3">
      <c r="A1253" s="109" t="s">
        <v>426</v>
      </c>
      <c r="B1253" s="106"/>
      <c r="C1253" s="106"/>
      <c r="D1253" s="106"/>
      <c r="E1253" s="107"/>
      <c r="F1253" s="106"/>
      <c r="G1253" s="106"/>
      <c r="H1253" s="155"/>
      <c r="I1253" s="155"/>
      <c r="J1253" s="106"/>
    </row>
    <row r="1254" spans="1:10" ht="15.6" hidden="1" customHeight="1" x14ac:dyDescent="0.3">
      <c r="A1254" s="109" t="s">
        <v>426</v>
      </c>
      <c r="B1254" s="106"/>
      <c r="C1254" s="106"/>
      <c r="D1254" s="106"/>
      <c r="E1254" s="107"/>
      <c r="F1254" s="106"/>
      <c r="G1254" s="106"/>
      <c r="H1254" s="155"/>
      <c r="I1254" s="155"/>
      <c r="J1254" s="106"/>
    </row>
    <row r="1255" spans="1:10" ht="15.6" hidden="1" customHeight="1" x14ac:dyDescent="0.3">
      <c r="A1255" s="109" t="s">
        <v>426</v>
      </c>
      <c r="B1255" s="106"/>
      <c r="C1255" s="106"/>
      <c r="D1255" s="106"/>
      <c r="E1255" s="107"/>
      <c r="F1255" s="106"/>
      <c r="G1255" s="106"/>
      <c r="H1255" s="155"/>
      <c r="I1255" s="155"/>
      <c r="J1255" s="106"/>
    </row>
    <row r="1256" spans="1:10" ht="15.6" hidden="1" customHeight="1" x14ac:dyDescent="0.3">
      <c r="A1256" s="151" t="s">
        <v>427</v>
      </c>
      <c r="B1256" s="106"/>
      <c r="C1256" s="106"/>
      <c r="D1256" s="106"/>
      <c r="E1256" s="107"/>
      <c r="F1256" s="106"/>
      <c r="G1256" s="106"/>
      <c r="H1256" s="155"/>
      <c r="I1256" s="155"/>
      <c r="J1256" s="106"/>
    </row>
    <row r="1257" spans="1:10" s="20" customFormat="1" ht="15.6" hidden="1" customHeight="1" x14ac:dyDescent="0.3">
      <c r="A1257" s="151"/>
      <c r="B1257" s="106"/>
      <c r="C1257" s="106"/>
      <c r="D1257" s="106"/>
      <c r="E1257" s="107"/>
      <c r="F1257" s="106"/>
      <c r="G1257" s="106"/>
      <c r="H1257" s="155"/>
      <c r="I1257" s="155"/>
      <c r="J1257" s="106"/>
    </row>
    <row r="1258" spans="1:10" s="20" customFormat="1" ht="15.6" hidden="1" customHeight="1" x14ac:dyDescent="0.3">
      <c r="A1258" s="151"/>
      <c r="B1258" s="106"/>
      <c r="C1258" s="106"/>
      <c r="D1258" s="106"/>
      <c r="E1258" s="107"/>
      <c r="F1258" s="106"/>
      <c r="G1258" s="106"/>
      <c r="H1258" s="155"/>
      <c r="I1258" s="155"/>
      <c r="J1258" s="106"/>
    </row>
    <row r="1259" spans="1:10" s="20" customFormat="1" ht="15.6" hidden="1" customHeight="1" x14ac:dyDescent="0.3">
      <c r="A1259" s="150" t="s">
        <v>428</v>
      </c>
      <c r="B1259" s="106"/>
      <c r="C1259" s="106"/>
      <c r="D1259" s="106"/>
      <c r="E1259" s="107"/>
      <c r="F1259" s="106"/>
      <c r="G1259" s="106"/>
      <c r="H1259" s="155"/>
      <c r="I1259" s="155"/>
      <c r="J1259" s="106"/>
    </row>
    <row r="1260" spans="1:10" ht="15.6" hidden="1" customHeight="1" x14ac:dyDescent="0.3">
      <c r="A1260" s="150"/>
      <c r="B1260" s="106"/>
      <c r="C1260" s="106"/>
      <c r="D1260" s="106"/>
      <c r="E1260" s="107"/>
      <c r="F1260" s="106"/>
      <c r="G1260" s="106"/>
      <c r="H1260" s="155"/>
      <c r="I1260" s="155"/>
      <c r="J1260" s="106"/>
    </row>
    <row r="1261" spans="1:10" ht="15.6" hidden="1" customHeight="1" x14ac:dyDescent="0.3">
      <c r="A1261" s="150"/>
      <c r="B1261" s="106"/>
      <c r="C1261" s="106"/>
      <c r="D1261" s="106"/>
      <c r="E1261" s="107"/>
      <c r="F1261" s="106"/>
      <c r="G1261" s="106"/>
      <c r="H1261" s="155"/>
      <c r="I1261" s="155"/>
      <c r="J1261" s="106"/>
    </row>
    <row r="1262" spans="1:10" ht="15.6" hidden="1" customHeight="1" x14ac:dyDescent="0.3">
      <c r="A1262" s="150" t="s">
        <v>429</v>
      </c>
      <c r="B1262" s="106"/>
      <c r="C1262" s="106"/>
      <c r="D1262" s="106"/>
      <c r="E1262" s="107"/>
      <c r="F1262" s="106"/>
      <c r="G1262" s="106"/>
      <c r="H1262" s="155"/>
      <c r="I1262" s="155"/>
      <c r="J1262" s="106"/>
    </row>
    <row r="1263" spans="1:10" ht="15.6" hidden="1" customHeight="1" x14ac:dyDescent="0.3">
      <c r="A1263" s="150"/>
      <c r="B1263" s="106"/>
      <c r="C1263" s="106"/>
      <c r="D1263" s="106"/>
      <c r="E1263" s="107"/>
      <c r="F1263" s="106"/>
      <c r="G1263" s="106"/>
      <c r="H1263" s="155"/>
      <c r="I1263" s="155"/>
      <c r="J1263" s="106"/>
    </row>
    <row r="1264" spans="1:10" ht="15.6" hidden="1" customHeight="1" x14ac:dyDescent="0.3">
      <c r="A1264" s="150"/>
      <c r="B1264" s="106"/>
      <c r="C1264" s="106"/>
      <c r="D1264" s="106"/>
      <c r="E1264" s="107"/>
      <c r="F1264" s="106"/>
      <c r="G1264" s="106"/>
      <c r="H1264" s="155"/>
      <c r="I1264" s="155"/>
      <c r="J1264" s="106"/>
    </row>
    <row r="1265" spans="1:10" ht="15.6" hidden="1" customHeight="1" x14ac:dyDescent="0.3">
      <c r="A1265" s="150" t="s">
        <v>430</v>
      </c>
      <c r="B1265" s="106"/>
      <c r="C1265" s="106"/>
      <c r="D1265" s="106"/>
      <c r="E1265" s="107"/>
      <c r="F1265" s="106"/>
      <c r="G1265" s="106"/>
      <c r="H1265" s="155"/>
      <c r="I1265" s="155"/>
      <c r="J1265" s="106"/>
    </row>
    <row r="1266" spans="1:10" ht="15.6" hidden="1" customHeight="1" x14ac:dyDescent="0.3">
      <c r="A1266" s="150"/>
      <c r="B1266" s="106"/>
      <c r="C1266" s="106"/>
      <c r="D1266" s="106"/>
      <c r="E1266" s="107"/>
      <c r="F1266" s="106"/>
      <c r="G1266" s="106"/>
      <c r="H1266" s="155"/>
      <c r="I1266" s="155"/>
      <c r="J1266" s="106"/>
    </row>
    <row r="1267" spans="1:10" ht="15.6" hidden="1" customHeight="1" x14ac:dyDescent="0.3">
      <c r="A1267" s="150"/>
      <c r="B1267" s="106"/>
      <c r="C1267" s="106"/>
      <c r="D1267" s="106"/>
      <c r="E1267" s="107"/>
      <c r="F1267" s="106"/>
      <c r="G1267" s="106"/>
      <c r="H1267" s="155"/>
      <c r="I1267" s="155"/>
      <c r="J1267" s="106"/>
    </row>
    <row r="1268" spans="1:10" ht="15.6" hidden="1" customHeight="1" x14ac:dyDescent="0.3">
      <c r="A1268" s="150" t="s">
        <v>431</v>
      </c>
      <c r="B1268" s="106"/>
      <c r="C1268" s="106"/>
      <c r="D1268" s="106"/>
      <c r="E1268" s="107"/>
      <c r="F1268" s="106"/>
      <c r="G1268" s="106"/>
      <c r="H1268" s="155"/>
      <c r="I1268" s="155"/>
      <c r="J1268" s="106"/>
    </row>
    <row r="1269" spans="1:10" ht="15.6" hidden="1" customHeight="1" x14ac:dyDescent="0.3">
      <c r="A1269" s="150"/>
      <c r="B1269" s="106"/>
      <c r="C1269" s="106"/>
      <c r="D1269" s="106"/>
      <c r="E1269" s="107"/>
      <c r="F1269" s="106"/>
      <c r="G1269" s="106"/>
      <c r="H1269" s="155"/>
      <c r="I1269" s="155"/>
      <c r="J1269" s="106"/>
    </row>
    <row r="1270" spans="1:10" ht="15.6" hidden="1" customHeight="1" x14ac:dyDescent="0.3">
      <c r="A1270" s="150"/>
      <c r="B1270" s="106"/>
      <c r="C1270" s="106"/>
      <c r="D1270" s="106"/>
      <c r="E1270" s="107"/>
      <c r="F1270" s="106"/>
      <c r="G1270" s="106"/>
      <c r="H1270" s="155"/>
      <c r="I1270" s="155"/>
      <c r="J1270" s="106"/>
    </row>
    <row r="1271" spans="1:10" ht="15.6" hidden="1" customHeight="1" x14ac:dyDescent="0.3">
      <c r="A1271" s="150" t="s">
        <v>432</v>
      </c>
      <c r="B1271" s="106"/>
      <c r="C1271" s="106"/>
      <c r="D1271" s="106"/>
      <c r="E1271" s="107"/>
      <c r="F1271" s="106"/>
      <c r="G1271" s="106"/>
      <c r="H1271" s="155"/>
      <c r="I1271" s="155"/>
      <c r="J1271" s="106"/>
    </row>
    <row r="1272" spans="1:10" ht="15.6" hidden="1" customHeight="1" x14ac:dyDescent="0.3">
      <c r="A1272" s="150"/>
      <c r="B1272" s="106"/>
      <c r="C1272" s="106"/>
      <c r="D1272" s="106"/>
      <c r="E1272" s="107"/>
      <c r="F1272" s="106"/>
      <c r="G1272" s="106"/>
      <c r="H1272" s="155"/>
      <c r="I1272" s="155"/>
      <c r="J1272" s="106"/>
    </row>
    <row r="1273" spans="1:10" ht="15.6" hidden="1" customHeight="1" x14ac:dyDescent="0.3">
      <c r="A1273" s="150"/>
      <c r="B1273" s="106"/>
      <c r="C1273" s="106"/>
      <c r="D1273" s="106"/>
      <c r="E1273" s="107"/>
      <c r="F1273" s="106"/>
      <c r="G1273" s="106"/>
      <c r="H1273" s="155"/>
      <c r="I1273" s="155"/>
      <c r="J1273" s="106"/>
    </row>
    <row r="1274" spans="1:10" ht="15.6" hidden="1" customHeight="1" x14ac:dyDescent="0.3">
      <c r="A1274" s="150" t="s">
        <v>433</v>
      </c>
      <c r="B1274" s="106"/>
      <c r="C1274" s="106"/>
      <c r="D1274" s="106"/>
      <c r="E1274" s="107"/>
      <c r="F1274" s="106"/>
      <c r="G1274" s="106"/>
      <c r="H1274" s="155"/>
      <c r="I1274" s="155"/>
      <c r="J1274" s="106"/>
    </row>
    <row r="1275" spans="1:10" ht="15.6" hidden="1" customHeight="1" x14ac:dyDescent="0.3">
      <c r="A1275" s="150"/>
      <c r="B1275" s="106"/>
      <c r="C1275" s="106"/>
      <c r="D1275" s="106"/>
      <c r="E1275" s="107"/>
      <c r="F1275" s="106"/>
      <c r="G1275" s="106"/>
      <c r="H1275" s="155"/>
      <c r="I1275" s="155"/>
      <c r="J1275" s="106"/>
    </row>
    <row r="1276" spans="1:10" ht="15.6" hidden="1" customHeight="1" x14ac:dyDescent="0.3">
      <c r="A1276" s="150"/>
      <c r="B1276" s="106"/>
      <c r="C1276" s="106"/>
      <c r="D1276" s="106"/>
      <c r="E1276" s="107"/>
      <c r="F1276" s="106"/>
      <c r="G1276" s="106"/>
      <c r="H1276" s="155"/>
      <c r="I1276" s="155"/>
      <c r="J1276" s="106"/>
    </row>
    <row r="1277" spans="1:10" ht="15.6" hidden="1" customHeight="1" x14ac:dyDescent="0.3">
      <c r="A1277" s="150" t="s">
        <v>434</v>
      </c>
      <c r="B1277" s="106"/>
      <c r="C1277" s="106"/>
      <c r="D1277" s="106"/>
      <c r="E1277" s="107"/>
      <c r="F1277" s="106"/>
      <c r="G1277" s="106"/>
      <c r="H1277" s="155"/>
      <c r="I1277" s="155"/>
      <c r="J1277" s="106"/>
    </row>
    <row r="1278" spans="1:10" s="20" customFormat="1" ht="18.75" hidden="1" customHeight="1" x14ac:dyDescent="0.3">
      <c r="A1278" s="150"/>
      <c r="B1278" s="106"/>
      <c r="C1278" s="106"/>
      <c r="D1278" s="106"/>
      <c r="E1278" s="107"/>
      <c r="F1278" s="106"/>
      <c r="G1278" s="106"/>
      <c r="H1278" s="155"/>
      <c r="I1278" s="155"/>
      <c r="J1278" s="106"/>
    </row>
    <row r="1279" spans="1:10" ht="15" customHeight="1" x14ac:dyDescent="0.3">
      <c r="A1279" s="26"/>
      <c r="B1279" s="27"/>
      <c r="C1279" s="28"/>
      <c r="D1279" s="28"/>
      <c r="E1279" s="29"/>
      <c r="F1279" s="28"/>
      <c r="G1279" s="28"/>
      <c r="H1279" s="155"/>
      <c r="I1279" s="155"/>
      <c r="J1279" s="27">
        <f>J1280/1000</f>
        <v>0.47399999999999998</v>
      </c>
    </row>
    <row r="1280" spans="1:10" s="20" customFormat="1" ht="21" customHeight="1" x14ac:dyDescent="0.3">
      <c r="A1280" s="32" t="s">
        <v>31</v>
      </c>
      <c r="B1280" s="33"/>
      <c r="C1280" s="34"/>
      <c r="D1280" s="34"/>
      <c r="E1280" s="34"/>
      <c r="F1280" s="34"/>
      <c r="G1280" s="34"/>
      <c r="H1280" s="155"/>
      <c r="I1280" s="155"/>
      <c r="J1280" s="35">
        <f t="shared" ref="J1280" si="0">SUM(J3:J1278)</f>
        <v>474</v>
      </c>
    </row>
    <row r="1281" spans="1:10" ht="15" customHeight="1" x14ac:dyDescent="0.3">
      <c r="A1281" s="32" t="s">
        <v>482</v>
      </c>
      <c r="B1281" s="31"/>
      <c r="C1281" s="36"/>
      <c r="D1281" s="36"/>
      <c r="E1281" s="36"/>
      <c r="F1281" s="36"/>
      <c r="G1281" s="36"/>
      <c r="H1281" s="155"/>
      <c r="I1281" s="155"/>
      <c r="J1281" s="37">
        <f t="shared" ref="J1281" si="1">J1285*17.643</f>
        <v>58147.446540000004</v>
      </c>
    </row>
    <row r="1282" spans="1:10" ht="15" customHeight="1" x14ac:dyDescent="0.3">
      <c r="A1282" s="32" t="s">
        <v>482</v>
      </c>
      <c r="B1282" s="31"/>
      <c r="C1282" s="36"/>
      <c r="D1282" s="36"/>
      <c r="E1282" s="36"/>
      <c r="F1282" s="36"/>
      <c r="G1282" s="36"/>
      <c r="H1282" s="155"/>
      <c r="I1282" s="155"/>
      <c r="J1282" s="39">
        <f>J1281*J1279</f>
        <v>27561.889659960001</v>
      </c>
    </row>
    <row r="1283" spans="1:10" ht="15" hidden="1" customHeight="1" x14ac:dyDescent="0.3">
      <c r="A1283" s="32" t="s">
        <v>31</v>
      </c>
      <c r="B1283" s="31"/>
      <c r="C1283" s="36"/>
      <c r="D1283" s="36"/>
      <c r="E1283" s="36"/>
      <c r="F1283" s="36"/>
      <c r="G1283" s="36"/>
      <c r="H1283" s="155"/>
      <c r="I1283" s="155"/>
      <c r="J1283" s="38"/>
    </row>
    <row r="1284" spans="1:10" ht="15" hidden="1" customHeight="1" x14ac:dyDescent="0.3">
      <c r="A1284" s="32" t="s">
        <v>31</v>
      </c>
      <c r="B1284" s="31"/>
      <c r="C1284" s="36"/>
      <c r="D1284" s="36"/>
      <c r="E1284" s="36"/>
      <c r="F1284" s="36"/>
      <c r="G1284" s="36"/>
      <c r="H1284" s="155"/>
      <c r="I1284" s="155"/>
      <c r="J1284" s="38"/>
    </row>
    <row r="1285" spans="1:10" ht="15" customHeight="1" x14ac:dyDescent="0.3">
      <c r="A1285" s="132" t="s">
        <v>483</v>
      </c>
      <c r="B1285" s="31"/>
      <c r="C1285" s="36"/>
      <c r="D1285" s="36"/>
      <c r="E1285" s="36"/>
      <c r="F1285" s="36"/>
      <c r="G1285" s="36"/>
      <c r="H1285" s="155"/>
      <c r="I1285" s="155"/>
      <c r="J1285" s="40">
        <v>3295.78</v>
      </c>
    </row>
    <row r="1286" spans="1:10" ht="15" customHeight="1" x14ac:dyDescent="0.3">
      <c r="A1286" s="41" t="s">
        <v>483</v>
      </c>
      <c r="B1286" s="31"/>
      <c r="C1286" s="36"/>
      <c r="D1286" s="36"/>
      <c r="E1286" s="36"/>
      <c r="F1286" s="36"/>
      <c r="G1286" s="36"/>
      <c r="H1286" s="155"/>
      <c r="I1286" s="155"/>
      <c r="J1286" s="42">
        <f>+J1285*J1279</f>
        <v>1562.1997200000001</v>
      </c>
    </row>
    <row r="1287" spans="1:10" ht="13.5" hidden="1" customHeight="1" x14ac:dyDescent="0.3">
      <c r="A1287" s="44"/>
      <c r="B1287" t="s">
        <v>31</v>
      </c>
      <c r="H1287" s="155"/>
      <c r="I1287" s="155"/>
      <c r="J1287" t="s">
        <v>31</v>
      </c>
    </row>
    <row r="1288" spans="1:10" ht="15" hidden="1" customHeight="1" x14ac:dyDescent="0.3">
      <c r="A1288" s="44"/>
      <c r="B1288" t="s">
        <v>31</v>
      </c>
      <c r="H1288" s="155"/>
      <c r="I1288" s="155"/>
      <c r="J1288" s="45"/>
    </row>
    <row r="1289" spans="1:10" ht="15" hidden="1" customHeight="1" x14ac:dyDescent="0.3">
      <c r="A1289" s="44"/>
      <c r="B1289" t="s">
        <v>31</v>
      </c>
      <c r="E1289" t="s">
        <v>31</v>
      </c>
      <c r="H1289" s="155"/>
      <c r="I1289" s="155"/>
    </row>
    <row r="1290" spans="1:10" ht="15" hidden="1" customHeight="1" x14ac:dyDescent="0.3">
      <c r="A1290" s="44"/>
      <c r="C1290" t="s">
        <v>31</v>
      </c>
      <c r="H1290" s="155"/>
      <c r="I1290" s="155"/>
    </row>
    <row r="1291" spans="1:10" ht="15" hidden="1" customHeight="1" x14ac:dyDescent="0.3">
      <c r="A1291" s="46"/>
      <c r="B1291" t="s">
        <v>31</v>
      </c>
      <c r="H1291" s="155"/>
      <c r="I1291" s="155"/>
    </row>
    <row r="1292" spans="1:10" ht="15" hidden="1" customHeight="1" x14ac:dyDescent="0.3">
      <c r="A1292" s="44"/>
      <c r="C1292" t="s">
        <v>31</v>
      </c>
      <c r="H1292" s="155"/>
      <c r="I1292" s="155"/>
    </row>
    <row r="1293" spans="1:10" ht="15" hidden="1" customHeight="1" x14ac:dyDescent="0.3">
      <c r="A1293" s="44"/>
      <c r="B1293" t="s">
        <v>31</v>
      </c>
      <c r="H1293" s="155"/>
      <c r="I1293" s="155"/>
    </row>
    <row r="1294" spans="1:10" ht="15" hidden="1" customHeight="1" x14ac:dyDescent="0.3">
      <c r="A1294" s="44" t="s">
        <v>31</v>
      </c>
      <c r="H1294" s="155"/>
      <c r="I1294" s="155"/>
    </row>
    <row r="1295" spans="1:10" ht="15" hidden="1" customHeight="1" x14ac:dyDescent="0.3">
      <c r="A1295" s="44"/>
      <c r="C1295" t="s">
        <v>31</v>
      </c>
      <c r="H1295" s="155"/>
      <c r="I1295" s="155"/>
    </row>
    <row r="1296" spans="1:10" ht="15" hidden="1" customHeight="1" x14ac:dyDescent="0.3">
      <c r="A1296" s="44"/>
      <c r="H1296" s="155"/>
      <c r="I1296" s="155"/>
    </row>
    <row r="1297" spans="1:10" ht="12" hidden="1" customHeight="1" x14ac:dyDescent="0.3">
      <c r="A1297" t="s">
        <v>31</v>
      </c>
      <c r="H1297" s="155"/>
      <c r="I1297" s="155"/>
    </row>
    <row r="1298" spans="1:10" ht="14.4" hidden="1" customHeight="1" x14ac:dyDescent="0.3">
      <c r="C1298" t="s">
        <v>31</v>
      </c>
      <c r="H1298" s="155"/>
      <c r="I1298" s="155"/>
    </row>
    <row r="1299" spans="1:10" ht="14.4" hidden="1" customHeight="1" x14ac:dyDescent="0.3">
      <c r="C1299" t="s">
        <v>31</v>
      </c>
      <c r="H1299" s="155"/>
      <c r="I1299" s="155"/>
    </row>
    <row r="1300" spans="1:10" ht="15.6" hidden="1" customHeight="1" x14ac:dyDescent="0.3">
      <c r="A1300" s="47"/>
      <c r="C1300" s="25"/>
      <c r="D1300" s="45"/>
      <c r="E1300" s="48"/>
      <c r="F1300" s="25"/>
      <c r="G1300" s="45"/>
      <c r="H1300" s="155"/>
      <c r="I1300" s="155"/>
      <c r="J1300" s="45"/>
    </row>
    <row r="1301" spans="1:10" ht="11.25" customHeight="1" x14ac:dyDescent="0.3">
      <c r="C1301" t="s">
        <v>31</v>
      </c>
    </row>
    <row r="1302" spans="1:10" x14ac:dyDescent="0.3">
      <c r="A1302" s="49" t="s">
        <v>435</v>
      </c>
      <c r="C1302" s="143" t="s">
        <v>436</v>
      </c>
      <c r="E1302" t="s">
        <v>31</v>
      </c>
    </row>
    <row r="1303" spans="1:10" x14ac:dyDescent="0.3">
      <c r="A1303" s="50">
        <v>90</v>
      </c>
      <c r="C1303" s="144" t="s">
        <v>437</v>
      </c>
    </row>
    <row r="1304" spans="1:10" x14ac:dyDescent="0.3">
      <c r="A1304" s="51"/>
      <c r="C1304" s="144" t="s">
        <v>438</v>
      </c>
    </row>
    <row r="1308" spans="1:10" x14ac:dyDescent="0.3">
      <c r="C1308" t="s">
        <v>31</v>
      </c>
    </row>
    <row r="1337" spans="3:3" x14ac:dyDescent="0.3">
      <c r="C1337" t="s">
        <v>479</v>
      </c>
    </row>
  </sheetData>
  <autoFilter ref="A2:J1300" xr:uid="{00000000-0009-0000-0000-000000000000}">
    <filterColumn colId="9">
      <customFilters>
        <customFilter operator="notEqual" val=" "/>
      </customFilters>
    </filterColumn>
    <sortState xmlns:xlrd2="http://schemas.microsoft.com/office/spreadsheetml/2017/richdata2" ref="A91:DK91">
      <sortCondition ref="A2:A422"/>
    </sortState>
  </autoFilter>
  <mergeCells count="340">
    <mergeCell ref="A1091:A1093"/>
    <mergeCell ref="A1097:A1099"/>
    <mergeCell ref="A1100:A1102"/>
    <mergeCell ref="A1103:A1105"/>
    <mergeCell ref="A1033:A1035"/>
    <mergeCell ref="A1036:A1038"/>
    <mergeCell ref="A1039:A1041"/>
    <mergeCell ref="A1042:A1044"/>
    <mergeCell ref="A1045:A1047"/>
    <mergeCell ref="A1048:A1050"/>
    <mergeCell ref="A1051:A1053"/>
    <mergeCell ref="A1070:A1072"/>
    <mergeCell ref="A1073:A1075"/>
    <mergeCell ref="A1076:A1078"/>
    <mergeCell ref="A1079:A1081"/>
    <mergeCell ref="A1088:A1090"/>
    <mergeCell ref="A1082:A1084"/>
    <mergeCell ref="A1085:A1087"/>
    <mergeCell ref="A1005:A1007"/>
    <mergeCell ref="A1008:A1010"/>
    <mergeCell ref="A1011:A1013"/>
    <mergeCell ref="A1014:A1016"/>
    <mergeCell ref="A1017:A1019"/>
    <mergeCell ref="A1020:A1022"/>
    <mergeCell ref="A1055:A1057"/>
    <mergeCell ref="A1064:A1066"/>
    <mergeCell ref="A1067:A1069"/>
    <mergeCell ref="A888:A890"/>
    <mergeCell ref="A891:A893"/>
    <mergeCell ref="A894:A896"/>
    <mergeCell ref="A897:A899"/>
    <mergeCell ref="A900:A902"/>
    <mergeCell ref="A903:A905"/>
    <mergeCell ref="A864:A866"/>
    <mergeCell ref="A867:A869"/>
    <mergeCell ref="A873:A875"/>
    <mergeCell ref="A876:A878"/>
    <mergeCell ref="A850:A852"/>
    <mergeCell ref="A853:A855"/>
    <mergeCell ref="A856:A858"/>
    <mergeCell ref="D1:E1"/>
    <mergeCell ref="H3:H5"/>
    <mergeCell ref="I3:I5"/>
    <mergeCell ref="H6:H8"/>
    <mergeCell ref="I6:I8"/>
    <mergeCell ref="I58:I60"/>
    <mergeCell ref="H9:H11"/>
    <mergeCell ref="I9:I11"/>
    <mergeCell ref="I67:I69"/>
    <mergeCell ref="A61:A63"/>
    <mergeCell ref="H61:H63"/>
    <mergeCell ref="I61:I63"/>
    <mergeCell ref="H49:H51"/>
    <mergeCell ref="I49:I51"/>
    <mergeCell ref="A22:A24"/>
    <mergeCell ref="H22:H24"/>
    <mergeCell ref="I22:I24"/>
    <mergeCell ref="A25:A27"/>
    <mergeCell ref="H25:H27"/>
    <mergeCell ref="I25:I27"/>
    <mergeCell ref="A58:A60"/>
    <mergeCell ref="A13:A15"/>
    <mergeCell ref="H13:H15"/>
    <mergeCell ref="I13:I15"/>
    <mergeCell ref="A52:A54"/>
    <mergeCell ref="H52:H54"/>
    <mergeCell ref="I52:I54"/>
    <mergeCell ref="H55:H57"/>
    <mergeCell ref="I55:I57"/>
    <mergeCell ref="H35:H48"/>
    <mergeCell ref="I35:I48"/>
    <mergeCell ref="A16:A18"/>
    <mergeCell ref="H16:H18"/>
    <mergeCell ref="I16:I18"/>
    <mergeCell ref="A19:A21"/>
    <mergeCell ref="H19:H21"/>
    <mergeCell ref="I19:I21"/>
    <mergeCell ref="A29:A31"/>
    <mergeCell ref="A32:A34"/>
    <mergeCell ref="H32:H34"/>
    <mergeCell ref="I32:I34"/>
    <mergeCell ref="H28:H31"/>
    <mergeCell ref="I28:I31"/>
    <mergeCell ref="A72:A74"/>
    <mergeCell ref="A84:A86"/>
    <mergeCell ref="A87:A89"/>
    <mergeCell ref="A105:A107"/>
    <mergeCell ref="H58:H60"/>
    <mergeCell ref="A81:A83"/>
    <mergeCell ref="A64:A66"/>
    <mergeCell ref="H64:H66"/>
    <mergeCell ref="I64:I66"/>
    <mergeCell ref="A67:A69"/>
    <mergeCell ref="H67:H69"/>
    <mergeCell ref="H70:H1300"/>
    <mergeCell ref="I70:I1300"/>
    <mergeCell ref="A1262:A1264"/>
    <mergeCell ref="A1265:A1267"/>
    <mergeCell ref="A1256:A1258"/>
    <mergeCell ref="A1259:A1261"/>
    <mergeCell ref="A1133:A1135"/>
    <mergeCell ref="A1136:A1138"/>
    <mergeCell ref="A108:A110"/>
    <mergeCell ref="A97:A99"/>
    <mergeCell ref="A102:A104"/>
    <mergeCell ref="A117:A119"/>
    <mergeCell ref="A120:A122"/>
    <mergeCell ref="A111:A113"/>
    <mergeCell ref="A114:A116"/>
    <mergeCell ref="A144:A146"/>
    <mergeCell ref="A134:A136"/>
    <mergeCell ref="A137:A139"/>
    <mergeCell ref="A123:A125"/>
    <mergeCell ref="A131:A133"/>
    <mergeCell ref="A171:A173"/>
    <mergeCell ref="A165:A167"/>
    <mergeCell ref="A168:A170"/>
    <mergeCell ref="A198:A200"/>
    <mergeCell ref="A159:A161"/>
    <mergeCell ref="A153:A155"/>
    <mergeCell ref="A156:A158"/>
    <mergeCell ref="A147:A149"/>
    <mergeCell ref="A150:A152"/>
    <mergeCell ref="A248:A250"/>
    <mergeCell ref="A235:A237"/>
    <mergeCell ref="A239:A241"/>
    <mergeCell ref="A229:A231"/>
    <mergeCell ref="A232:A234"/>
    <mergeCell ref="A223:A225"/>
    <mergeCell ref="A226:A228"/>
    <mergeCell ref="A202:A204"/>
    <mergeCell ref="A217:A219"/>
    <mergeCell ref="A220:A222"/>
    <mergeCell ref="A214:A216"/>
    <mergeCell ref="A205:A207"/>
    <mergeCell ref="A208:A210"/>
    <mergeCell ref="A287:A289"/>
    <mergeCell ref="A290:A292"/>
    <mergeCell ref="A275:A277"/>
    <mergeCell ref="A269:A271"/>
    <mergeCell ref="A272:A274"/>
    <mergeCell ref="A263:A265"/>
    <mergeCell ref="A266:A268"/>
    <mergeCell ref="A293:A295"/>
    <mergeCell ref="A251:A253"/>
    <mergeCell ref="A254:A256"/>
    <mergeCell ref="A318:A320"/>
    <mergeCell ref="A321:A323"/>
    <mergeCell ref="A312:A314"/>
    <mergeCell ref="A315:A317"/>
    <mergeCell ref="A305:A307"/>
    <mergeCell ref="A308:A310"/>
    <mergeCell ref="A299:A301"/>
    <mergeCell ref="A302:A304"/>
    <mergeCell ref="A296:A298"/>
    <mergeCell ref="A362:A364"/>
    <mergeCell ref="A353:A355"/>
    <mergeCell ref="A356:A358"/>
    <mergeCell ref="A347:A349"/>
    <mergeCell ref="A350:A352"/>
    <mergeCell ref="A338:A340"/>
    <mergeCell ref="A341:A343"/>
    <mergeCell ref="A331:A333"/>
    <mergeCell ref="A324:A326"/>
    <mergeCell ref="A327:A329"/>
    <mergeCell ref="A407:A409"/>
    <mergeCell ref="A401:A403"/>
    <mergeCell ref="A404:A406"/>
    <mergeCell ref="A392:A394"/>
    <mergeCell ref="A395:A397"/>
    <mergeCell ref="A384:A386"/>
    <mergeCell ref="A375:A377"/>
    <mergeCell ref="A366:A368"/>
    <mergeCell ref="A369:A371"/>
    <mergeCell ref="A450:A452"/>
    <mergeCell ref="A453:A455"/>
    <mergeCell ref="A444:A446"/>
    <mergeCell ref="A438:A440"/>
    <mergeCell ref="A441:A443"/>
    <mergeCell ref="A431:A433"/>
    <mergeCell ref="A462:A464"/>
    <mergeCell ref="A428:A430"/>
    <mergeCell ref="A419:A421"/>
    <mergeCell ref="A422:A424"/>
    <mergeCell ref="A477:A479"/>
    <mergeCell ref="A468:A470"/>
    <mergeCell ref="A471:A473"/>
    <mergeCell ref="A498:A500"/>
    <mergeCell ref="A492:A494"/>
    <mergeCell ref="A495:A497"/>
    <mergeCell ref="A489:A491"/>
    <mergeCell ref="A465:A467"/>
    <mergeCell ref="A456:A458"/>
    <mergeCell ref="A459:A461"/>
    <mergeCell ref="A574:A576"/>
    <mergeCell ref="A561:A563"/>
    <mergeCell ref="A542:A544"/>
    <mergeCell ref="A529:A531"/>
    <mergeCell ref="A523:A525"/>
    <mergeCell ref="A526:A528"/>
    <mergeCell ref="A505:A507"/>
    <mergeCell ref="A508:A510"/>
    <mergeCell ref="A483:A485"/>
    <mergeCell ref="A513:A515"/>
    <mergeCell ref="A611:A613"/>
    <mergeCell ref="A605:A607"/>
    <mergeCell ref="A608:A610"/>
    <mergeCell ref="A599:A601"/>
    <mergeCell ref="A602:A604"/>
    <mergeCell ref="A593:A595"/>
    <mergeCell ref="A596:A598"/>
    <mergeCell ref="A590:A592"/>
    <mergeCell ref="A577:A579"/>
    <mergeCell ref="A580:A582"/>
    <mergeCell ref="A641:A643"/>
    <mergeCell ref="A644:A646"/>
    <mergeCell ref="A635:A637"/>
    <mergeCell ref="A638:A640"/>
    <mergeCell ref="A629:A631"/>
    <mergeCell ref="A632:A634"/>
    <mergeCell ref="A623:A625"/>
    <mergeCell ref="A626:A628"/>
    <mergeCell ref="A617:A619"/>
    <mergeCell ref="A620:A622"/>
    <mergeCell ref="A677:A679"/>
    <mergeCell ref="A680:A682"/>
    <mergeCell ref="A671:A673"/>
    <mergeCell ref="A674:A676"/>
    <mergeCell ref="A665:A667"/>
    <mergeCell ref="A659:A661"/>
    <mergeCell ref="A662:A664"/>
    <mergeCell ref="A647:A649"/>
    <mergeCell ref="A650:A652"/>
    <mergeCell ref="A707:A709"/>
    <mergeCell ref="A710:A712"/>
    <mergeCell ref="A701:A703"/>
    <mergeCell ref="A704:A706"/>
    <mergeCell ref="A695:A697"/>
    <mergeCell ref="A698:A700"/>
    <mergeCell ref="A689:A691"/>
    <mergeCell ref="A692:A694"/>
    <mergeCell ref="A683:A685"/>
    <mergeCell ref="A686:A688"/>
    <mergeCell ref="A737:A739"/>
    <mergeCell ref="A731:A733"/>
    <mergeCell ref="A734:A736"/>
    <mergeCell ref="A725:A727"/>
    <mergeCell ref="A755:A757"/>
    <mergeCell ref="A719:A721"/>
    <mergeCell ref="A722:A724"/>
    <mergeCell ref="A713:A715"/>
    <mergeCell ref="A716:A718"/>
    <mergeCell ref="A761:A763"/>
    <mergeCell ref="A764:A766"/>
    <mergeCell ref="A791:A793"/>
    <mergeCell ref="A782:A784"/>
    <mergeCell ref="A758:A760"/>
    <mergeCell ref="A749:A751"/>
    <mergeCell ref="A752:A754"/>
    <mergeCell ref="A743:A745"/>
    <mergeCell ref="A746:A748"/>
    <mergeCell ref="A773:A775"/>
    <mergeCell ref="A794:A796"/>
    <mergeCell ref="A785:A787"/>
    <mergeCell ref="A788:A790"/>
    <mergeCell ref="A812:A814"/>
    <mergeCell ref="A803:A805"/>
    <mergeCell ref="A806:A808"/>
    <mergeCell ref="A797:A799"/>
    <mergeCell ref="A800:A802"/>
    <mergeCell ref="A767:A769"/>
    <mergeCell ref="A770:A772"/>
    <mergeCell ref="A815:A817"/>
    <mergeCell ref="A818:A820"/>
    <mergeCell ref="A826:A828"/>
    <mergeCell ref="A829:A831"/>
    <mergeCell ref="A832:A834"/>
    <mergeCell ref="A835:A837"/>
    <mergeCell ref="A838:A840"/>
    <mergeCell ref="A841:A843"/>
    <mergeCell ref="A847:A849"/>
    <mergeCell ref="A906:A908"/>
    <mergeCell ref="A938:A940"/>
    <mergeCell ref="A941:A943"/>
    <mergeCell ref="A944:A946"/>
    <mergeCell ref="A947:A949"/>
    <mergeCell ref="A953:A955"/>
    <mergeCell ref="A993:A995"/>
    <mergeCell ref="A996:A998"/>
    <mergeCell ref="A932:A934"/>
    <mergeCell ref="A935:A937"/>
    <mergeCell ref="A966:A968"/>
    <mergeCell ref="A969:A971"/>
    <mergeCell ref="A972:A974"/>
    <mergeCell ref="A975:A977"/>
    <mergeCell ref="A978:A980"/>
    <mergeCell ref="A984:A986"/>
    <mergeCell ref="A990:A992"/>
    <mergeCell ref="A910:A912"/>
    <mergeCell ref="A913:A915"/>
    <mergeCell ref="A923:A925"/>
    <mergeCell ref="A926:A928"/>
    <mergeCell ref="A929:A931"/>
    <mergeCell ref="A1169:A1171"/>
    <mergeCell ref="A1160:A1162"/>
    <mergeCell ref="A1163:A1165"/>
    <mergeCell ref="A1106:A1108"/>
    <mergeCell ref="A1109:A1111"/>
    <mergeCell ref="A1113:A1115"/>
    <mergeCell ref="A1119:A1121"/>
    <mergeCell ref="A1122:A1124"/>
    <mergeCell ref="A1125:A1127"/>
    <mergeCell ref="A1154:A1156"/>
    <mergeCell ref="A1166:A1168"/>
    <mergeCell ref="A1148:A1150"/>
    <mergeCell ref="A1116:A1118"/>
    <mergeCell ref="A1139:A1141"/>
    <mergeCell ref="A1172:A1174"/>
    <mergeCell ref="A1178:A1180"/>
    <mergeCell ref="A1181:A1183"/>
    <mergeCell ref="A1184:A1186"/>
    <mergeCell ref="A1187:A1189"/>
    <mergeCell ref="A1195:A1197"/>
    <mergeCell ref="A1198:A1200"/>
    <mergeCell ref="A1201:A1203"/>
    <mergeCell ref="A1204:A1206"/>
    <mergeCell ref="A1207:A1209"/>
    <mergeCell ref="A1211:A1213"/>
    <mergeCell ref="A1214:A1216"/>
    <mergeCell ref="A1217:A1219"/>
    <mergeCell ref="A1223:A1225"/>
    <mergeCell ref="A1226:A1228"/>
    <mergeCell ref="A1229:A1231"/>
    <mergeCell ref="A1232:A1234"/>
    <mergeCell ref="A1277:A1278"/>
    <mergeCell ref="A1268:A1270"/>
    <mergeCell ref="A1271:A1273"/>
    <mergeCell ref="A1274:A1276"/>
    <mergeCell ref="A1235:A1237"/>
    <mergeCell ref="A1245:A1247"/>
  </mergeCells>
  <conditionalFormatting sqref="C1133:G1142 C1148:G1210 C42:C48 C49:J71 J42:J48 J72:J1278 C72:G1128 C29:G31 J29:J31 C3:J28 C1214:G1278 C32:J41">
    <cfRule type="expression" dxfId="1" priority="3">
      <formula>ROW()=CELL("fila")</formula>
    </cfRule>
  </conditionalFormatting>
  <conditionalFormatting sqref="C1129:G1132 C1143:G1147 C1211:G1213 D42:G48">
    <cfRule type="expression" dxfId="0" priority="1">
      <formula>ROW()=CELL("fila")</formula>
    </cfRule>
  </conditionalFormatting>
  <pageMargins left="0.7" right="0.7" top="0.75" bottom="0.75" header="0.3" footer="0.3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8"/>
  </sheetPr>
  <dimension ref="A1:AP419"/>
  <sheetViews>
    <sheetView zoomScale="130" zoomScaleNormal="13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AI407" sqref="AI407"/>
    </sheetView>
  </sheetViews>
  <sheetFormatPr baseColWidth="10" defaultRowHeight="14.4" x14ac:dyDescent="0.3"/>
  <cols>
    <col min="1" max="1" width="10.5546875" customWidth="1"/>
    <col min="2" max="2" width="32.88671875" customWidth="1"/>
    <col min="3" max="7" width="6.5546875" style="97" customWidth="1"/>
    <col min="8" max="11" width="6.5546875" style="84" customWidth="1"/>
    <col min="12" max="19" width="7.5546875" style="84" customWidth="1"/>
    <col min="20" max="20" width="9.6640625" style="84" customWidth="1"/>
    <col min="21" max="21" width="7.5546875" style="84" customWidth="1"/>
    <col min="22" max="26" width="14.88671875" style="84" customWidth="1"/>
    <col min="27" max="28" width="7.5546875" style="84" customWidth="1"/>
    <col min="29" max="31" width="7.5546875" style="84" hidden="1" customWidth="1"/>
    <col min="32" max="33" width="7.5546875" style="84" customWidth="1"/>
    <col min="35" max="35" width="20.6640625" customWidth="1"/>
    <col min="36" max="36" width="18.88671875" customWidth="1"/>
    <col min="37" max="37" width="14.109375" customWidth="1"/>
    <col min="38" max="38" width="26.88671875" customWidth="1"/>
    <col min="39" max="39" width="28.5546875" customWidth="1"/>
    <col min="257" max="257" width="10.5546875" customWidth="1"/>
    <col min="258" max="258" width="37" bestFit="1" customWidth="1"/>
    <col min="259" max="272" width="11.44140625" customWidth="1"/>
    <col min="278" max="289" width="11.44140625" customWidth="1"/>
    <col min="291" max="291" width="20.6640625" customWidth="1"/>
    <col min="292" max="292" width="18.88671875" customWidth="1"/>
    <col min="293" max="293" width="14.109375" customWidth="1"/>
    <col min="294" max="294" width="26.88671875" customWidth="1"/>
    <col min="295" max="295" width="28.5546875" customWidth="1"/>
    <col min="513" max="513" width="10.5546875" customWidth="1"/>
    <col min="514" max="514" width="37" bestFit="1" customWidth="1"/>
    <col min="515" max="528" width="11.44140625" customWidth="1"/>
    <col min="534" max="545" width="11.44140625" customWidth="1"/>
    <col min="547" max="547" width="20.6640625" customWidth="1"/>
    <col min="548" max="548" width="18.88671875" customWidth="1"/>
    <col min="549" max="549" width="14.109375" customWidth="1"/>
    <col min="550" max="550" width="26.88671875" customWidth="1"/>
    <col min="551" max="551" width="28.5546875" customWidth="1"/>
    <col min="769" max="769" width="10.5546875" customWidth="1"/>
    <col min="770" max="770" width="37" bestFit="1" customWidth="1"/>
    <col min="771" max="784" width="11.44140625" customWidth="1"/>
    <col min="790" max="801" width="11.44140625" customWidth="1"/>
    <col min="803" max="803" width="20.6640625" customWidth="1"/>
    <col min="804" max="804" width="18.88671875" customWidth="1"/>
    <col min="805" max="805" width="14.109375" customWidth="1"/>
    <col min="806" max="806" width="26.88671875" customWidth="1"/>
    <col min="807" max="807" width="28.5546875" customWidth="1"/>
    <col min="1025" max="1025" width="10.5546875" customWidth="1"/>
    <col min="1026" max="1026" width="37" bestFit="1" customWidth="1"/>
    <col min="1027" max="1040" width="11.44140625" customWidth="1"/>
    <col min="1046" max="1057" width="11.44140625" customWidth="1"/>
    <col min="1059" max="1059" width="20.6640625" customWidth="1"/>
    <col min="1060" max="1060" width="18.88671875" customWidth="1"/>
    <col min="1061" max="1061" width="14.109375" customWidth="1"/>
    <col min="1062" max="1062" width="26.88671875" customWidth="1"/>
    <col min="1063" max="1063" width="28.5546875" customWidth="1"/>
    <col min="1281" max="1281" width="10.5546875" customWidth="1"/>
    <col min="1282" max="1282" width="37" bestFit="1" customWidth="1"/>
    <col min="1283" max="1296" width="11.44140625" customWidth="1"/>
    <col min="1302" max="1313" width="11.44140625" customWidth="1"/>
    <col min="1315" max="1315" width="20.6640625" customWidth="1"/>
    <col min="1316" max="1316" width="18.88671875" customWidth="1"/>
    <col min="1317" max="1317" width="14.109375" customWidth="1"/>
    <col min="1318" max="1318" width="26.88671875" customWidth="1"/>
    <col min="1319" max="1319" width="28.5546875" customWidth="1"/>
    <col min="1537" max="1537" width="10.5546875" customWidth="1"/>
    <col min="1538" max="1538" width="37" bestFit="1" customWidth="1"/>
    <col min="1539" max="1552" width="11.44140625" customWidth="1"/>
    <col min="1558" max="1569" width="11.44140625" customWidth="1"/>
    <col min="1571" max="1571" width="20.6640625" customWidth="1"/>
    <col min="1572" max="1572" width="18.88671875" customWidth="1"/>
    <col min="1573" max="1573" width="14.109375" customWidth="1"/>
    <col min="1574" max="1574" width="26.88671875" customWidth="1"/>
    <col min="1575" max="1575" width="28.5546875" customWidth="1"/>
    <col min="1793" max="1793" width="10.5546875" customWidth="1"/>
    <col min="1794" max="1794" width="37" bestFit="1" customWidth="1"/>
    <col min="1795" max="1808" width="11.44140625" customWidth="1"/>
    <col min="1814" max="1825" width="11.44140625" customWidth="1"/>
    <col min="1827" max="1827" width="20.6640625" customWidth="1"/>
    <col min="1828" max="1828" width="18.88671875" customWidth="1"/>
    <col min="1829" max="1829" width="14.109375" customWidth="1"/>
    <col min="1830" max="1830" width="26.88671875" customWidth="1"/>
    <col min="1831" max="1831" width="28.5546875" customWidth="1"/>
    <col min="2049" max="2049" width="10.5546875" customWidth="1"/>
    <col min="2050" max="2050" width="37" bestFit="1" customWidth="1"/>
    <col min="2051" max="2064" width="11.44140625" customWidth="1"/>
    <col min="2070" max="2081" width="11.44140625" customWidth="1"/>
    <col min="2083" max="2083" width="20.6640625" customWidth="1"/>
    <col min="2084" max="2084" width="18.88671875" customWidth="1"/>
    <col min="2085" max="2085" width="14.109375" customWidth="1"/>
    <col min="2086" max="2086" width="26.88671875" customWidth="1"/>
    <col min="2087" max="2087" width="28.5546875" customWidth="1"/>
    <col min="2305" max="2305" width="10.5546875" customWidth="1"/>
    <col min="2306" max="2306" width="37" bestFit="1" customWidth="1"/>
    <col min="2307" max="2320" width="11.44140625" customWidth="1"/>
    <col min="2326" max="2337" width="11.44140625" customWidth="1"/>
    <col min="2339" max="2339" width="20.6640625" customWidth="1"/>
    <col min="2340" max="2340" width="18.88671875" customWidth="1"/>
    <col min="2341" max="2341" width="14.109375" customWidth="1"/>
    <col min="2342" max="2342" width="26.88671875" customWidth="1"/>
    <col min="2343" max="2343" width="28.5546875" customWidth="1"/>
    <col min="2561" max="2561" width="10.5546875" customWidth="1"/>
    <col min="2562" max="2562" width="37" bestFit="1" customWidth="1"/>
    <col min="2563" max="2576" width="11.44140625" customWidth="1"/>
    <col min="2582" max="2593" width="11.44140625" customWidth="1"/>
    <col min="2595" max="2595" width="20.6640625" customWidth="1"/>
    <col min="2596" max="2596" width="18.88671875" customWidth="1"/>
    <col min="2597" max="2597" width="14.109375" customWidth="1"/>
    <col min="2598" max="2598" width="26.88671875" customWidth="1"/>
    <col min="2599" max="2599" width="28.5546875" customWidth="1"/>
    <col min="2817" max="2817" width="10.5546875" customWidth="1"/>
    <col min="2818" max="2818" width="37" bestFit="1" customWidth="1"/>
    <col min="2819" max="2832" width="11.44140625" customWidth="1"/>
    <col min="2838" max="2849" width="11.44140625" customWidth="1"/>
    <col min="2851" max="2851" width="20.6640625" customWidth="1"/>
    <col min="2852" max="2852" width="18.88671875" customWidth="1"/>
    <col min="2853" max="2853" width="14.109375" customWidth="1"/>
    <col min="2854" max="2854" width="26.88671875" customWidth="1"/>
    <col min="2855" max="2855" width="28.5546875" customWidth="1"/>
    <col min="3073" max="3073" width="10.5546875" customWidth="1"/>
    <col min="3074" max="3074" width="37" bestFit="1" customWidth="1"/>
    <col min="3075" max="3088" width="11.44140625" customWidth="1"/>
    <col min="3094" max="3105" width="11.44140625" customWidth="1"/>
    <col min="3107" max="3107" width="20.6640625" customWidth="1"/>
    <col min="3108" max="3108" width="18.88671875" customWidth="1"/>
    <col min="3109" max="3109" width="14.109375" customWidth="1"/>
    <col min="3110" max="3110" width="26.88671875" customWidth="1"/>
    <col min="3111" max="3111" width="28.5546875" customWidth="1"/>
    <col min="3329" max="3329" width="10.5546875" customWidth="1"/>
    <col min="3330" max="3330" width="37" bestFit="1" customWidth="1"/>
    <col min="3331" max="3344" width="11.44140625" customWidth="1"/>
    <col min="3350" max="3361" width="11.44140625" customWidth="1"/>
    <col min="3363" max="3363" width="20.6640625" customWidth="1"/>
    <col min="3364" max="3364" width="18.88671875" customWidth="1"/>
    <col min="3365" max="3365" width="14.109375" customWidth="1"/>
    <col min="3366" max="3366" width="26.88671875" customWidth="1"/>
    <col min="3367" max="3367" width="28.5546875" customWidth="1"/>
    <col min="3585" max="3585" width="10.5546875" customWidth="1"/>
    <col min="3586" max="3586" width="37" bestFit="1" customWidth="1"/>
    <col min="3587" max="3600" width="11.44140625" customWidth="1"/>
    <col min="3606" max="3617" width="11.44140625" customWidth="1"/>
    <col min="3619" max="3619" width="20.6640625" customWidth="1"/>
    <col min="3620" max="3620" width="18.88671875" customWidth="1"/>
    <col min="3621" max="3621" width="14.109375" customWidth="1"/>
    <col min="3622" max="3622" width="26.88671875" customWidth="1"/>
    <col min="3623" max="3623" width="28.5546875" customWidth="1"/>
    <col min="3841" max="3841" width="10.5546875" customWidth="1"/>
    <col min="3842" max="3842" width="37" bestFit="1" customWidth="1"/>
    <col min="3843" max="3856" width="11.44140625" customWidth="1"/>
    <col min="3862" max="3873" width="11.44140625" customWidth="1"/>
    <col min="3875" max="3875" width="20.6640625" customWidth="1"/>
    <col min="3876" max="3876" width="18.88671875" customWidth="1"/>
    <col min="3877" max="3877" width="14.109375" customWidth="1"/>
    <col min="3878" max="3878" width="26.88671875" customWidth="1"/>
    <col min="3879" max="3879" width="28.5546875" customWidth="1"/>
    <col min="4097" max="4097" width="10.5546875" customWidth="1"/>
    <col min="4098" max="4098" width="37" bestFit="1" customWidth="1"/>
    <col min="4099" max="4112" width="11.44140625" customWidth="1"/>
    <col min="4118" max="4129" width="11.44140625" customWidth="1"/>
    <col min="4131" max="4131" width="20.6640625" customWidth="1"/>
    <col min="4132" max="4132" width="18.88671875" customWidth="1"/>
    <col min="4133" max="4133" width="14.109375" customWidth="1"/>
    <col min="4134" max="4134" width="26.88671875" customWidth="1"/>
    <col min="4135" max="4135" width="28.5546875" customWidth="1"/>
    <col min="4353" max="4353" width="10.5546875" customWidth="1"/>
    <col min="4354" max="4354" width="37" bestFit="1" customWidth="1"/>
    <col min="4355" max="4368" width="11.44140625" customWidth="1"/>
    <col min="4374" max="4385" width="11.44140625" customWidth="1"/>
    <col min="4387" max="4387" width="20.6640625" customWidth="1"/>
    <col min="4388" max="4388" width="18.88671875" customWidth="1"/>
    <col min="4389" max="4389" width="14.109375" customWidth="1"/>
    <col min="4390" max="4390" width="26.88671875" customWidth="1"/>
    <col min="4391" max="4391" width="28.5546875" customWidth="1"/>
    <col min="4609" max="4609" width="10.5546875" customWidth="1"/>
    <col min="4610" max="4610" width="37" bestFit="1" customWidth="1"/>
    <col min="4611" max="4624" width="11.44140625" customWidth="1"/>
    <col min="4630" max="4641" width="11.44140625" customWidth="1"/>
    <col min="4643" max="4643" width="20.6640625" customWidth="1"/>
    <col min="4644" max="4644" width="18.88671875" customWidth="1"/>
    <col min="4645" max="4645" width="14.109375" customWidth="1"/>
    <col min="4646" max="4646" width="26.88671875" customWidth="1"/>
    <col min="4647" max="4647" width="28.5546875" customWidth="1"/>
    <col min="4865" max="4865" width="10.5546875" customWidth="1"/>
    <col min="4866" max="4866" width="37" bestFit="1" customWidth="1"/>
    <col min="4867" max="4880" width="11.44140625" customWidth="1"/>
    <col min="4886" max="4897" width="11.44140625" customWidth="1"/>
    <col min="4899" max="4899" width="20.6640625" customWidth="1"/>
    <col min="4900" max="4900" width="18.88671875" customWidth="1"/>
    <col min="4901" max="4901" width="14.109375" customWidth="1"/>
    <col min="4902" max="4902" width="26.88671875" customWidth="1"/>
    <col min="4903" max="4903" width="28.5546875" customWidth="1"/>
    <col min="5121" max="5121" width="10.5546875" customWidth="1"/>
    <col min="5122" max="5122" width="37" bestFit="1" customWidth="1"/>
    <col min="5123" max="5136" width="11.44140625" customWidth="1"/>
    <col min="5142" max="5153" width="11.44140625" customWidth="1"/>
    <col min="5155" max="5155" width="20.6640625" customWidth="1"/>
    <col min="5156" max="5156" width="18.88671875" customWidth="1"/>
    <col min="5157" max="5157" width="14.109375" customWidth="1"/>
    <col min="5158" max="5158" width="26.88671875" customWidth="1"/>
    <col min="5159" max="5159" width="28.5546875" customWidth="1"/>
    <col min="5377" max="5377" width="10.5546875" customWidth="1"/>
    <col min="5378" max="5378" width="37" bestFit="1" customWidth="1"/>
    <col min="5379" max="5392" width="11.44140625" customWidth="1"/>
    <col min="5398" max="5409" width="11.44140625" customWidth="1"/>
    <col min="5411" max="5411" width="20.6640625" customWidth="1"/>
    <col min="5412" max="5412" width="18.88671875" customWidth="1"/>
    <col min="5413" max="5413" width="14.109375" customWidth="1"/>
    <col min="5414" max="5414" width="26.88671875" customWidth="1"/>
    <col min="5415" max="5415" width="28.5546875" customWidth="1"/>
    <col min="5633" max="5633" width="10.5546875" customWidth="1"/>
    <col min="5634" max="5634" width="37" bestFit="1" customWidth="1"/>
    <col min="5635" max="5648" width="11.44140625" customWidth="1"/>
    <col min="5654" max="5665" width="11.44140625" customWidth="1"/>
    <col min="5667" max="5667" width="20.6640625" customWidth="1"/>
    <col min="5668" max="5668" width="18.88671875" customWidth="1"/>
    <col min="5669" max="5669" width="14.109375" customWidth="1"/>
    <col min="5670" max="5670" width="26.88671875" customWidth="1"/>
    <col min="5671" max="5671" width="28.5546875" customWidth="1"/>
    <col min="5889" max="5889" width="10.5546875" customWidth="1"/>
    <col min="5890" max="5890" width="37" bestFit="1" customWidth="1"/>
    <col min="5891" max="5904" width="11.44140625" customWidth="1"/>
    <col min="5910" max="5921" width="11.44140625" customWidth="1"/>
    <col min="5923" max="5923" width="20.6640625" customWidth="1"/>
    <col min="5924" max="5924" width="18.88671875" customWidth="1"/>
    <col min="5925" max="5925" width="14.109375" customWidth="1"/>
    <col min="5926" max="5926" width="26.88671875" customWidth="1"/>
    <col min="5927" max="5927" width="28.5546875" customWidth="1"/>
    <col min="6145" max="6145" width="10.5546875" customWidth="1"/>
    <col min="6146" max="6146" width="37" bestFit="1" customWidth="1"/>
    <col min="6147" max="6160" width="11.44140625" customWidth="1"/>
    <col min="6166" max="6177" width="11.44140625" customWidth="1"/>
    <col min="6179" max="6179" width="20.6640625" customWidth="1"/>
    <col min="6180" max="6180" width="18.88671875" customWidth="1"/>
    <col min="6181" max="6181" width="14.109375" customWidth="1"/>
    <col min="6182" max="6182" width="26.88671875" customWidth="1"/>
    <col min="6183" max="6183" width="28.5546875" customWidth="1"/>
    <col min="6401" max="6401" width="10.5546875" customWidth="1"/>
    <col min="6402" max="6402" width="37" bestFit="1" customWidth="1"/>
    <col min="6403" max="6416" width="11.44140625" customWidth="1"/>
    <col min="6422" max="6433" width="11.44140625" customWidth="1"/>
    <col min="6435" max="6435" width="20.6640625" customWidth="1"/>
    <col min="6436" max="6436" width="18.88671875" customWidth="1"/>
    <col min="6437" max="6437" width="14.109375" customWidth="1"/>
    <col min="6438" max="6438" width="26.88671875" customWidth="1"/>
    <col min="6439" max="6439" width="28.5546875" customWidth="1"/>
    <col min="6657" max="6657" width="10.5546875" customWidth="1"/>
    <col min="6658" max="6658" width="37" bestFit="1" customWidth="1"/>
    <col min="6659" max="6672" width="11.44140625" customWidth="1"/>
    <col min="6678" max="6689" width="11.44140625" customWidth="1"/>
    <col min="6691" max="6691" width="20.6640625" customWidth="1"/>
    <col min="6692" max="6692" width="18.88671875" customWidth="1"/>
    <col min="6693" max="6693" width="14.109375" customWidth="1"/>
    <col min="6694" max="6694" width="26.88671875" customWidth="1"/>
    <col min="6695" max="6695" width="28.5546875" customWidth="1"/>
    <col min="6913" max="6913" width="10.5546875" customWidth="1"/>
    <col min="6914" max="6914" width="37" bestFit="1" customWidth="1"/>
    <col min="6915" max="6928" width="11.44140625" customWidth="1"/>
    <col min="6934" max="6945" width="11.44140625" customWidth="1"/>
    <col min="6947" max="6947" width="20.6640625" customWidth="1"/>
    <col min="6948" max="6948" width="18.88671875" customWidth="1"/>
    <col min="6949" max="6949" width="14.109375" customWidth="1"/>
    <col min="6950" max="6950" width="26.88671875" customWidth="1"/>
    <col min="6951" max="6951" width="28.5546875" customWidth="1"/>
    <col min="7169" max="7169" width="10.5546875" customWidth="1"/>
    <col min="7170" max="7170" width="37" bestFit="1" customWidth="1"/>
    <col min="7171" max="7184" width="11.44140625" customWidth="1"/>
    <col min="7190" max="7201" width="11.44140625" customWidth="1"/>
    <col min="7203" max="7203" width="20.6640625" customWidth="1"/>
    <col min="7204" max="7204" width="18.88671875" customWidth="1"/>
    <col min="7205" max="7205" width="14.109375" customWidth="1"/>
    <col min="7206" max="7206" width="26.88671875" customWidth="1"/>
    <col min="7207" max="7207" width="28.5546875" customWidth="1"/>
    <col min="7425" max="7425" width="10.5546875" customWidth="1"/>
    <col min="7426" max="7426" width="37" bestFit="1" customWidth="1"/>
    <col min="7427" max="7440" width="11.44140625" customWidth="1"/>
    <col min="7446" max="7457" width="11.44140625" customWidth="1"/>
    <col min="7459" max="7459" width="20.6640625" customWidth="1"/>
    <col min="7460" max="7460" width="18.88671875" customWidth="1"/>
    <col min="7461" max="7461" width="14.109375" customWidth="1"/>
    <col min="7462" max="7462" width="26.88671875" customWidth="1"/>
    <col min="7463" max="7463" width="28.5546875" customWidth="1"/>
    <col min="7681" max="7681" width="10.5546875" customWidth="1"/>
    <col min="7682" max="7682" width="37" bestFit="1" customWidth="1"/>
    <col min="7683" max="7696" width="11.44140625" customWidth="1"/>
    <col min="7702" max="7713" width="11.44140625" customWidth="1"/>
    <col min="7715" max="7715" width="20.6640625" customWidth="1"/>
    <col min="7716" max="7716" width="18.88671875" customWidth="1"/>
    <col min="7717" max="7717" width="14.109375" customWidth="1"/>
    <col min="7718" max="7718" width="26.88671875" customWidth="1"/>
    <col min="7719" max="7719" width="28.5546875" customWidth="1"/>
    <col min="7937" max="7937" width="10.5546875" customWidth="1"/>
    <col min="7938" max="7938" width="37" bestFit="1" customWidth="1"/>
    <col min="7939" max="7952" width="11.44140625" customWidth="1"/>
    <col min="7958" max="7969" width="11.44140625" customWidth="1"/>
    <col min="7971" max="7971" width="20.6640625" customWidth="1"/>
    <col min="7972" max="7972" width="18.88671875" customWidth="1"/>
    <col min="7973" max="7973" width="14.109375" customWidth="1"/>
    <col min="7974" max="7974" width="26.88671875" customWidth="1"/>
    <col min="7975" max="7975" width="28.5546875" customWidth="1"/>
    <col min="8193" max="8193" width="10.5546875" customWidth="1"/>
    <col min="8194" max="8194" width="37" bestFit="1" customWidth="1"/>
    <col min="8195" max="8208" width="11.44140625" customWidth="1"/>
    <col min="8214" max="8225" width="11.44140625" customWidth="1"/>
    <col min="8227" max="8227" width="20.6640625" customWidth="1"/>
    <col min="8228" max="8228" width="18.88671875" customWidth="1"/>
    <col min="8229" max="8229" width="14.109375" customWidth="1"/>
    <col min="8230" max="8230" width="26.88671875" customWidth="1"/>
    <col min="8231" max="8231" width="28.5546875" customWidth="1"/>
    <col min="8449" max="8449" width="10.5546875" customWidth="1"/>
    <col min="8450" max="8450" width="37" bestFit="1" customWidth="1"/>
    <col min="8451" max="8464" width="11.44140625" customWidth="1"/>
    <col min="8470" max="8481" width="11.44140625" customWidth="1"/>
    <col min="8483" max="8483" width="20.6640625" customWidth="1"/>
    <col min="8484" max="8484" width="18.88671875" customWidth="1"/>
    <col min="8485" max="8485" width="14.109375" customWidth="1"/>
    <col min="8486" max="8486" width="26.88671875" customWidth="1"/>
    <col min="8487" max="8487" width="28.5546875" customWidth="1"/>
    <col min="8705" max="8705" width="10.5546875" customWidth="1"/>
    <col min="8706" max="8706" width="37" bestFit="1" customWidth="1"/>
    <col min="8707" max="8720" width="11.44140625" customWidth="1"/>
    <col min="8726" max="8737" width="11.44140625" customWidth="1"/>
    <col min="8739" max="8739" width="20.6640625" customWidth="1"/>
    <col min="8740" max="8740" width="18.88671875" customWidth="1"/>
    <col min="8741" max="8741" width="14.109375" customWidth="1"/>
    <col min="8742" max="8742" width="26.88671875" customWidth="1"/>
    <col min="8743" max="8743" width="28.5546875" customWidth="1"/>
    <col min="8961" max="8961" width="10.5546875" customWidth="1"/>
    <col min="8962" max="8962" width="37" bestFit="1" customWidth="1"/>
    <col min="8963" max="8976" width="11.44140625" customWidth="1"/>
    <col min="8982" max="8993" width="11.44140625" customWidth="1"/>
    <col min="8995" max="8995" width="20.6640625" customWidth="1"/>
    <col min="8996" max="8996" width="18.88671875" customWidth="1"/>
    <col min="8997" max="8997" width="14.109375" customWidth="1"/>
    <col min="8998" max="8998" width="26.88671875" customWidth="1"/>
    <col min="8999" max="8999" width="28.5546875" customWidth="1"/>
    <col min="9217" max="9217" width="10.5546875" customWidth="1"/>
    <col min="9218" max="9218" width="37" bestFit="1" customWidth="1"/>
    <col min="9219" max="9232" width="11.44140625" customWidth="1"/>
    <col min="9238" max="9249" width="11.44140625" customWidth="1"/>
    <col min="9251" max="9251" width="20.6640625" customWidth="1"/>
    <col min="9252" max="9252" width="18.88671875" customWidth="1"/>
    <col min="9253" max="9253" width="14.109375" customWidth="1"/>
    <col min="9254" max="9254" width="26.88671875" customWidth="1"/>
    <col min="9255" max="9255" width="28.5546875" customWidth="1"/>
    <col min="9473" max="9473" width="10.5546875" customWidth="1"/>
    <col min="9474" max="9474" width="37" bestFit="1" customWidth="1"/>
    <col min="9475" max="9488" width="11.44140625" customWidth="1"/>
    <col min="9494" max="9505" width="11.44140625" customWidth="1"/>
    <col min="9507" max="9507" width="20.6640625" customWidth="1"/>
    <col min="9508" max="9508" width="18.88671875" customWidth="1"/>
    <col min="9509" max="9509" width="14.109375" customWidth="1"/>
    <col min="9510" max="9510" width="26.88671875" customWidth="1"/>
    <col min="9511" max="9511" width="28.5546875" customWidth="1"/>
    <col min="9729" max="9729" width="10.5546875" customWidth="1"/>
    <col min="9730" max="9730" width="37" bestFit="1" customWidth="1"/>
    <col min="9731" max="9744" width="11.44140625" customWidth="1"/>
    <col min="9750" max="9761" width="11.44140625" customWidth="1"/>
    <col min="9763" max="9763" width="20.6640625" customWidth="1"/>
    <col min="9764" max="9764" width="18.88671875" customWidth="1"/>
    <col min="9765" max="9765" width="14.109375" customWidth="1"/>
    <col min="9766" max="9766" width="26.88671875" customWidth="1"/>
    <col min="9767" max="9767" width="28.5546875" customWidth="1"/>
    <col min="9985" max="9985" width="10.5546875" customWidth="1"/>
    <col min="9986" max="9986" width="37" bestFit="1" customWidth="1"/>
    <col min="9987" max="10000" width="11.44140625" customWidth="1"/>
    <col min="10006" max="10017" width="11.44140625" customWidth="1"/>
    <col min="10019" max="10019" width="20.6640625" customWidth="1"/>
    <col min="10020" max="10020" width="18.88671875" customWidth="1"/>
    <col min="10021" max="10021" width="14.109375" customWidth="1"/>
    <col min="10022" max="10022" width="26.88671875" customWidth="1"/>
    <col min="10023" max="10023" width="28.5546875" customWidth="1"/>
    <col min="10241" max="10241" width="10.5546875" customWidth="1"/>
    <col min="10242" max="10242" width="37" bestFit="1" customWidth="1"/>
    <col min="10243" max="10256" width="11.44140625" customWidth="1"/>
    <col min="10262" max="10273" width="11.44140625" customWidth="1"/>
    <col min="10275" max="10275" width="20.6640625" customWidth="1"/>
    <col min="10276" max="10276" width="18.88671875" customWidth="1"/>
    <col min="10277" max="10277" width="14.109375" customWidth="1"/>
    <col min="10278" max="10278" width="26.88671875" customWidth="1"/>
    <col min="10279" max="10279" width="28.5546875" customWidth="1"/>
    <col min="10497" max="10497" width="10.5546875" customWidth="1"/>
    <col min="10498" max="10498" width="37" bestFit="1" customWidth="1"/>
    <col min="10499" max="10512" width="11.44140625" customWidth="1"/>
    <col min="10518" max="10529" width="11.44140625" customWidth="1"/>
    <col min="10531" max="10531" width="20.6640625" customWidth="1"/>
    <col min="10532" max="10532" width="18.88671875" customWidth="1"/>
    <col min="10533" max="10533" width="14.109375" customWidth="1"/>
    <col min="10534" max="10534" width="26.88671875" customWidth="1"/>
    <col min="10535" max="10535" width="28.5546875" customWidth="1"/>
    <col min="10753" max="10753" width="10.5546875" customWidth="1"/>
    <col min="10754" max="10754" width="37" bestFit="1" customWidth="1"/>
    <col min="10755" max="10768" width="11.44140625" customWidth="1"/>
    <col min="10774" max="10785" width="11.44140625" customWidth="1"/>
    <col min="10787" max="10787" width="20.6640625" customWidth="1"/>
    <col min="10788" max="10788" width="18.88671875" customWidth="1"/>
    <col min="10789" max="10789" width="14.109375" customWidth="1"/>
    <col min="10790" max="10790" width="26.88671875" customWidth="1"/>
    <col min="10791" max="10791" width="28.5546875" customWidth="1"/>
    <col min="11009" max="11009" width="10.5546875" customWidth="1"/>
    <col min="11010" max="11010" width="37" bestFit="1" customWidth="1"/>
    <col min="11011" max="11024" width="11.44140625" customWidth="1"/>
    <col min="11030" max="11041" width="11.44140625" customWidth="1"/>
    <col min="11043" max="11043" width="20.6640625" customWidth="1"/>
    <col min="11044" max="11044" width="18.88671875" customWidth="1"/>
    <col min="11045" max="11045" width="14.109375" customWidth="1"/>
    <col min="11046" max="11046" width="26.88671875" customWidth="1"/>
    <col min="11047" max="11047" width="28.5546875" customWidth="1"/>
    <col min="11265" max="11265" width="10.5546875" customWidth="1"/>
    <col min="11266" max="11266" width="37" bestFit="1" customWidth="1"/>
    <col min="11267" max="11280" width="11.44140625" customWidth="1"/>
    <col min="11286" max="11297" width="11.44140625" customWidth="1"/>
    <col min="11299" max="11299" width="20.6640625" customWidth="1"/>
    <col min="11300" max="11300" width="18.88671875" customWidth="1"/>
    <col min="11301" max="11301" width="14.109375" customWidth="1"/>
    <col min="11302" max="11302" width="26.88671875" customWidth="1"/>
    <col min="11303" max="11303" width="28.5546875" customWidth="1"/>
    <col min="11521" max="11521" width="10.5546875" customWidth="1"/>
    <col min="11522" max="11522" width="37" bestFit="1" customWidth="1"/>
    <col min="11523" max="11536" width="11.44140625" customWidth="1"/>
    <col min="11542" max="11553" width="11.44140625" customWidth="1"/>
    <col min="11555" max="11555" width="20.6640625" customWidth="1"/>
    <col min="11556" max="11556" width="18.88671875" customWidth="1"/>
    <col min="11557" max="11557" width="14.109375" customWidth="1"/>
    <col min="11558" max="11558" width="26.88671875" customWidth="1"/>
    <col min="11559" max="11559" width="28.5546875" customWidth="1"/>
    <col min="11777" max="11777" width="10.5546875" customWidth="1"/>
    <col min="11778" max="11778" width="37" bestFit="1" customWidth="1"/>
    <col min="11779" max="11792" width="11.44140625" customWidth="1"/>
    <col min="11798" max="11809" width="11.44140625" customWidth="1"/>
    <col min="11811" max="11811" width="20.6640625" customWidth="1"/>
    <col min="11812" max="11812" width="18.88671875" customWidth="1"/>
    <col min="11813" max="11813" width="14.109375" customWidth="1"/>
    <col min="11814" max="11814" width="26.88671875" customWidth="1"/>
    <col min="11815" max="11815" width="28.5546875" customWidth="1"/>
    <col min="12033" max="12033" width="10.5546875" customWidth="1"/>
    <col min="12034" max="12034" width="37" bestFit="1" customWidth="1"/>
    <col min="12035" max="12048" width="11.44140625" customWidth="1"/>
    <col min="12054" max="12065" width="11.44140625" customWidth="1"/>
    <col min="12067" max="12067" width="20.6640625" customWidth="1"/>
    <col min="12068" max="12068" width="18.88671875" customWidth="1"/>
    <col min="12069" max="12069" width="14.109375" customWidth="1"/>
    <col min="12070" max="12070" width="26.88671875" customWidth="1"/>
    <col min="12071" max="12071" width="28.5546875" customWidth="1"/>
    <col min="12289" max="12289" width="10.5546875" customWidth="1"/>
    <col min="12290" max="12290" width="37" bestFit="1" customWidth="1"/>
    <col min="12291" max="12304" width="11.44140625" customWidth="1"/>
    <col min="12310" max="12321" width="11.44140625" customWidth="1"/>
    <col min="12323" max="12323" width="20.6640625" customWidth="1"/>
    <col min="12324" max="12324" width="18.88671875" customWidth="1"/>
    <col min="12325" max="12325" width="14.109375" customWidth="1"/>
    <col min="12326" max="12326" width="26.88671875" customWidth="1"/>
    <col min="12327" max="12327" width="28.5546875" customWidth="1"/>
    <col min="12545" max="12545" width="10.5546875" customWidth="1"/>
    <col min="12546" max="12546" width="37" bestFit="1" customWidth="1"/>
    <col min="12547" max="12560" width="11.44140625" customWidth="1"/>
    <col min="12566" max="12577" width="11.44140625" customWidth="1"/>
    <col min="12579" max="12579" width="20.6640625" customWidth="1"/>
    <col min="12580" max="12580" width="18.88671875" customWidth="1"/>
    <col min="12581" max="12581" width="14.109375" customWidth="1"/>
    <col min="12582" max="12582" width="26.88671875" customWidth="1"/>
    <col min="12583" max="12583" width="28.5546875" customWidth="1"/>
    <col min="12801" max="12801" width="10.5546875" customWidth="1"/>
    <col min="12802" max="12802" width="37" bestFit="1" customWidth="1"/>
    <col min="12803" max="12816" width="11.44140625" customWidth="1"/>
    <col min="12822" max="12833" width="11.44140625" customWidth="1"/>
    <col min="12835" max="12835" width="20.6640625" customWidth="1"/>
    <col min="12836" max="12836" width="18.88671875" customWidth="1"/>
    <col min="12837" max="12837" width="14.109375" customWidth="1"/>
    <col min="12838" max="12838" width="26.88671875" customWidth="1"/>
    <col min="12839" max="12839" width="28.5546875" customWidth="1"/>
    <col min="13057" max="13057" width="10.5546875" customWidth="1"/>
    <col min="13058" max="13058" width="37" bestFit="1" customWidth="1"/>
    <col min="13059" max="13072" width="11.44140625" customWidth="1"/>
    <col min="13078" max="13089" width="11.44140625" customWidth="1"/>
    <col min="13091" max="13091" width="20.6640625" customWidth="1"/>
    <col min="13092" max="13092" width="18.88671875" customWidth="1"/>
    <col min="13093" max="13093" width="14.109375" customWidth="1"/>
    <col min="13094" max="13094" width="26.88671875" customWidth="1"/>
    <col min="13095" max="13095" width="28.5546875" customWidth="1"/>
    <col min="13313" max="13313" width="10.5546875" customWidth="1"/>
    <col min="13314" max="13314" width="37" bestFit="1" customWidth="1"/>
    <col min="13315" max="13328" width="11.44140625" customWidth="1"/>
    <col min="13334" max="13345" width="11.44140625" customWidth="1"/>
    <col min="13347" max="13347" width="20.6640625" customWidth="1"/>
    <col min="13348" max="13348" width="18.88671875" customWidth="1"/>
    <col min="13349" max="13349" width="14.109375" customWidth="1"/>
    <col min="13350" max="13350" width="26.88671875" customWidth="1"/>
    <col min="13351" max="13351" width="28.5546875" customWidth="1"/>
    <col min="13569" max="13569" width="10.5546875" customWidth="1"/>
    <col min="13570" max="13570" width="37" bestFit="1" customWidth="1"/>
    <col min="13571" max="13584" width="11.44140625" customWidth="1"/>
    <col min="13590" max="13601" width="11.44140625" customWidth="1"/>
    <col min="13603" max="13603" width="20.6640625" customWidth="1"/>
    <col min="13604" max="13604" width="18.88671875" customWidth="1"/>
    <col min="13605" max="13605" width="14.109375" customWidth="1"/>
    <col min="13606" max="13606" width="26.88671875" customWidth="1"/>
    <col min="13607" max="13607" width="28.5546875" customWidth="1"/>
    <col min="13825" max="13825" width="10.5546875" customWidth="1"/>
    <col min="13826" max="13826" width="37" bestFit="1" customWidth="1"/>
    <col min="13827" max="13840" width="11.44140625" customWidth="1"/>
    <col min="13846" max="13857" width="11.44140625" customWidth="1"/>
    <col min="13859" max="13859" width="20.6640625" customWidth="1"/>
    <col min="13860" max="13860" width="18.88671875" customWidth="1"/>
    <col min="13861" max="13861" width="14.109375" customWidth="1"/>
    <col min="13862" max="13862" width="26.88671875" customWidth="1"/>
    <col min="13863" max="13863" width="28.5546875" customWidth="1"/>
    <col min="14081" max="14081" width="10.5546875" customWidth="1"/>
    <col min="14082" max="14082" width="37" bestFit="1" customWidth="1"/>
    <col min="14083" max="14096" width="11.44140625" customWidth="1"/>
    <col min="14102" max="14113" width="11.44140625" customWidth="1"/>
    <col min="14115" max="14115" width="20.6640625" customWidth="1"/>
    <col min="14116" max="14116" width="18.88671875" customWidth="1"/>
    <col min="14117" max="14117" width="14.109375" customWidth="1"/>
    <col min="14118" max="14118" width="26.88671875" customWidth="1"/>
    <col min="14119" max="14119" width="28.5546875" customWidth="1"/>
    <col min="14337" max="14337" width="10.5546875" customWidth="1"/>
    <col min="14338" max="14338" width="37" bestFit="1" customWidth="1"/>
    <col min="14339" max="14352" width="11.44140625" customWidth="1"/>
    <col min="14358" max="14369" width="11.44140625" customWidth="1"/>
    <col min="14371" max="14371" width="20.6640625" customWidth="1"/>
    <col min="14372" max="14372" width="18.88671875" customWidth="1"/>
    <col min="14373" max="14373" width="14.109375" customWidth="1"/>
    <col min="14374" max="14374" width="26.88671875" customWidth="1"/>
    <col min="14375" max="14375" width="28.5546875" customWidth="1"/>
    <col min="14593" max="14593" width="10.5546875" customWidth="1"/>
    <col min="14594" max="14594" width="37" bestFit="1" customWidth="1"/>
    <col min="14595" max="14608" width="11.44140625" customWidth="1"/>
    <col min="14614" max="14625" width="11.44140625" customWidth="1"/>
    <col min="14627" max="14627" width="20.6640625" customWidth="1"/>
    <col min="14628" max="14628" width="18.88671875" customWidth="1"/>
    <col min="14629" max="14629" width="14.109375" customWidth="1"/>
    <col min="14630" max="14630" width="26.88671875" customWidth="1"/>
    <col min="14631" max="14631" width="28.5546875" customWidth="1"/>
    <col min="14849" max="14849" width="10.5546875" customWidth="1"/>
    <col min="14850" max="14850" width="37" bestFit="1" customWidth="1"/>
    <col min="14851" max="14864" width="11.44140625" customWidth="1"/>
    <col min="14870" max="14881" width="11.44140625" customWidth="1"/>
    <col min="14883" max="14883" width="20.6640625" customWidth="1"/>
    <col min="14884" max="14884" width="18.88671875" customWidth="1"/>
    <col min="14885" max="14885" width="14.109375" customWidth="1"/>
    <col min="14886" max="14886" width="26.88671875" customWidth="1"/>
    <col min="14887" max="14887" width="28.5546875" customWidth="1"/>
    <col min="15105" max="15105" width="10.5546875" customWidth="1"/>
    <col min="15106" max="15106" width="37" bestFit="1" customWidth="1"/>
    <col min="15107" max="15120" width="11.44140625" customWidth="1"/>
    <col min="15126" max="15137" width="11.44140625" customWidth="1"/>
    <col min="15139" max="15139" width="20.6640625" customWidth="1"/>
    <col min="15140" max="15140" width="18.88671875" customWidth="1"/>
    <col min="15141" max="15141" width="14.109375" customWidth="1"/>
    <col min="15142" max="15142" width="26.88671875" customWidth="1"/>
    <col min="15143" max="15143" width="28.5546875" customWidth="1"/>
    <col min="15361" max="15361" width="10.5546875" customWidth="1"/>
    <col min="15362" max="15362" width="37" bestFit="1" customWidth="1"/>
    <col min="15363" max="15376" width="11.44140625" customWidth="1"/>
    <col min="15382" max="15393" width="11.44140625" customWidth="1"/>
    <col min="15395" max="15395" width="20.6640625" customWidth="1"/>
    <col min="15396" max="15396" width="18.88671875" customWidth="1"/>
    <col min="15397" max="15397" width="14.109375" customWidth="1"/>
    <col min="15398" max="15398" width="26.88671875" customWidth="1"/>
    <col min="15399" max="15399" width="28.5546875" customWidth="1"/>
    <col min="15617" max="15617" width="10.5546875" customWidth="1"/>
    <col min="15618" max="15618" width="37" bestFit="1" customWidth="1"/>
    <col min="15619" max="15632" width="11.44140625" customWidth="1"/>
    <col min="15638" max="15649" width="11.44140625" customWidth="1"/>
    <col min="15651" max="15651" width="20.6640625" customWidth="1"/>
    <col min="15652" max="15652" width="18.88671875" customWidth="1"/>
    <col min="15653" max="15653" width="14.109375" customWidth="1"/>
    <col min="15654" max="15654" width="26.88671875" customWidth="1"/>
    <col min="15655" max="15655" width="28.5546875" customWidth="1"/>
    <col min="15873" max="15873" width="10.5546875" customWidth="1"/>
    <col min="15874" max="15874" width="37" bestFit="1" customWidth="1"/>
    <col min="15875" max="15888" width="11.44140625" customWidth="1"/>
    <col min="15894" max="15905" width="11.44140625" customWidth="1"/>
    <col min="15907" max="15907" width="20.6640625" customWidth="1"/>
    <col min="15908" max="15908" width="18.88671875" customWidth="1"/>
    <col min="15909" max="15909" width="14.109375" customWidth="1"/>
    <col min="15910" max="15910" width="26.88671875" customWidth="1"/>
    <col min="15911" max="15911" width="28.5546875" customWidth="1"/>
    <col min="16129" max="16129" width="10.5546875" customWidth="1"/>
    <col min="16130" max="16130" width="37" bestFit="1" customWidth="1"/>
    <col min="16131" max="16144" width="11.44140625" customWidth="1"/>
    <col min="16150" max="16161" width="11.44140625" customWidth="1"/>
    <col min="16163" max="16163" width="20.6640625" customWidth="1"/>
    <col min="16164" max="16164" width="18.88671875" customWidth="1"/>
    <col min="16165" max="16165" width="14.109375" customWidth="1"/>
    <col min="16166" max="16166" width="26.88671875" customWidth="1"/>
    <col min="16167" max="16167" width="28.5546875" customWidth="1"/>
  </cols>
  <sheetData>
    <row r="1" spans="1:34" ht="15" thickBot="1" x14ac:dyDescent="0.35">
      <c r="A1" s="52" t="s">
        <v>439</v>
      </c>
      <c r="B1" s="53" t="s">
        <v>10</v>
      </c>
      <c r="C1" s="54">
        <v>1</v>
      </c>
      <c r="D1" s="55">
        <v>2</v>
      </c>
      <c r="E1" s="56">
        <v>3</v>
      </c>
      <c r="F1" s="54">
        <v>4</v>
      </c>
      <c r="G1" s="56">
        <v>5</v>
      </c>
      <c r="H1" s="54">
        <v>6</v>
      </c>
      <c r="I1" s="54">
        <v>7</v>
      </c>
      <c r="J1" s="54">
        <v>8</v>
      </c>
      <c r="K1" s="56">
        <v>9</v>
      </c>
      <c r="L1" s="56">
        <v>10</v>
      </c>
      <c r="M1" s="54">
        <v>11</v>
      </c>
      <c r="N1" s="54">
        <v>12</v>
      </c>
      <c r="O1" s="54">
        <v>13</v>
      </c>
      <c r="P1" s="56">
        <v>14</v>
      </c>
      <c r="Q1" s="56">
        <v>15</v>
      </c>
      <c r="R1" s="54">
        <v>16</v>
      </c>
      <c r="S1" s="56">
        <v>17</v>
      </c>
      <c r="T1" s="56">
        <v>18</v>
      </c>
      <c r="U1" s="54">
        <v>19</v>
      </c>
      <c r="V1" s="56">
        <v>20</v>
      </c>
      <c r="W1" s="56">
        <v>21</v>
      </c>
      <c r="X1" s="56">
        <v>22</v>
      </c>
      <c r="Y1" s="56">
        <v>23</v>
      </c>
      <c r="Z1" s="54">
        <v>24</v>
      </c>
      <c r="AA1" s="56">
        <v>25</v>
      </c>
      <c r="AB1" s="57">
        <v>26</v>
      </c>
      <c r="AC1" s="57">
        <v>27</v>
      </c>
      <c r="AD1" s="57">
        <v>28</v>
      </c>
      <c r="AE1" s="58">
        <v>29</v>
      </c>
      <c r="AF1" s="58">
        <v>30</v>
      </c>
      <c r="AG1" s="58">
        <v>31</v>
      </c>
      <c r="AH1" s="59" t="s">
        <v>440</v>
      </c>
    </row>
    <row r="2" spans="1:34" ht="15.75" customHeight="1" x14ac:dyDescent="0.3">
      <c r="A2" s="60">
        <v>2</v>
      </c>
      <c r="B2" s="61" t="s">
        <v>70</v>
      </c>
      <c r="C2" s="123"/>
      <c r="D2" s="62"/>
      <c r="E2" s="62"/>
      <c r="F2" s="62"/>
      <c r="G2" s="62"/>
      <c r="H2" s="62"/>
      <c r="I2" s="62"/>
      <c r="J2" s="62"/>
      <c r="K2" s="62">
        <v>4</v>
      </c>
      <c r="L2" s="62"/>
      <c r="M2" s="62"/>
      <c r="N2" s="62"/>
      <c r="O2" s="62"/>
      <c r="P2" s="62"/>
      <c r="Q2" s="62"/>
      <c r="R2" s="62"/>
      <c r="S2" s="62"/>
      <c r="T2" s="62"/>
      <c r="U2" s="62"/>
      <c r="V2" s="62">
        <v>3</v>
      </c>
      <c r="W2" s="62"/>
      <c r="X2" s="62"/>
      <c r="Y2" s="62"/>
      <c r="Z2" s="62"/>
      <c r="AA2" s="62"/>
      <c r="AB2" s="62"/>
      <c r="AC2" s="62"/>
      <c r="AD2" s="62"/>
      <c r="AE2" s="63"/>
      <c r="AF2" s="63">
        <v>5</v>
      </c>
      <c r="AG2" s="63"/>
      <c r="AH2" s="64">
        <f>SUM(C2:AG2)</f>
        <v>12</v>
      </c>
    </row>
    <row r="3" spans="1:34" ht="15.75" customHeight="1" x14ac:dyDescent="0.3">
      <c r="A3" s="60"/>
      <c r="B3" s="65" t="s">
        <v>97</v>
      </c>
      <c r="C3" s="124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3"/>
      <c r="AF3" s="63"/>
      <c r="AG3" s="63"/>
      <c r="AH3" s="64">
        <f>SUM(C3:AG3)</f>
        <v>0</v>
      </c>
    </row>
    <row r="4" spans="1:34" ht="15.75" customHeight="1" x14ac:dyDescent="0.3">
      <c r="A4" s="60">
        <v>2</v>
      </c>
      <c r="B4" s="65" t="s">
        <v>103</v>
      </c>
      <c r="C4" s="124"/>
      <c r="D4" s="66">
        <v>3</v>
      </c>
      <c r="E4" s="66"/>
      <c r="F4" s="66"/>
      <c r="G4" s="66"/>
      <c r="H4" s="66"/>
      <c r="I4" s="66"/>
      <c r="J4" s="66"/>
      <c r="K4" s="66">
        <v>4</v>
      </c>
      <c r="L4" s="66"/>
      <c r="M4" s="66"/>
      <c r="N4" s="66"/>
      <c r="O4" s="66"/>
      <c r="P4" s="66"/>
      <c r="Q4" s="66"/>
      <c r="R4" s="66"/>
      <c r="S4" s="66">
        <v>4</v>
      </c>
      <c r="T4" s="66"/>
      <c r="U4" s="66"/>
      <c r="V4" s="66"/>
      <c r="W4" s="66"/>
      <c r="X4" s="66"/>
      <c r="Y4" s="66"/>
      <c r="Z4" s="66">
        <v>4</v>
      </c>
      <c r="AA4" s="66"/>
      <c r="AB4" s="66"/>
      <c r="AC4" s="66"/>
      <c r="AD4" s="66"/>
      <c r="AE4" s="63"/>
      <c r="AF4" s="63"/>
      <c r="AG4" s="63"/>
      <c r="AH4" s="64">
        <f t="shared" ref="AH4:AH67" si="0">SUM(C4:AG4)</f>
        <v>15</v>
      </c>
    </row>
    <row r="5" spans="1:34" ht="15.75" customHeight="1" x14ac:dyDescent="0.3">
      <c r="A5" s="60">
        <v>2</v>
      </c>
      <c r="B5" s="65" t="s">
        <v>104</v>
      </c>
      <c r="C5" s="124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3"/>
      <c r="AF5" s="63"/>
      <c r="AG5" s="63"/>
      <c r="AH5" s="64">
        <f t="shared" si="0"/>
        <v>0</v>
      </c>
    </row>
    <row r="6" spans="1:34" ht="15.75" customHeight="1" x14ac:dyDescent="0.3">
      <c r="A6" s="60"/>
      <c r="B6" s="65" t="s">
        <v>105</v>
      </c>
      <c r="C6" s="124"/>
      <c r="D6" s="66"/>
      <c r="E6" s="66"/>
      <c r="F6" s="66"/>
      <c r="G6" s="66"/>
      <c r="H6" s="66"/>
      <c r="I6" s="66"/>
      <c r="J6" s="66"/>
      <c r="K6" s="66"/>
      <c r="L6" s="66">
        <v>3</v>
      </c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8"/>
      <c r="AA6" s="66"/>
      <c r="AB6" s="66"/>
      <c r="AC6" s="66"/>
      <c r="AD6" s="66"/>
      <c r="AE6" s="63"/>
      <c r="AF6" s="63"/>
      <c r="AG6" s="63"/>
      <c r="AH6" s="64">
        <f t="shared" si="0"/>
        <v>3</v>
      </c>
    </row>
    <row r="7" spans="1:34" ht="15.75" customHeight="1" x14ac:dyDescent="0.3">
      <c r="A7" s="60"/>
      <c r="B7" s="65" t="s">
        <v>106</v>
      </c>
      <c r="C7" s="124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3"/>
      <c r="AF7" s="63"/>
      <c r="AG7" s="63"/>
      <c r="AH7" s="64">
        <f t="shared" si="0"/>
        <v>0</v>
      </c>
    </row>
    <row r="8" spans="1:34" ht="15.75" customHeight="1" x14ac:dyDescent="0.3">
      <c r="A8" s="60">
        <v>2</v>
      </c>
      <c r="B8" s="65" t="s">
        <v>107</v>
      </c>
      <c r="C8" s="124"/>
      <c r="D8" s="66"/>
      <c r="E8" s="66"/>
      <c r="F8" s="66">
        <v>4</v>
      </c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3">
        <v>2</v>
      </c>
      <c r="AF8" s="63"/>
      <c r="AG8" s="63"/>
      <c r="AH8" s="64">
        <f t="shared" si="0"/>
        <v>6</v>
      </c>
    </row>
    <row r="9" spans="1:34" ht="15.75" customHeight="1" x14ac:dyDescent="0.3">
      <c r="A9" s="60"/>
      <c r="B9" s="65" t="s">
        <v>109</v>
      </c>
      <c r="C9" s="124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>
        <v>3</v>
      </c>
      <c r="AC9" s="66"/>
      <c r="AD9" s="66"/>
      <c r="AE9" s="63"/>
      <c r="AF9" s="63"/>
      <c r="AG9" s="63"/>
      <c r="AH9" s="64">
        <f t="shared" si="0"/>
        <v>3</v>
      </c>
    </row>
    <row r="10" spans="1:34" ht="15.75" customHeight="1" x14ac:dyDescent="0.3">
      <c r="A10" s="60">
        <v>4</v>
      </c>
      <c r="B10" s="65" t="s">
        <v>110</v>
      </c>
      <c r="C10" s="124"/>
      <c r="D10" s="66"/>
      <c r="E10" s="66"/>
      <c r="F10" s="66">
        <v>2</v>
      </c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>
        <v>4</v>
      </c>
      <c r="AD10" s="66"/>
      <c r="AE10" s="63"/>
      <c r="AF10" s="63"/>
      <c r="AG10" s="63"/>
      <c r="AH10" s="64">
        <f t="shared" si="0"/>
        <v>6</v>
      </c>
    </row>
    <row r="11" spans="1:34" ht="15.75" customHeight="1" x14ac:dyDescent="0.3">
      <c r="A11" s="60"/>
      <c r="B11" s="65" t="s">
        <v>112</v>
      </c>
      <c r="C11" s="124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>
        <v>5</v>
      </c>
      <c r="S11" s="66"/>
      <c r="T11" s="66"/>
      <c r="U11" s="66"/>
      <c r="V11" s="66"/>
      <c r="W11" s="66"/>
      <c r="X11" s="66">
        <v>3</v>
      </c>
      <c r="Y11" s="66"/>
      <c r="Z11" s="66"/>
      <c r="AA11" s="66"/>
      <c r="AB11" s="66"/>
      <c r="AC11" s="66"/>
      <c r="AD11" s="66"/>
      <c r="AE11" s="63"/>
      <c r="AF11" s="63"/>
      <c r="AG11" s="63"/>
      <c r="AH11" s="64">
        <f t="shared" si="0"/>
        <v>8</v>
      </c>
    </row>
    <row r="12" spans="1:34" ht="15.75" customHeight="1" x14ac:dyDescent="0.3">
      <c r="A12" s="60"/>
      <c r="B12" s="65" t="s">
        <v>123</v>
      </c>
      <c r="C12" s="124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3"/>
      <c r="AF12" s="63"/>
      <c r="AG12" s="63"/>
      <c r="AH12" s="64">
        <f t="shared" si="0"/>
        <v>0</v>
      </c>
    </row>
    <row r="13" spans="1:34" ht="15.75" customHeight="1" x14ac:dyDescent="0.3">
      <c r="A13" s="60"/>
      <c r="B13" s="65" t="s">
        <v>370</v>
      </c>
      <c r="C13" s="124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3"/>
      <c r="AF13" s="63"/>
      <c r="AG13" s="63"/>
      <c r="AH13" s="64">
        <f t="shared" si="0"/>
        <v>0</v>
      </c>
    </row>
    <row r="14" spans="1:34" ht="15.75" customHeight="1" x14ac:dyDescent="0.3">
      <c r="A14" s="60">
        <v>2</v>
      </c>
      <c r="B14" s="67" t="s">
        <v>133</v>
      </c>
      <c r="C14" s="124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>
        <v>3</v>
      </c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>
        <v>4</v>
      </c>
      <c r="AD14" s="66"/>
      <c r="AE14" s="63"/>
      <c r="AF14" s="63"/>
      <c r="AG14" s="63"/>
      <c r="AH14" s="64">
        <f t="shared" si="0"/>
        <v>7</v>
      </c>
    </row>
    <row r="15" spans="1:34" ht="15.75" customHeight="1" x14ac:dyDescent="0.3">
      <c r="A15" s="60"/>
      <c r="B15" s="65" t="s">
        <v>134</v>
      </c>
      <c r="C15" s="124"/>
      <c r="D15" s="66"/>
      <c r="E15" s="66"/>
      <c r="F15" s="66"/>
      <c r="G15" s="66"/>
      <c r="H15" s="66"/>
      <c r="I15" s="66"/>
      <c r="J15" s="66"/>
      <c r="K15" s="66"/>
      <c r="L15" s="66">
        <v>4</v>
      </c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>
        <v>3</v>
      </c>
      <c r="AA15" s="66"/>
      <c r="AB15" s="66"/>
      <c r="AC15" s="66"/>
      <c r="AD15" s="66"/>
      <c r="AE15" s="63"/>
      <c r="AF15" s="63"/>
      <c r="AG15" s="63"/>
      <c r="AH15" s="64">
        <f t="shared" si="0"/>
        <v>7</v>
      </c>
    </row>
    <row r="16" spans="1:34" ht="15.75" customHeight="1" x14ac:dyDescent="0.3">
      <c r="A16" s="60"/>
      <c r="B16" s="65" t="s">
        <v>167</v>
      </c>
      <c r="C16" s="124"/>
      <c r="D16" s="66"/>
      <c r="E16" s="66"/>
      <c r="F16" s="66"/>
      <c r="G16" s="66"/>
      <c r="H16" s="66"/>
      <c r="I16" s="66"/>
      <c r="J16" s="66">
        <v>5</v>
      </c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3"/>
      <c r="AF16" s="63"/>
      <c r="AG16" s="63"/>
      <c r="AH16" s="64">
        <f t="shared" si="0"/>
        <v>5</v>
      </c>
    </row>
    <row r="17" spans="1:35" ht="15.75" customHeight="1" x14ac:dyDescent="0.3">
      <c r="A17" s="60">
        <v>2</v>
      </c>
      <c r="B17" s="65" t="s">
        <v>170</v>
      </c>
      <c r="C17" s="124">
        <v>7</v>
      </c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>
        <v>3</v>
      </c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8"/>
      <c r="AE17" s="63"/>
      <c r="AF17" s="63"/>
      <c r="AG17" s="63"/>
      <c r="AH17" s="64">
        <f t="shared" si="0"/>
        <v>10</v>
      </c>
    </row>
    <row r="18" spans="1:35" ht="15.75" customHeight="1" x14ac:dyDescent="0.3">
      <c r="A18" s="60"/>
      <c r="B18" s="65" t="s">
        <v>180</v>
      </c>
      <c r="C18" s="124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>
        <v>2</v>
      </c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3"/>
      <c r="AF18" s="63"/>
      <c r="AG18" s="63"/>
      <c r="AH18" s="64">
        <f t="shared" si="0"/>
        <v>2</v>
      </c>
    </row>
    <row r="19" spans="1:35" ht="15.75" customHeight="1" x14ac:dyDescent="0.3">
      <c r="A19" s="60">
        <v>2</v>
      </c>
      <c r="B19" s="65" t="s">
        <v>181</v>
      </c>
      <c r="C19" s="124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>
        <v>5</v>
      </c>
      <c r="P19" s="66"/>
      <c r="Q19" s="66"/>
      <c r="R19" s="66"/>
      <c r="S19" s="66"/>
      <c r="T19" s="66"/>
      <c r="U19" s="66"/>
      <c r="V19" s="66"/>
      <c r="W19" s="66">
        <v>3</v>
      </c>
      <c r="X19" s="66"/>
      <c r="Y19" s="66"/>
      <c r="Z19" s="66"/>
      <c r="AA19" s="66"/>
      <c r="AB19" s="66"/>
      <c r="AC19" s="66"/>
      <c r="AD19" s="66"/>
      <c r="AE19" s="63"/>
      <c r="AF19" s="63"/>
      <c r="AG19" s="63"/>
      <c r="AH19" s="64">
        <f t="shared" si="0"/>
        <v>8</v>
      </c>
    </row>
    <row r="20" spans="1:35" ht="15.75" customHeight="1" x14ac:dyDescent="0.3">
      <c r="A20" s="60"/>
      <c r="B20" s="65" t="s">
        <v>183</v>
      </c>
      <c r="C20" s="124">
        <v>3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>
        <v>6</v>
      </c>
      <c r="T20" s="66"/>
      <c r="U20" s="66"/>
      <c r="V20" s="66"/>
      <c r="W20" s="66"/>
      <c r="X20" s="66"/>
      <c r="Y20" s="66"/>
      <c r="Z20" s="66"/>
      <c r="AA20" s="66">
        <v>6</v>
      </c>
      <c r="AB20" s="66"/>
      <c r="AC20" s="66"/>
      <c r="AD20" s="66"/>
      <c r="AE20" s="63"/>
      <c r="AF20" s="63"/>
      <c r="AG20" s="63"/>
      <c r="AH20" s="64">
        <f t="shared" si="0"/>
        <v>15</v>
      </c>
    </row>
    <row r="21" spans="1:35" ht="15.75" customHeight="1" x14ac:dyDescent="0.3">
      <c r="A21" s="60">
        <v>2</v>
      </c>
      <c r="B21" s="65" t="s">
        <v>189</v>
      </c>
      <c r="C21" s="124"/>
      <c r="D21" s="66"/>
      <c r="E21" s="66"/>
      <c r="F21" s="66">
        <v>5</v>
      </c>
      <c r="G21" s="66"/>
      <c r="H21" s="66"/>
      <c r="I21" s="66"/>
      <c r="J21" s="66"/>
      <c r="K21" s="66"/>
      <c r="L21" s="66"/>
      <c r="M21" s="66">
        <v>6</v>
      </c>
      <c r="N21" s="66"/>
      <c r="O21" s="66"/>
      <c r="P21" s="66"/>
      <c r="Q21" s="66"/>
      <c r="R21" s="66"/>
      <c r="S21" s="66"/>
      <c r="T21" s="66">
        <v>7</v>
      </c>
      <c r="U21" s="66"/>
      <c r="V21" s="66"/>
      <c r="W21" s="66"/>
      <c r="X21" s="66"/>
      <c r="Y21" s="66"/>
      <c r="Z21" s="66"/>
      <c r="AA21" s="66"/>
      <c r="AB21" s="66"/>
      <c r="AC21" s="66">
        <v>7</v>
      </c>
      <c r="AD21" s="66"/>
      <c r="AE21" s="63"/>
      <c r="AF21" s="63"/>
      <c r="AG21" s="63"/>
      <c r="AH21" s="64">
        <f t="shared" si="0"/>
        <v>25</v>
      </c>
      <c r="AI21" t="s">
        <v>31</v>
      </c>
    </row>
    <row r="22" spans="1:35" ht="15.75" customHeight="1" x14ac:dyDescent="0.3">
      <c r="A22" s="60">
        <v>2</v>
      </c>
      <c r="B22" s="65" t="s">
        <v>191</v>
      </c>
      <c r="C22" s="124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>
        <v>7</v>
      </c>
      <c r="W22" s="66"/>
      <c r="X22" s="66"/>
      <c r="Y22" s="66"/>
      <c r="Z22" s="66"/>
      <c r="AA22" s="66"/>
      <c r="AB22" s="66"/>
      <c r="AC22" s="66"/>
      <c r="AD22" s="66"/>
      <c r="AE22" s="63"/>
      <c r="AF22" s="63"/>
      <c r="AG22" s="63"/>
      <c r="AH22" s="64">
        <f t="shared" si="0"/>
        <v>7</v>
      </c>
    </row>
    <row r="23" spans="1:35" ht="15.75" customHeight="1" x14ac:dyDescent="0.3">
      <c r="A23" s="60"/>
      <c r="B23" s="65" t="s">
        <v>192</v>
      </c>
      <c r="C23" s="124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>
        <v>7</v>
      </c>
      <c r="AC23" s="66"/>
      <c r="AD23" s="66"/>
      <c r="AE23" s="63"/>
      <c r="AF23" s="63"/>
      <c r="AG23" s="63"/>
      <c r="AH23" s="64">
        <f t="shared" si="0"/>
        <v>7</v>
      </c>
    </row>
    <row r="24" spans="1:35" ht="15.75" customHeight="1" x14ac:dyDescent="0.3">
      <c r="A24" s="60"/>
      <c r="B24" s="65" t="s">
        <v>196</v>
      </c>
      <c r="C24" s="124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3"/>
      <c r="AF24" s="63"/>
      <c r="AG24" s="63"/>
      <c r="AH24" s="64">
        <f t="shared" si="0"/>
        <v>0</v>
      </c>
    </row>
    <row r="25" spans="1:35" ht="15.75" customHeight="1" x14ac:dyDescent="0.3">
      <c r="A25" s="60">
        <v>2</v>
      </c>
      <c r="B25" s="65" t="s">
        <v>197</v>
      </c>
      <c r="C25" s="124"/>
      <c r="D25" s="66">
        <v>5</v>
      </c>
      <c r="E25" s="66"/>
      <c r="F25" s="66"/>
      <c r="G25" s="66"/>
      <c r="H25" s="66">
        <v>7</v>
      </c>
      <c r="I25" s="66"/>
      <c r="J25" s="66">
        <v>7</v>
      </c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3"/>
      <c r="AF25" s="63"/>
      <c r="AG25" s="63"/>
      <c r="AH25" s="64">
        <f t="shared" si="0"/>
        <v>19</v>
      </c>
    </row>
    <row r="26" spans="1:35" ht="15.75" customHeight="1" x14ac:dyDescent="0.3">
      <c r="A26" s="60">
        <v>2</v>
      </c>
      <c r="B26" s="65" t="s">
        <v>200</v>
      </c>
      <c r="C26" s="124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3"/>
      <c r="AF26" s="63"/>
      <c r="AG26" s="63"/>
      <c r="AH26" s="64">
        <f t="shared" si="0"/>
        <v>0</v>
      </c>
    </row>
    <row r="27" spans="1:35" ht="15.75" customHeight="1" x14ac:dyDescent="0.3">
      <c r="A27" s="60">
        <v>2</v>
      </c>
      <c r="B27" s="65" t="s">
        <v>201</v>
      </c>
      <c r="C27" s="124"/>
      <c r="D27" s="66">
        <v>6</v>
      </c>
      <c r="E27" s="66"/>
      <c r="F27" s="66">
        <v>6</v>
      </c>
      <c r="G27" s="66"/>
      <c r="H27" s="66">
        <v>7</v>
      </c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3"/>
      <c r="AF27" s="63"/>
      <c r="AG27" s="63"/>
      <c r="AH27" s="64">
        <f t="shared" si="0"/>
        <v>19</v>
      </c>
    </row>
    <row r="28" spans="1:35" ht="15.75" customHeight="1" x14ac:dyDescent="0.3">
      <c r="A28" s="60"/>
      <c r="B28" s="65" t="s">
        <v>441</v>
      </c>
      <c r="C28" s="124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3"/>
      <c r="AF28" s="63"/>
      <c r="AG28" s="63"/>
      <c r="AH28" s="64">
        <f t="shared" si="0"/>
        <v>0</v>
      </c>
    </row>
    <row r="29" spans="1:35" ht="18" customHeight="1" x14ac:dyDescent="0.3">
      <c r="A29" s="60">
        <v>2</v>
      </c>
      <c r="B29" s="65" t="s">
        <v>205</v>
      </c>
      <c r="C29" s="124"/>
      <c r="D29" s="66"/>
      <c r="E29" s="66">
        <v>5</v>
      </c>
      <c r="F29" s="66"/>
      <c r="G29" s="66"/>
      <c r="H29" s="66"/>
      <c r="I29" s="66"/>
      <c r="J29" s="66"/>
      <c r="K29" s="66"/>
      <c r="L29" s="66"/>
      <c r="M29" s="66">
        <v>3</v>
      </c>
      <c r="N29" s="66"/>
      <c r="O29" s="66"/>
      <c r="P29" s="66"/>
      <c r="Q29" s="66"/>
      <c r="R29" s="66"/>
      <c r="S29" s="66"/>
      <c r="T29" s="66"/>
      <c r="U29" s="66"/>
      <c r="V29" s="66">
        <v>7</v>
      </c>
      <c r="W29" s="66"/>
      <c r="X29" s="66"/>
      <c r="Y29" s="66"/>
      <c r="Z29" s="66"/>
      <c r="AA29" s="66">
        <v>4</v>
      </c>
      <c r="AB29" s="66"/>
      <c r="AC29" s="66"/>
      <c r="AD29" s="66"/>
      <c r="AE29" s="63"/>
      <c r="AF29" s="139">
        <v>4</v>
      </c>
      <c r="AG29" s="63"/>
      <c r="AH29" s="64">
        <f t="shared" si="0"/>
        <v>23</v>
      </c>
    </row>
    <row r="30" spans="1:35" ht="14.25" customHeight="1" x14ac:dyDescent="0.3">
      <c r="A30" s="60">
        <v>2</v>
      </c>
      <c r="B30" s="67" t="s">
        <v>206</v>
      </c>
      <c r="C30" s="124"/>
      <c r="D30" s="66"/>
      <c r="E30" s="66">
        <v>4</v>
      </c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>
        <v>3</v>
      </c>
      <c r="W30" s="66"/>
      <c r="X30" s="66"/>
      <c r="Y30" s="66"/>
      <c r="Z30" s="66"/>
      <c r="AA30" s="66"/>
      <c r="AB30" s="66"/>
      <c r="AC30" s="66"/>
      <c r="AD30" s="66"/>
      <c r="AE30" s="63"/>
      <c r="AF30" s="63"/>
      <c r="AG30" s="63"/>
      <c r="AH30" s="64">
        <f t="shared" si="0"/>
        <v>7</v>
      </c>
    </row>
    <row r="31" spans="1:35" ht="15.75" customHeight="1" x14ac:dyDescent="0.3">
      <c r="A31" s="60">
        <v>2</v>
      </c>
      <c r="B31" s="65" t="s">
        <v>207</v>
      </c>
      <c r="C31" s="124"/>
      <c r="D31" s="66">
        <v>6</v>
      </c>
      <c r="E31" s="66"/>
      <c r="F31" s="66"/>
      <c r="G31" s="66"/>
      <c r="H31" s="66"/>
      <c r="I31" s="66"/>
      <c r="J31" s="66"/>
      <c r="K31" s="66"/>
      <c r="L31" s="66"/>
      <c r="M31" s="66">
        <v>3</v>
      </c>
      <c r="N31" s="66">
        <v>8</v>
      </c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>
        <v>8</v>
      </c>
      <c r="Z31" s="66"/>
      <c r="AA31" s="66"/>
      <c r="AB31" s="66"/>
      <c r="AC31" s="66"/>
      <c r="AD31" s="66"/>
      <c r="AE31" s="63">
        <v>3</v>
      </c>
      <c r="AF31" s="63"/>
      <c r="AG31" s="63"/>
      <c r="AH31" s="64">
        <f t="shared" si="0"/>
        <v>28</v>
      </c>
    </row>
    <row r="32" spans="1:35" ht="15.75" customHeight="1" x14ac:dyDescent="0.3">
      <c r="A32" s="60"/>
      <c r="B32" s="65" t="s">
        <v>208</v>
      </c>
      <c r="C32" s="124"/>
      <c r="D32" s="66"/>
      <c r="E32" s="66"/>
      <c r="F32" s="66"/>
      <c r="G32" s="66"/>
      <c r="H32" s="66"/>
      <c r="I32" s="66">
        <v>7</v>
      </c>
      <c r="J32" s="66"/>
      <c r="K32" s="66"/>
      <c r="L32" s="66"/>
      <c r="M32" s="66"/>
      <c r="N32" s="66"/>
      <c r="O32" s="66">
        <v>6</v>
      </c>
      <c r="P32" s="66"/>
      <c r="Q32" s="66"/>
      <c r="R32" s="66"/>
      <c r="S32" s="66"/>
      <c r="T32" s="66"/>
      <c r="U32" s="66"/>
      <c r="V32" s="66">
        <v>4</v>
      </c>
      <c r="W32" s="66"/>
      <c r="X32" s="66"/>
      <c r="Y32" s="66"/>
      <c r="Z32" s="68"/>
      <c r="AA32" s="66"/>
      <c r="AB32" s="66"/>
      <c r="AC32" s="66"/>
      <c r="AD32" s="66"/>
      <c r="AE32" s="63"/>
      <c r="AF32" s="63"/>
      <c r="AG32" s="63"/>
      <c r="AH32" s="64">
        <f t="shared" si="0"/>
        <v>17</v>
      </c>
    </row>
    <row r="33" spans="1:39" ht="15.75" customHeight="1" x14ac:dyDescent="0.3">
      <c r="A33" s="60">
        <v>2</v>
      </c>
      <c r="B33" s="67" t="s">
        <v>213</v>
      </c>
      <c r="C33" s="124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3"/>
      <c r="AF33" s="63"/>
      <c r="AG33" s="63"/>
      <c r="AH33" s="64">
        <f t="shared" si="0"/>
        <v>0</v>
      </c>
      <c r="AI33" s="44"/>
      <c r="AJ33" s="44"/>
      <c r="AK33" s="44"/>
      <c r="AL33" s="44"/>
      <c r="AM33" s="44"/>
    </row>
    <row r="34" spans="1:39" ht="15.75" customHeight="1" x14ac:dyDescent="0.3">
      <c r="A34" s="60"/>
      <c r="B34" s="65" t="s">
        <v>214</v>
      </c>
      <c r="C34" s="124">
        <v>4</v>
      </c>
      <c r="D34" s="66"/>
      <c r="E34" s="66"/>
      <c r="F34" s="66"/>
      <c r="G34" s="66"/>
      <c r="H34" s="66"/>
      <c r="I34" s="66"/>
      <c r="J34" s="66"/>
      <c r="K34" s="66">
        <v>6</v>
      </c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3"/>
      <c r="AF34" s="63"/>
      <c r="AG34" s="63"/>
      <c r="AH34" s="64">
        <f t="shared" si="0"/>
        <v>10</v>
      </c>
    </row>
    <row r="35" spans="1:39" ht="15.75" customHeight="1" x14ac:dyDescent="0.3">
      <c r="A35" s="60">
        <v>2</v>
      </c>
      <c r="B35" s="67" t="s">
        <v>217</v>
      </c>
      <c r="C35" s="124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>
        <v>3</v>
      </c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3"/>
      <c r="AF35" s="63"/>
      <c r="AG35" s="63"/>
      <c r="AH35" s="64">
        <f t="shared" si="0"/>
        <v>3</v>
      </c>
    </row>
    <row r="36" spans="1:39" ht="15.75" customHeight="1" x14ac:dyDescent="0.3">
      <c r="A36" s="60">
        <v>2</v>
      </c>
      <c r="B36" s="65" t="s">
        <v>218</v>
      </c>
      <c r="C36" s="124"/>
      <c r="D36" s="66"/>
      <c r="E36" s="66"/>
      <c r="F36" s="66"/>
      <c r="G36" s="66"/>
      <c r="H36" s="66">
        <v>6</v>
      </c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>
        <v>4</v>
      </c>
      <c r="X36" s="66"/>
      <c r="Y36" s="66"/>
      <c r="Z36" s="66"/>
      <c r="AA36" s="66"/>
      <c r="AB36" s="66"/>
      <c r="AC36" s="66"/>
      <c r="AD36" s="66"/>
      <c r="AE36" s="63"/>
      <c r="AF36" s="63">
        <v>4</v>
      </c>
      <c r="AG36" s="63"/>
      <c r="AH36" s="64">
        <f t="shared" si="0"/>
        <v>14</v>
      </c>
    </row>
    <row r="37" spans="1:39" ht="15.75" customHeight="1" x14ac:dyDescent="0.3">
      <c r="A37" s="60"/>
      <c r="B37" s="65" t="s">
        <v>219</v>
      </c>
      <c r="C37" s="124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3"/>
      <c r="AF37" s="63"/>
      <c r="AG37" s="63"/>
      <c r="AH37" s="64">
        <f t="shared" si="0"/>
        <v>0</v>
      </c>
    </row>
    <row r="38" spans="1:39" ht="15.75" customHeight="1" x14ac:dyDescent="0.3">
      <c r="A38" s="60"/>
      <c r="B38" s="65" t="s">
        <v>364</v>
      </c>
      <c r="C38" s="124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3"/>
      <c r="AF38" s="63"/>
      <c r="AG38" s="63"/>
      <c r="AH38" s="64">
        <f t="shared" si="0"/>
        <v>0</v>
      </c>
    </row>
    <row r="39" spans="1:39" ht="15.75" customHeight="1" x14ac:dyDescent="0.3">
      <c r="A39" s="60">
        <v>2</v>
      </c>
      <c r="B39" s="65" t="s">
        <v>366</v>
      </c>
      <c r="C39" s="124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>
        <v>4</v>
      </c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3"/>
      <c r="AF39" s="139">
        <v>3</v>
      </c>
      <c r="AG39" s="63"/>
      <c r="AH39" s="64">
        <f t="shared" si="0"/>
        <v>7</v>
      </c>
    </row>
    <row r="40" spans="1:39" ht="15" customHeight="1" x14ac:dyDescent="0.3">
      <c r="A40" s="60">
        <v>2</v>
      </c>
      <c r="B40" s="65" t="s">
        <v>367</v>
      </c>
      <c r="C40" s="124"/>
      <c r="D40" s="66"/>
      <c r="E40" s="66"/>
      <c r="F40" s="66"/>
      <c r="G40" s="66"/>
      <c r="H40" s="66">
        <v>4</v>
      </c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>
        <v>2</v>
      </c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3">
        <v>6</v>
      </c>
      <c r="AF40" s="63"/>
      <c r="AG40" s="63"/>
      <c r="AH40" s="64">
        <f t="shared" si="0"/>
        <v>12</v>
      </c>
    </row>
    <row r="41" spans="1:39" ht="17.25" customHeight="1" x14ac:dyDescent="0.3">
      <c r="A41" s="60"/>
      <c r="B41" s="67" t="s">
        <v>381</v>
      </c>
      <c r="C41" s="124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3"/>
      <c r="AF41" s="63"/>
      <c r="AG41" s="63"/>
      <c r="AH41" s="64">
        <f t="shared" si="0"/>
        <v>0</v>
      </c>
    </row>
    <row r="42" spans="1:39" ht="18" customHeight="1" x14ac:dyDescent="0.3">
      <c r="A42" s="69"/>
      <c r="B42" s="65" t="s">
        <v>19</v>
      </c>
      <c r="C42" s="124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3"/>
      <c r="AF42" s="63"/>
      <c r="AG42" s="63"/>
      <c r="AH42" s="64">
        <f t="shared" si="0"/>
        <v>0</v>
      </c>
    </row>
    <row r="43" spans="1:39" ht="15.75" customHeight="1" x14ac:dyDescent="0.3">
      <c r="A43" s="69"/>
      <c r="B43" s="65" t="s">
        <v>23</v>
      </c>
      <c r="C43" s="124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>
        <v>4</v>
      </c>
      <c r="Z43" s="66"/>
      <c r="AA43" s="66"/>
      <c r="AB43" s="66"/>
      <c r="AC43" s="66"/>
      <c r="AD43" s="66"/>
      <c r="AE43" s="63"/>
      <c r="AF43" s="63"/>
      <c r="AG43" s="63"/>
      <c r="AH43" s="64">
        <f t="shared" si="0"/>
        <v>4</v>
      </c>
    </row>
    <row r="44" spans="1:39" ht="15.75" customHeight="1" x14ac:dyDescent="0.3">
      <c r="A44" s="69">
        <v>1</v>
      </c>
      <c r="B44" s="67" t="s">
        <v>26</v>
      </c>
      <c r="C44" s="124"/>
      <c r="D44" s="66"/>
      <c r="E44" s="66"/>
      <c r="F44" s="66"/>
      <c r="G44" s="66"/>
      <c r="H44" s="66"/>
      <c r="I44" s="66"/>
      <c r="J44" s="66"/>
      <c r="K44" s="66">
        <v>4</v>
      </c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>
        <v>5</v>
      </c>
      <c r="AA44" s="66"/>
      <c r="AB44" s="66"/>
      <c r="AC44" s="66"/>
      <c r="AD44" s="66"/>
      <c r="AE44" s="63"/>
      <c r="AF44" s="63"/>
      <c r="AG44" s="63"/>
      <c r="AH44" s="64">
        <f t="shared" si="0"/>
        <v>9</v>
      </c>
    </row>
    <row r="45" spans="1:39" ht="15.75" customHeight="1" x14ac:dyDescent="0.3">
      <c r="A45" s="69">
        <v>5</v>
      </c>
      <c r="B45" s="67" t="s">
        <v>30</v>
      </c>
      <c r="C45" s="124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3"/>
      <c r="AF45" s="63"/>
      <c r="AG45" s="63"/>
      <c r="AH45" s="64">
        <f t="shared" si="0"/>
        <v>0</v>
      </c>
    </row>
    <row r="46" spans="1:39" ht="15.75" customHeight="1" x14ac:dyDescent="0.3">
      <c r="A46" s="69"/>
      <c r="B46" s="65" t="s">
        <v>34</v>
      </c>
      <c r="C46" s="124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3"/>
      <c r="AF46" s="63"/>
      <c r="AG46" s="63"/>
      <c r="AH46" s="64">
        <f t="shared" si="0"/>
        <v>0</v>
      </c>
    </row>
    <row r="47" spans="1:39" ht="15.75" customHeight="1" x14ac:dyDescent="0.3">
      <c r="A47" s="69"/>
      <c r="B47" s="65" t="s">
        <v>36</v>
      </c>
      <c r="C47" s="124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3"/>
      <c r="AF47" s="63"/>
      <c r="AG47" s="63"/>
      <c r="AH47" s="64">
        <f t="shared" si="0"/>
        <v>0</v>
      </c>
    </row>
    <row r="48" spans="1:39" ht="15.75" customHeight="1" x14ac:dyDescent="0.3">
      <c r="A48" s="69">
        <v>1</v>
      </c>
      <c r="B48" s="65" t="s">
        <v>442</v>
      </c>
      <c r="C48" s="124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3"/>
      <c r="AF48" s="63"/>
      <c r="AG48" s="63"/>
      <c r="AH48" s="64">
        <f t="shared" si="0"/>
        <v>0</v>
      </c>
    </row>
    <row r="49" spans="1:34" ht="15.75" customHeight="1" x14ac:dyDescent="0.3">
      <c r="A49" s="69">
        <v>1</v>
      </c>
      <c r="B49" s="65" t="s">
        <v>443</v>
      </c>
      <c r="C49" s="124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>
        <v>6</v>
      </c>
      <c r="P49" s="66"/>
      <c r="Q49" s="66"/>
      <c r="R49" s="66"/>
      <c r="S49" s="66"/>
      <c r="T49" s="66"/>
      <c r="U49" s="66"/>
      <c r="V49" s="66"/>
      <c r="W49" s="66"/>
      <c r="X49" s="66">
        <v>5</v>
      </c>
      <c r="Y49" s="66"/>
      <c r="Z49" s="66"/>
      <c r="AA49" s="66"/>
      <c r="AB49" s="66"/>
      <c r="AC49" s="66"/>
      <c r="AD49" s="66"/>
      <c r="AE49" s="63">
        <v>4</v>
      </c>
      <c r="AF49" s="63"/>
      <c r="AG49" s="63"/>
      <c r="AH49" s="64">
        <f t="shared" si="0"/>
        <v>15</v>
      </c>
    </row>
    <row r="50" spans="1:34" ht="15.75" customHeight="1" x14ac:dyDescent="0.3">
      <c r="A50" s="69">
        <v>2</v>
      </c>
      <c r="B50" s="65" t="s">
        <v>365</v>
      </c>
      <c r="C50" s="124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3"/>
      <c r="AF50" s="63"/>
      <c r="AG50" s="63"/>
      <c r="AH50" s="64">
        <f t="shared" si="0"/>
        <v>0</v>
      </c>
    </row>
    <row r="51" spans="1:34" ht="15.75" customHeight="1" x14ac:dyDescent="0.3">
      <c r="A51" s="69"/>
      <c r="B51" s="65" t="s">
        <v>444</v>
      </c>
      <c r="C51" s="124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3"/>
      <c r="AF51" s="63"/>
      <c r="AG51" s="63"/>
      <c r="AH51" s="64">
        <f t="shared" si="0"/>
        <v>0</v>
      </c>
    </row>
    <row r="52" spans="1:34" ht="15.75" customHeight="1" x14ac:dyDescent="0.3">
      <c r="A52" s="69">
        <v>1</v>
      </c>
      <c r="B52" s="65" t="s">
        <v>445</v>
      </c>
      <c r="C52" s="124"/>
      <c r="D52" s="66"/>
      <c r="E52" s="66"/>
      <c r="F52" s="66"/>
      <c r="G52" s="66"/>
      <c r="H52" s="66"/>
      <c r="I52" s="66">
        <v>8</v>
      </c>
      <c r="J52" s="66"/>
      <c r="K52" s="66"/>
      <c r="L52" s="66"/>
      <c r="M52" s="66"/>
      <c r="N52" s="66"/>
      <c r="O52" s="66">
        <v>6</v>
      </c>
      <c r="P52" s="66"/>
      <c r="Q52" s="66"/>
      <c r="R52" s="66"/>
      <c r="S52" s="66"/>
      <c r="T52" s="66"/>
      <c r="U52" s="66"/>
      <c r="V52" s="66"/>
      <c r="W52" s="66"/>
      <c r="X52" s="66">
        <v>7</v>
      </c>
      <c r="Y52" s="66"/>
      <c r="Z52" s="66"/>
      <c r="AA52" s="66"/>
      <c r="AB52" s="66"/>
      <c r="AC52" s="66"/>
      <c r="AD52" s="66"/>
      <c r="AE52" s="63">
        <v>3</v>
      </c>
      <c r="AF52" s="63"/>
      <c r="AG52" s="63"/>
      <c r="AH52" s="64">
        <f t="shared" si="0"/>
        <v>24</v>
      </c>
    </row>
    <row r="53" spans="1:34" ht="15.75" customHeight="1" x14ac:dyDescent="0.3">
      <c r="A53" s="69"/>
      <c r="B53" s="65" t="s">
        <v>446</v>
      </c>
      <c r="C53" s="124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3"/>
      <c r="AF53" s="63"/>
      <c r="AG53" s="63"/>
      <c r="AH53" s="64">
        <f t="shared" si="0"/>
        <v>0</v>
      </c>
    </row>
    <row r="54" spans="1:34" ht="15.75" customHeight="1" x14ac:dyDescent="0.3">
      <c r="A54" s="69">
        <v>1</v>
      </c>
      <c r="B54" s="65" t="s">
        <v>447</v>
      </c>
      <c r="C54" s="124"/>
      <c r="D54" s="66"/>
      <c r="E54" s="66"/>
      <c r="F54" s="66"/>
      <c r="G54" s="66"/>
      <c r="H54" s="66"/>
      <c r="I54" s="66"/>
      <c r="J54" s="66"/>
      <c r="K54" s="66"/>
      <c r="L54" s="66">
        <v>3</v>
      </c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3"/>
      <c r="AF54" s="63">
        <v>3</v>
      </c>
      <c r="AG54" s="63"/>
      <c r="AH54" s="64">
        <f t="shared" si="0"/>
        <v>6</v>
      </c>
    </row>
    <row r="55" spans="1:34" ht="15.75" customHeight="1" x14ac:dyDescent="0.3">
      <c r="A55" s="69">
        <v>1</v>
      </c>
      <c r="B55" s="65" t="s">
        <v>448</v>
      </c>
      <c r="C55" s="124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>
        <v>5</v>
      </c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>
        <v>3</v>
      </c>
      <c r="AA55" s="66"/>
      <c r="AB55" s="66"/>
      <c r="AC55" s="66"/>
      <c r="AD55" s="66"/>
      <c r="AE55" s="63"/>
      <c r="AF55" s="63"/>
      <c r="AG55" s="63"/>
      <c r="AH55" s="64">
        <f t="shared" si="0"/>
        <v>8</v>
      </c>
    </row>
    <row r="56" spans="1:34" ht="15.75" customHeight="1" x14ac:dyDescent="0.3">
      <c r="A56" s="69">
        <v>1</v>
      </c>
      <c r="B56" s="65" t="s">
        <v>449</v>
      </c>
      <c r="C56" s="124">
        <v>8</v>
      </c>
      <c r="D56" s="66"/>
      <c r="E56" s="66"/>
      <c r="F56" s="66"/>
      <c r="G56" s="66">
        <v>8</v>
      </c>
      <c r="H56" s="66"/>
      <c r="I56" s="66"/>
      <c r="J56" s="66">
        <v>7</v>
      </c>
      <c r="K56" s="66"/>
      <c r="L56" s="66">
        <v>8</v>
      </c>
      <c r="M56" s="66"/>
      <c r="N56" s="66"/>
      <c r="O56" s="66">
        <v>7</v>
      </c>
      <c r="P56" s="66"/>
      <c r="Q56" s="66">
        <v>8</v>
      </c>
      <c r="R56" s="66"/>
      <c r="S56" s="66">
        <v>6</v>
      </c>
      <c r="T56" s="66"/>
      <c r="U56" s="66"/>
      <c r="V56" s="66">
        <v>6</v>
      </c>
      <c r="W56" s="66"/>
      <c r="X56" s="66"/>
      <c r="Y56" s="66"/>
      <c r="Z56" s="68">
        <v>4</v>
      </c>
      <c r="AA56" s="66"/>
      <c r="AB56" s="66"/>
      <c r="AC56" s="66"/>
      <c r="AD56" s="66"/>
      <c r="AE56" s="63">
        <v>3</v>
      </c>
      <c r="AF56" s="63"/>
      <c r="AG56" s="63"/>
      <c r="AH56" s="64">
        <f t="shared" si="0"/>
        <v>65</v>
      </c>
    </row>
    <row r="57" spans="1:34" ht="15.75" customHeight="1" x14ac:dyDescent="0.3">
      <c r="A57" s="69">
        <v>1</v>
      </c>
      <c r="B57" s="65" t="s">
        <v>450</v>
      </c>
      <c r="C57" s="124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>
        <v>4</v>
      </c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>
        <v>6</v>
      </c>
      <c r="AA57" s="66"/>
      <c r="AB57" s="66"/>
      <c r="AC57" s="66"/>
      <c r="AD57" s="66"/>
      <c r="AE57" s="63"/>
      <c r="AF57" s="63"/>
      <c r="AG57" s="63"/>
      <c r="AH57" s="64">
        <f t="shared" si="0"/>
        <v>10</v>
      </c>
    </row>
    <row r="58" spans="1:34" ht="15.75" customHeight="1" x14ac:dyDescent="0.3">
      <c r="A58" s="69">
        <v>1</v>
      </c>
      <c r="B58" s="65" t="s">
        <v>451</v>
      </c>
      <c r="C58" s="124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8"/>
      <c r="AA58" s="66"/>
      <c r="AB58" s="66"/>
      <c r="AC58" s="66"/>
      <c r="AD58" s="66"/>
      <c r="AE58" s="63"/>
      <c r="AF58" s="63"/>
      <c r="AG58" s="63"/>
      <c r="AH58" s="64">
        <f t="shared" si="0"/>
        <v>0</v>
      </c>
    </row>
    <row r="59" spans="1:34" ht="15.75" customHeight="1" x14ac:dyDescent="0.3">
      <c r="A59" s="69">
        <v>1</v>
      </c>
      <c r="B59" s="65" t="s">
        <v>452</v>
      </c>
      <c r="C59" s="124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3"/>
      <c r="AF59" s="63"/>
      <c r="AG59" s="63"/>
      <c r="AH59" s="64">
        <f t="shared" si="0"/>
        <v>0</v>
      </c>
    </row>
    <row r="60" spans="1:34" ht="15.75" customHeight="1" x14ac:dyDescent="0.3">
      <c r="A60" s="69"/>
      <c r="B60" s="65" t="s">
        <v>453</v>
      </c>
      <c r="C60" s="124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3"/>
      <c r="AF60" s="63"/>
      <c r="AG60" s="63"/>
      <c r="AH60" s="64">
        <f t="shared" si="0"/>
        <v>0</v>
      </c>
    </row>
    <row r="61" spans="1:34" ht="15.75" customHeight="1" x14ac:dyDescent="0.3">
      <c r="A61" s="69">
        <v>1</v>
      </c>
      <c r="B61" s="65" t="s">
        <v>454</v>
      </c>
      <c r="C61" s="124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8"/>
      <c r="AE61" s="63"/>
      <c r="AF61" s="63"/>
      <c r="AG61" s="63"/>
      <c r="AH61" s="64">
        <f t="shared" si="0"/>
        <v>0</v>
      </c>
    </row>
    <row r="62" spans="1:34" ht="15.75" customHeight="1" x14ac:dyDescent="0.3">
      <c r="A62" s="69">
        <v>1</v>
      </c>
      <c r="B62" s="65" t="s">
        <v>455</v>
      </c>
      <c r="C62" s="124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3"/>
      <c r="AF62" s="63"/>
      <c r="AG62" s="63"/>
      <c r="AH62" s="64">
        <f t="shared" si="0"/>
        <v>0</v>
      </c>
    </row>
    <row r="63" spans="1:34" ht="15.75" customHeight="1" x14ac:dyDescent="0.3">
      <c r="A63" s="69">
        <v>1</v>
      </c>
      <c r="B63" s="65" t="s">
        <v>456</v>
      </c>
      <c r="C63" s="124">
        <v>3</v>
      </c>
      <c r="D63" s="66"/>
      <c r="E63" s="66"/>
      <c r="F63" s="66"/>
      <c r="G63" s="66"/>
      <c r="H63" s="66"/>
      <c r="I63" s="66"/>
      <c r="J63" s="66"/>
      <c r="K63" s="66"/>
      <c r="L63" s="66">
        <v>3</v>
      </c>
      <c r="M63" s="66"/>
      <c r="N63" s="66"/>
      <c r="O63" s="66"/>
      <c r="P63" s="66"/>
      <c r="Q63" s="66">
        <v>3</v>
      </c>
      <c r="R63" s="66"/>
      <c r="S63" s="66"/>
      <c r="T63" s="66"/>
      <c r="U63" s="66"/>
      <c r="V63" s="66">
        <v>3</v>
      </c>
      <c r="W63" s="66"/>
      <c r="X63" s="66"/>
      <c r="Y63" s="66"/>
      <c r="Z63" s="68"/>
      <c r="AA63" s="66"/>
      <c r="AB63" s="66"/>
      <c r="AC63" s="66"/>
      <c r="AD63" s="66"/>
      <c r="AE63" s="63"/>
      <c r="AF63" s="63"/>
      <c r="AG63" s="63"/>
      <c r="AH63" s="64">
        <f t="shared" si="0"/>
        <v>12</v>
      </c>
    </row>
    <row r="64" spans="1:34" ht="15.75" customHeight="1" x14ac:dyDescent="0.3">
      <c r="A64" s="69">
        <v>1</v>
      </c>
      <c r="B64" s="65" t="s">
        <v>457</v>
      </c>
      <c r="C64" s="124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3"/>
      <c r="AF64" s="63"/>
      <c r="AG64" s="63"/>
      <c r="AH64" s="64">
        <f t="shared" si="0"/>
        <v>0</v>
      </c>
    </row>
    <row r="65" spans="1:34" ht="15.75" customHeight="1" x14ac:dyDescent="0.3">
      <c r="A65" s="69"/>
      <c r="B65" s="65" t="s">
        <v>458</v>
      </c>
      <c r="C65" s="124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3"/>
      <c r="AF65" s="63"/>
      <c r="AG65" s="63"/>
      <c r="AH65" s="64">
        <f t="shared" si="0"/>
        <v>0</v>
      </c>
    </row>
    <row r="66" spans="1:34" ht="15.75" customHeight="1" x14ac:dyDescent="0.3">
      <c r="A66" s="69">
        <v>1</v>
      </c>
      <c r="B66" s="65" t="s">
        <v>459</v>
      </c>
      <c r="C66" s="124">
        <v>4</v>
      </c>
      <c r="D66" s="66"/>
      <c r="E66" s="66"/>
      <c r="F66" s="66"/>
      <c r="G66" s="66"/>
      <c r="H66" s="66"/>
      <c r="I66" s="66"/>
      <c r="J66" s="66">
        <v>4</v>
      </c>
      <c r="K66" s="66"/>
      <c r="L66" s="66"/>
      <c r="M66" s="66"/>
      <c r="N66" s="66"/>
      <c r="O66" s="66"/>
      <c r="P66" s="66"/>
      <c r="Q66" s="66"/>
      <c r="R66" s="66"/>
      <c r="S66" s="66">
        <v>3</v>
      </c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3">
        <v>4</v>
      </c>
      <c r="AF66" s="63"/>
      <c r="AG66" s="63"/>
      <c r="AH66" s="64">
        <f t="shared" si="0"/>
        <v>15</v>
      </c>
    </row>
    <row r="67" spans="1:34" ht="15.75" customHeight="1" x14ac:dyDescent="0.3">
      <c r="A67" s="69"/>
      <c r="B67" s="65" t="s">
        <v>460</v>
      </c>
      <c r="C67" s="124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3"/>
      <c r="AF67" s="63"/>
      <c r="AG67" s="63"/>
      <c r="AH67" s="64">
        <f t="shared" si="0"/>
        <v>0</v>
      </c>
    </row>
    <row r="68" spans="1:34" ht="22.5" customHeight="1" x14ac:dyDescent="0.3">
      <c r="A68" s="69"/>
      <c r="B68" s="70" t="s">
        <v>62</v>
      </c>
      <c r="C68" s="124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3"/>
      <c r="AF68" s="63"/>
      <c r="AG68" s="63"/>
      <c r="AH68" s="64">
        <f t="shared" ref="AH68:AH131" si="1">SUM(C68:AG68)</f>
        <v>0</v>
      </c>
    </row>
    <row r="69" spans="1:34" ht="31.5" customHeight="1" x14ac:dyDescent="0.3">
      <c r="A69" s="69"/>
      <c r="B69" s="71" t="s">
        <v>63</v>
      </c>
      <c r="C69" s="124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3"/>
      <c r="AF69" s="63"/>
      <c r="AG69" s="63"/>
      <c r="AH69" s="64">
        <f t="shared" si="1"/>
        <v>0</v>
      </c>
    </row>
    <row r="70" spans="1:34" ht="15.75" customHeight="1" x14ac:dyDescent="0.3">
      <c r="A70" s="69"/>
      <c r="B70" s="65" t="s">
        <v>64</v>
      </c>
      <c r="C70" s="124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3"/>
      <c r="AF70" s="63"/>
      <c r="AG70" s="63"/>
      <c r="AH70" s="64">
        <f t="shared" si="1"/>
        <v>0</v>
      </c>
    </row>
    <row r="71" spans="1:34" ht="15.75" customHeight="1" x14ac:dyDescent="0.3">
      <c r="A71" s="69"/>
      <c r="B71" s="65" t="s">
        <v>297</v>
      </c>
      <c r="C71" s="124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3"/>
      <c r="AF71" s="63"/>
      <c r="AG71" s="63"/>
      <c r="AH71" s="64">
        <f t="shared" si="1"/>
        <v>0</v>
      </c>
    </row>
    <row r="72" spans="1:34" ht="15.75" customHeight="1" x14ac:dyDescent="0.3">
      <c r="A72" s="69"/>
      <c r="B72" s="65" t="s">
        <v>66</v>
      </c>
      <c r="C72" s="124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3"/>
      <c r="AF72" s="63"/>
      <c r="AG72" s="63"/>
      <c r="AH72" s="64">
        <f t="shared" si="1"/>
        <v>0</v>
      </c>
    </row>
    <row r="73" spans="1:34" ht="15.75" customHeight="1" x14ac:dyDescent="0.3">
      <c r="A73" s="69"/>
      <c r="B73" s="65" t="s">
        <v>67</v>
      </c>
      <c r="C73" s="124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3"/>
      <c r="AF73" s="63"/>
      <c r="AG73" s="63"/>
      <c r="AH73" s="64">
        <f t="shared" si="1"/>
        <v>0</v>
      </c>
    </row>
    <row r="74" spans="1:34" ht="15.75" customHeight="1" x14ac:dyDescent="0.3">
      <c r="A74" s="69"/>
      <c r="B74" s="65" t="s">
        <v>22</v>
      </c>
      <c r="C74" s="124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>
        <v>7</v>
      </c>
      <c r="T74" s="66"/>
      <c r="U74" s="66"/>
      <c r="V74" s="66"/>
      <c r="W74" s="66"/>
      <c r="X74" s="66"/>
      <c r="Y74" s="66"/>
      <c r="Z74" s="68"/>
      <c r="AA74" s="66"/>
      <c r="AB74" s="66"/>
      <c r="AC74" s="66">
        <v>6</v>
      </c>
      <c r="AD74" s="66"/>
      <c r="AE74" s="63"/>
      <c r="AF74" s="63"/>
      <c r="AG74" s="63"/>
      <c r="AH74" s="64">
        <f t="shared" si="1"/>
        <v>13</v>
      </c>
    </row>
    <row r="75" spans="1:34" ht="15" customHeight="1" x14ac:dyDescent="0.3">
      <c r="A75" s="69">
        <v>3</v>
      </c>
      <c r="B75" s="65" t="s">
        <v>68</v>
      </c>
      <c r="C75" s="124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3"/>
      <c r="AF75" s="63"/>
      <c r="AG75" s="63"/>
      <c r="AH75" s="64">
        <f t="shared" si="1"/>
        <v>0</v>
      </c>
    </row>
    <row r="76" spans="1:34" ht="15.75" customHeight="1" x14ac:dyDescent="0.3">
      <c r="A76" s="69">
        <v>3</v>
      </c>
      <c r="B76" s="65" t="s">
        <v>69</v>
      </c>
      <c r="C76" s="124"/>
      <c r="D76" s="66"/>
      <c r="E76" s="66"/>
      <c r="F76" s="66"/>
      <c r="G76" s="66"/>
      <c r="H76" s="66"/>
      <c r="I76" s="66"/>
      <c r="J76" s="66"/>
      <c r="K76" s="66">
        <v>8</v>
      </c>
      <c r="L76" s="66">
        <v>5</v>
      </c>
      <c r="M76" s="66"/>
      <c r="N76" s="66"/>
      <c r="O76" s="66"/>
      <c r="P76" s="66"/>
      <c r="Q76" s="66"/>
      <c r="R76" s="66"/>
      <c r="S76" s="66">
        <v>4</v>
      </c>
      <c r="T76" s="66"/>
      <c r="U76" s="66"/>
      <c r="V76" s="66"/>
      <c r="W76" s="66"/>
      <c r="X76" s="66"/>
      <c r="Y76" s="66"/>
      <c r="Z76" s="66">
        <v>4</v>
      </c>
      <c r="AA76" s="66"/>
      <c r="AB76" s="66"/>
      <c r="AC76" s="66"/>
      <c r="AD76" s="66"/>
      <c r="AE76" s="63"/>
      <c r="AF76" s="63"/>
      <c r="AG76" s="63"/>
      <c r="AH76" s="64">
        <f t="shared" si="1"/>
        <v>21</v>
      </c>
    </row>
    <row r="77" spans="1:34" ht="15.75" customHeight="1" x14ac:dyDescent="0.3">
      <c r="A77" s="69">
        <v>3</v>
      </c>
      <c r="B77" s="65" t="s">
        <v>71</v>
      </c>
      <c r="C77" s="124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3"/>
      <c r="AF77" s="63"/>
      <c r="AG77" s="63"/>
      <c r="AH77" s="64">
        <f t="shared" si="1"/>
        <v>0</v>
      </c>
    </row>
    <row r="78" spans="1:34" ht="15.75" customHeight="1" x14ac:dyDescent="0.3">
      <c r="A78" s="69">
        <v>3</v>
      </c>
      <c r="B78" s="65" t="s">
        <v>72</v>
      </c>
      <c r="C78" s="124">
        <v>4</v>
      </c>
      <c r="D78" s="66"/>
      <c r="E78" s="66"/>
      <c r="F78" s="66"/>
      <c r="G78" s="66"/>
      <c r="H78" s="66">
        <v>4</v>
      </c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>
        <v>4</v>
      </c>
      <c r="T78" s="66"/>
      <c r="U78" s="66"/>
      <c r="V78" s="66"/>
      <c r="W78" s="66"/>
      <c r="X78" s="66"/>
      <c r="Y78" s="66"/>
      <c r="Z78" s="68">
        <v>5</v>
      </c>
      <c r="AA78" s="66"/>
      <c r="AB78" s="66"/>
      <c r="AC78" s="66"/>
      <c r="AD78" s="66"/>
      <c r="AE78" s="63"/>
      <c r="AF78" s="63">
        <v>5</v>
      </c>
      <c r="AG78" s="63"/>
      <c r="AH78" s="64">
        <f t="shared" si="1"/>
        <v>22</v>
      </c>
    </row>
    <row r="79" spans="1:34" ht="15.75" customHeight="1" x14ac:dyDescent="0.3">
      <c r="A79" s="69">
        <v>3</v>
      </c>
      <c r="B79" s="65" t="s">
        <v>73</v>
      </c>
      <c r="C79" s="124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3"/>
      <c r="AF79" s="63"/>
      <c r="AG79" s="63"/>
      <c r="AH79" s="64">
        <f t="shared" si="1"/>
        <v>0</v>
      </c>
    </row>
    <row r="80" spans="1:34" ht="15.75" customHeight="1" x14ac:dyDescent="0.3">
      <c r="A80" s="69"/>
      <c r="B80" s="65" t="s">
        <v>461</v>
      </c>
      <c r="C80" s="124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3"/>
      <c r="AF80" s="63"/>
      <c r="AG80" s="63"/>
      <c r="AH80" s="64">
        <f t="shared" si="1"/>
        <v>0</v>
      </c>
    </row>
    <row r="81" spans="1:34" ht="15.75" customHeight="1" x14ac:dyDescent="0.3">
      <c r="A81" s="69">
        <v>2</v>
      </c>
      <c r="B81" s="65" t="s">
        <v>74</v>
      </c>
      <c r="C81" s="124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3"/>
      <c r="AF81" s="63"/>
      <c r="AG81" s="63"/>
      <c r="AH81" s="64">
        <f t="shared" si="1"/>
        <v>0</v>
      </c>
    </row>
    <row r="82" spans="1:34" ht="15.75" customHeight="1" x14ac:dyDescent="0.3">
      <c r="A82" s="69">
        <v>3</v>
      </c>
      <c r="B82" s="65" t="s">
        <v>75</v>
      </c>
      <c r="C82" s="124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>
        <v>5</v>
      </c>
      <c r="W82" s="66"/>
      <c r="X82" s="66"/>
      <c r="Y82" s="66"/>
      <c r="Z82" s="66"/>
      <c r="AA82" s="66"/>
      <c r="AB82" s="66"/>
      <c r="AC82" s="66"/>
      <c r="AD82" s="66"/>
      <c r="AE82" s="63"/>
      <c r="AF82" s="63"/>
      <c r="AG82" s="63"/>
      <c r="AH82" s="64">
        <f t="shared" si="1"/>
        <v>5</v>
      </c>
    </row>
    <row r="83" spans="1:34" ht="15.75" customHeight="1" x14ac:dyDescent="0.3">
      <c r="A83" s="69"/>
      <c r="B83" s="67" t="s">
        <v>76</v>
      </c>
      <c r="C83" s="124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3"/>
      <c r="AF83" s="63"/>
      <c r="AG83" s="63"/>
      <c r="AH83" s="64">
        <f t="shared" si="1"/>
        <v>0</v>
      </c>
    </row>
    <row r="84" spans="1:34" ht="15.75" customHeight="1" x14ac:dyDescent="0.3">
      <c r="A84" s="69"/>
      <c r="B84" s="67" t="s">
        <v>77</v>
      </c>
      <c r="C84" s="124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3"/>
      <c r="AF84" s="63"/>
      <c r="AG84" s="63"/>
      <c r="AH84" s="64">
        <f t="shared" si="1"/>
        <v>0</v>
      </c>
    </row>
    <row r="85" spans="1:34" ht="15.75" customHeight="1" x14ac:dyDescent="0.3">
      <c r="A85" s="69"/>
      <c r="B85" s="67" t="s">
        <v>78</v>
      </c>
      <c r="C85" s="124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3"/>
      <c r="AF85" s="63"/>
      <c r="AG85" s="63"/>
      <c r="AH85" s="64">
        <f t="shared" si="1"/>
        <v>0</v>
      </c>
    </row>
    <row r="86" spans="1:34" ht="15.75" customHeight="1" x14ac:dyDescent="0.3">
      <c r="A86" s="69"/>
      <c r="B86" s="65" t="s">
        <v>462</v>
      </c>
      <c r="C86" s="124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3"/>
      <c r="AF86" s="63"/>
      <c r="AG86" s="63"/>
      <c r="AH86" s="64">
        <f t="shared" si="1"/>
        <v>0</v>
      </c>
    </row>
    <row r="87" spans="1:34" ht="15.75" customHeight="1" x14ac:dyDescent="0.3">
      <c r="A87" s="69"/>
      <c r="B87" s="65" t="s">
        <v>79</v>
      </c>
      <c r="C87" s="124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3"/>
      <c r="AF87" s="63"/>
      <c r="AG87" s="63"/>
      <c r="AH87" s="64">
        <f t="shared" si="1"/>
        <v>0</v>
      </c>
    </row>
    <row r="88" spans="1:34" ht="15.75" customHeight="1" x14ac:dyDescent="0.3">
      <c r="A88" s="69"/>
      <c r="B88" s="65" t="s">
        <v>80</v>
      </c>
      <c r="C88" s="124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3"/>
      <c r="AF88" s="63"/>
      <c r="AG88" s="63"/>
      <c r="AH88" s="64">
        <f t="shared" si="1"/>
        <v>0</v>
      </c>
    </row>
    <row r="89" spans="1:34" ht="15.75" customHeight="1" x14ac:dyDescent="0.3">
      <c r="A89" s="69"/>
      <c r="B89" s="65" t="s">
        <v>82</v>
      </c>
      <c r="C89" s="124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3"/>
      <c r="AF89" s="63"/>
      <c r="AG89" s="63"/>
      <c r="AH89" s="64">
        <f t="shared" si="1"/>
        <v>0</v>
      </c>
    </row>
    <row r="90" spans="1:34" ht="15.75" customHeight="1" x14ac:dyDescent="0.3">
      <c r="A90" s="69"/>
      <c r="B90" s="65" t="s">
        <v>83</v>
      </c>
      <c r="C90" s="124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3"/>
      <c r="AF90" s="63"/>
      <c r="AG90" s="63"/>
      <c r="AH90" s="64">
        <f t="shared" si="1"/>
        <v>0</v>
      </c>
    </row>
    <row r="91" spans="1:34" ht="15.75" customHeight="1" x14ac:dyDescent="0.3">
      <c r="A91" s="69"/>
      <c r="B91" s="65" t="s">
        <v>84</v>
      </c>
      <c r="C91" s="124"/>
      <c r="D91" s="66"/>
      <c r="E91" s="66">
        <v>4</v>
      </c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>
        <v>2</v>
      </c>
      <c r="T91" s="66"/>
      <c r="U91" s="66"/>
      <c r="V91" s="66"/>
      <c r="W91" s="66"/>
      <c r="X91" s="66"/>
      <c r="Y91" s="66"/>
      <c r="Z91" s="66">
        <v>4</v>
      </c>
      <c r="AA91" s="66"/>
      <c r="AB91" s="66"/>
      <c r="AC91" s="66"/>
      <c r="AD91" s="66"/>
      <c r="AE91" s="63"/>
      <c r="AF91" s="63"/>
      <c r="AG91" s="63"/>
      <c r="AH91" s="64">
        <f t="shared" si="1"/>
        <v>10</v>
      </c>
    </row>
    <row r="92" spans="1:34" ht="15.75" customHeight="1" x14ac:dyDescent="0.3">
      <c r="A92" s="69"/>
      <c r="B92" s="65" t="s">
        <v>85</v>
      </c>
      <c r="C92" s="124"/>
      <c r="D92" s="66"/>
      <c r="E92" s="66">
        <v>5</v>
      </c>
      <c r="F92" s="66"/>
      <c r="G92" s="66"/>
      <c r="H92" s="66"/>
      <c r="I92" s="66"/>
      <c r="J92" s="66">
        <v>3</v>
      </c>
      <c r="K92" s="66"/>
      <c r="L92" s="66"/>
      <c r="M92" s="66"/>
      <c r="N92" s="66"/>
      <c r="O92" s="66"/>
      <c r="P92" s="66"/>
      <c r="Q92" s="66"/>
      <c r="R92" s="66"/>
      <c r="S92" s="66">
        <v>4</v>
      </c>
      <c r="T92" s="66"/>
      <c r="U92" s="66"/>
      <c r="V92" s="66"/>
      <c r="W92" s="66"/>
      <c r="X92" s="66"/>
      <c r="Y92" s="66"/>
      <c r="Z92" s="66">
        <v>2</v>
      </c>
      <c r="AA92" s="66"/>
      <c r="AB92" s="66"/>
      <c r="AC92" s="66"/>
      <c r="AD92" s="66"/>
      <c r="AE92" s="63"/>
      <c r="AF92" s="63">
        <v>3</v>
      </c>
      <c r="AG92" s="63"/>
      <c r="AH92" s="64">
        <f t="shared" si="1"/>
        <v>17</v>
      </c>
    </row>
    <row r="93" spans="1:34" ht="15.75" customHeight="1" x14ac:dyDescent="0.3">
      <c r="A93" s="69"/>
      <c r="B93" s="65" t="s">
        <v>86</v>
      </c>
      <c r="C93" s="124"/>
      <c r="D93" s="66">
        <v>2</v>
      </c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8"/>
      <c r="AA93" s="66"/>
      <c r="AB93" s="66"/>
      <c r="AC93" s="66"/>
      <c r="AD93" s="66"/>
      <c r="AE93" s="63"/>
      <c r="AF93" s="63"/>
      <c r="AG93" s="63"/>
      <c r="AH93" s="64">
        <f t="shared" si="1"/>
        <v>2</v>
      </c>
    </row>
    <row r="94" spans="1:34" ht="15.75" customHeight="1" x14ac:dyDescent="0.3">
      <c r="A94" s="69"/>
      <c r="B94" s="65" t="s">
        <v>87</v>
      </c>
      <c r="C94" s="124"/>
      <c r="D94" s="66">
        <v>3</v>
      </c>
      <c r="E94" s="66"/>
      <c r="F94" s="66"/>
      <c r="G94" s="66"/>
      <c r="H94" s="66"/>
      <c r="I94" s="66">
        <v>3</v>
      </c>
      <c r="J94" s="66"/>
      <c r="K94" s="66"/>
      <c r="L94" s="66">
        <v>4</v>
      </c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3"/>
      <c r="AF94" s="63"/>
      <c r="AG94" s="63"/>
      <c r="AH94" s="64">
        <f t="shared" si="1"/>
        <v>10</v>
      </c>
    </row>
    <row r="95" spans="1:34" ht="15.75" customHeight="1" x14ac:dyDescent="0.3">
      <c r="A95" s="69"/>
      <c r="B95" s="65" t="s">
        <v>88</v>
      </c>
      <c r="C95" s="124"/>
      <c r="D95" s="66">
        <v>3</v>
      </c>
      <c r="E95" s="66"/>
      <c r="F95" s="66"/>
      <c r="G95" s="66"/>
      <c r="H95" s="66"/>
      <c r="I95" s="66"/>
      <c r="J95" s="66">
        <v>3</v>
      </c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>
        <v>3</v>
      </c>
      <c r="AA95" s="66"/>
      <c r="AB95" s="66"/>
      <c r="AC95" s="66"/>
      <c r="AD95" s="66"/>
      <c r="AE95" s="63"/>
      <c r="AF95" s="63">
        <v>3</v>
      </c>
      <c r="AG95" s="63"/>
      <c r="AH95" s="64">
        <f t="shared" si="1"/>
        <v>12</v>
      </c>
    </row>
    <row r="96" spans="1:34" ht="15.75" customHeight="1" x14ac:dyDescent="0.3">
      <c r="A96" s="69"/>
      <c r="B96" s="65" t="s">
        <v>89</v>
      </c>
      <c r="C96" s="124"/>
      <c r="D96" s="66">
        <v>2</v>
      </c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>
        <v>5</v>
      </c>
      <c r="T96" s="66"/>
      <c r="U96" s="104"/>
      <c r="V96" s="66"/>
      <c r="W96" s="66"/>
      <c r="X96" s="66"/>
      <c r="Y96" s="66"/>
      <c r="Z96" s="66">
        <v>3</v>
      </c>
      <c r="AA96" s="66"/>
      <c r="AB96" s="66"/>
      <c r="AC96" s="66"/>
      <c r="AD96" s="66"/>
      <c r="AE96" s="63"/>
      <c r="AF96" s="63"/>
      <c r="AG96" s="63"/>
      <c r="AH96" s="64">
        <f t="shared" si="1"/>
        <v>10</v>
      </c>
    </row>
    <row r="97" spans="1:39" ht="15.75" customHeight="1" x14ac:dyDescent="0.3">
      <c r="A97" s="69"/>
      <c r="B97" s="65" t="s">
        <v>90</v>
      </c>
      <c r="C97" s="124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3"/>
      <c r="AF97" s="63"/>
      <c r="AG97" s="63"/>
      <c r="AH97" s="64">
        <f t="shared" si="1"/>
        <v>0</v>
      </c>
    </row>
    <row r="98" spans="1:39" ht="15.75" customHeight="1" x14ac:dyDescent="0.3">
      <c r="A98" s="69"/>
      <c r="B98" s="65" t="s">
        <v>91</v>
      </c>
      <c r="C98" s="124"/>
      <c r="D98" s="66"/>
      <c r="E98" s="66">
        <v>4</v>
      </c>
      <c r="F98" s="66"/>
      <c r="G98" s="66"/>
      <c r="H98" s="66">
        <v>3</v>
      </c>
      <c r="I98" s="66"/>
      <c r="J98" s="66"/>
      <c r="K98" s="66"/>
      <c r="L98" s="66">
        <v>2</v>
      </c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>
        <v>4</v>
      </c>
      <c r="AB98" s="66"/>
      <c r="AC98" s="66"/>
      <c r="AD98" s="66"/>
      <c r="AE98" s="63"/>
      <c r="AF98" s="63"/>
      <c r="AG98" s="63"/>
      <c r="AH98" s="64">
        <f t="shared" si="1"/>
        <v>13</v>
      </c>
    </row>
    <row r="99" spans="1:39" ht="15.75" customHeight="1" x14ac:dyDescent="0.3">
      <c r="A99" s="69"/>
      <c r="B99" s="65" t="s">
        <v>92</v>
      </c>
      <c r="C99" s="124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3"/>
      <c r="AF99" s="63"/>
      <c r="AG99" s="63"/>
      <c r="AH99" s="64">
        <f t="shared" si="1"/>
        <v>0</v>
      </c>
    </row>
    <row r="100" spans="1:39" ht="15.75" customHeight="1" x14ac:dyDescent="0.3">
      <c r="A100" s="69"/>
      <c r="B100" s="65" t="s">
        <v>93</v>
      </c>
      <c r="C100" s="125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3"/>
      <c r="AF100" s="63"/>
      <c r="AG100" s="63"/>
      <c r="AH100" s="64">
        <f t="shared" si="1"/>
        <v>0</v>
      </c>
    </row>
    <row r="101" spans="1:39" ht="15.75" customHeight="1" x14ac:dyDescent="0.3">
      <c r="A101" s="69"/>
      <c r="B101" s="65" t="s">
        <v>94</v>
      </c>
      <c r="C101" s="124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8"/>
      <c r="AE101" s="63"/>
      <c r="AF101" s="63"/>
      <c r="AG101" s="63"/>
      <c r="AH101" s="64">
        <f t="shared" si="1"/>
        <v>0</v>
      </c>
    </row>
    <row r="102" spans="1:39" ht="15.75" customHeight="1" x14ac:dyDescent="0.3">
      <c r="A102" s="69"/>
      <c r="B102" s="65" t="s">
        <v>221</v>
      </c>
      <c r="C102" s="124"/>
      <c r="D102" s="66">
        <v>2</v>
      </c>
      <c r="E102" s="66"/>
      <c r="F102" s="66"/>
      <c r="G102" s="66"/>
      <c r="H102" s="66"/>
      <c r="I102" s="66"/>
      <c r="J102" s="66">
        <v>7</v>
      </c>
      <c r="K102" s="66"/>
      <c r="L102" s="66"/>
      <c r="M102" s="66">
        <v>3</v>
      </c>
      <c r="N102" s="66"/>
      <c r="O102" s="66"/>
      <c r="P102" s="66"/>
      <c r="Q102" s="66"/>
      <c r="R102" s="66"/>
      <c r="S102" s="66">
        <v>5</v>
      </c>
      <c r="T102" s="66"/>
      <c r="U102" s="66"/>
      <c r="V102" s="66"/>
      <c r="W102" s="66"/>
      <c r="X102" s="66">
        <v>2</v>
      </c>
      <c r="Y102" s="66"/>
      <c r="Z102" s="66"/>
      <c r="AA102" s="66"/>
      <c r="AB102" s="66"/>
      <c r="AC102" s="66"/>
      <c r="AD102" s="66"/>
      <c r="AE102" s="63"/>
      <c r="AF102" s="63">
        <v>4</v>
      </c>
      <c r="AG102" s="63"/>
      <c r="AH102" s="64">
        <f t="shared" si="1"/>
        <v>23</v>
      </c>
    </row>
    <row r="103" spans="1:39" ht="15.75" customHeight="1" x14ac:dyDescent="0.3">
      <c r="A103" s="69"/>
      <c r="B103" s="67" t="s">
        <v>95</v>
      </c>
      <c r="C103" s="124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3"/>
      <c r="AF103" s="63"/>
      <c r="AG103" s="63"/>
      <c r="AH103" s="64">
        <f t="shared" si="1"/>
        <v>0</v>
      </c>
    </row>
    <row r="104" spans="1:39" ht="15.75" customHeight="1" x14ac:dyDescent="0.3">
      <c r="A104" s="69"/>
      <c r="B104" s="67" t="s">
        <v>96</v>
      </c>
      <c r="C104" s="124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3"/>
      <c r="AF104" s="63"/>
      <c r="AG104" s="63"/>
      <c r="AH104" s="64">
        <f t="shared" si="1"/>
        <v>0</v>
      </c>
    </row>
    <row r="105" spans="1:39" ht="15.75" customHeight="1" x14ac:dyDescent="0.3">
      <c r="A105" s="69"/>
      <c r="B105" s="65" t="s">
        <v>98</v>
      </c>
      <c r="C105" s="124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3"/>
      <c r="AF105" s="63"/>
      <c r="AG105" s="63"/>
      <c r="AH105" s="64">
        <f t="shared" si="1"/>
        <v>0</v>
      </c>
    </row>
    <row r="106" spans="1:39" ht="15.75" customHeight="1" x14ac:dyDescent="0.3">
      <c r="A106" s="69"/>
      <c r="B106" s="67" t="s">
        <v>463</v>
      </c>
      <c r="C106" s="124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3"/>
      <c r="AF106" s="63"/>
      <c r="AG106" s="63"/>
      <c r="AH106" s="64">
        <f t="shared" si="1"/>
        <v>0</v>
      </c>
    </row>
    <row r="107" spans="1:39" ht="15.75" customHeight="1" x14ac:dyDescent="0.3">
      <c r="A107" s="69"/>
      <c r="B107" s="65" t="s">
        <v>100</v>
      </c>
      <c r="C107" s="124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3"/>
      <c r="AF107" s="63"/>
      <c r="AG107" s="63"/>
      <c r="AH107" s="64">
        <f t="shared" si="1"/>
        <v>0</v>
      </c>
    </row>
    <row r="108" spans="1:39" ht="15.75" customHeight="1" x14ac:dyDescent="0.3">
      <c r="A108" s="69"/>
      <c r="B108" s="67" t="s">
        <v>101</v>
      </c>
      <c r="C108" s="124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3"/>
      <c r="AF108" s="63"/>
      <c r="AG108" s="63"/>
      <c r="AH108" s="64">
        <f t="shared" si="1"/>
        <v>0</v>
      </c>
    </row>
    <row r="109" spans="1:39" ht="15.75" customHeight="1" x14ac:dyDescent="0.3">
      <c r="A109" s="69"/>
      <c r="B109" s="65" t="s">
        <v>102</v>
      </c>
      <c r="C109" s="124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3"/>
      <c r="AF109" s="63"/>
      <c r="AG109" s="63"/>
      <c r="AH109" s="64">
        <f t="shared" si="1"/>
        <v>0</v>
      </c>
    </row>
    <row r="110" spans="1:39" ht="15.75" customHeight="1" x14ac:dyDescent="0.3">
      <c r="A110" s="69"/>
      <c r="B110" s="65" t="s">
        <v>108</v>
      </c>
      <c r="C110" s="124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3"/>
      <c r="AF110" s="63"/>
      <c r="AG110" s="63"/>
      <c r="AH110" s="64">
        <f t="shared" si="1"/>
        <v>0</v>
      </c>
      <c r="AI110" s="44"/>
      <c r="AJ110" s="44"/>
      <c r="AK110" s="44"/>
      <c r="AL110" s="44"/>
      <c r="AM110" s="44"/>
    </row>
    <row r="111" spans="1:39" ht="15.75" customHeight="1" x14ac:dyDescent="0.3">
      <c r="A111" s="69"/>
      <c r="B111" s="65" t="s">
        <v>111</v>
      </c>
      <c r="C111" s="124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3"/>
      <c r="AF111" s="63"/>
      <c r="AG111" s="63"/>
      <c r="AH111" s="64">
        <f t="shared" si="1"/>
        <v>0</v>
      </c>
    </row>
    <row r="112" spans="1:39" ht="15.75" customHeight="1" x14ac:dyDescent="0.3">
      <c r="A112" s="69"/>
      <c r="B112" s="65" t="s">
        <v>113</v>
      </c>
      <c r="C112" s="124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3"/>
      <c r="AF112" s="63"/>
      <c r="AG112" s="63"/>
      <c r="AH112" s="64">
        <f t="shared" si="1"/>
        <v>0</v>
      </c>
    </row>
    <row r="113" spans="1:34" ht="15.75" customHeight="1" x14ac:dyDescent="0.3">
      <c r="A113" s="69"/>
      <c r="B113" s="65" t="s">
        <v>114</v>
      </c>
      <c r="C113" s="124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3"/>
      <c r="AF113" s="63"/>
      <c r="AG113" s="63"/>
      <c r="AH113" s="64">
        <f t="shared" si="1"/>
        <v>0</v>
      </c>
    </row>
    <row r="114" spans="1:34" ht="15.75" customHeight="1" x14ac:dyDescent="0.3">
      <c r="A114" s="69"/>
      <c r="B114" s="65" t="s">
        <v>115</v>
      </c>
      <c r="C114" s="124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3"/>
      <c r="AF114" s="63"/>
      <c r="AG114" s="63"/>
      <c r="AH114" s="64">
        <f t="shared" si="1"/>
        <v>0</v>
      </c>
    </row>
    <row r="115" spans="1:34" ht="15.75" customHeight="1" x14ac:dyDescent="0.3">
      <c r="A115" s="69"/>
      <c r="B115" s="65" t="s">
        <v>116</v>
      </c>
      <c r="C115" s="124"/>
      <c r="D115" s="66"/>
      <c r="E115" s="66"/>
      <c r="F115" s="66"/>
      <c r="G115" s="66"/>
      <c r="H115" s="66"/>
      <c r="I115" s="66"/>
      <c r="J115" s="66"/>
      <c r="K115" s="66"/>
      <c r="L115" s="66">
        <v>5</v>
      </c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>
        <v>4</v>
      </c>
      <c r="AA115" s="66"/>
      <c r="AB115" s="66"/>
      <c r="AC115" s="66"/>
      <c r="AD115" s="66"/>
      <c r="AE115" s="63"/>
      <c r="AF115" s="63"/>
      <c r="AG115" s="63"/>
      <c r="AH115" s="64">
        <f t="shared" si="1"/>
        <v>9</v>
      </c>
    </row>
    <row r="116" spans="1:34" ht="15.75" customHeight="1" x14ac:dyDescent="0.3">
      <c r="A116" s="69"/>
      <c r="B116" s="65" t="s">
        <v>117</v>
      </c>
      <c r="C116" s="124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3"/>
      <c r="AF116" s="63"/>
      <c r="AG116" s="63"/>
      <c r="AH116" s="64">
        <f t="shared" si="1"/>
        <v>0</v>
      </c>
    </row>
    <row r="117" spans="1:34" ht="15.75" customHeight="1" x14ac:dyDescent="0.3">
      <c r="A117" s="69"/>
      <c r="B117" s="65" t="s">
        <v>118</v>
      </c>
      <c r="C117" s="124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3"/>
      <c r="AF117" s="63"/>
      <c r="AG117" s="63"/>
      <c r="AH117" s="64">
        <f t="shared" si="1"/>
        <v>0</v>
      </c>
    </row>
    <row r="118" spans="1:34" ht="15.75" customHeight="1" x14ac:dyDescent="0.3">
      <c r="A118" s="69"/>
      <c r="B118" s="65" t="s">
        <v>119</v>
      </c>
      <c r="C118" s="124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3"/>
      <c r="AF118" s="63"/>
      <c r="AG118" s="63"/>
      <c r="AH118" s="64">
        <f t="shared" si="1"/>
        <v>0</v>
      </c>
    </row>
    <row r="119" spans="1:34" ht="15.75" customHeight="1" x14ac:dyDescent="0.3">
      <c r="A119" s="69"/>
      <c r="B119" s="67" t="s">
        <v>120</v>
      </c>
      <c r="C119" s="124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3"/>
      <c r="AF119" s="63"/>
      <c r="AG119" s="63"/>
      <c r="AH119" s="64">
        <f t="shared" si="1"/>
        <v>0</v>
      </c>
    </row>
    <row r="120" spans="1:34" ht="15.75" customHeight="1" x14ac:dyDescent="0.3">
      <c r="A120" s="69"/>
      <c r="B120" s="65" t="s">
        <v>121</v>
      </c>
      <c r="C120" s="124"/>
      <c r="D120" s="66"/>
      <c r="E120" s="66">
        <v>2</v>
      </c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>
        <v>3</v>
      </c>
      <c r="AB120" s="66"/>
      <c r="AC120" s="66"/>
      <c r="AD120" s="66"/>
      <c r="AE120" s="63"/>
      <c r="AF120" s="63"/>
      <c r="AG120" s="63"/>
      <c r="AH120" s="64">
        <f t="shared" si="1"/>
        <v>5</v>
      </c>
    </row>
    <row r="121" spans="1:34" ht="15.75" customHeight="1" x14ac:dyDescent="0.3">
      <c r="A121" s="69"/>
      <c r="B121" s="65" t="s">
        <v>122</v>
      </c>
      <c r="C121" s="124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3"/>
      <c r="AF121" s="63"/>
      <c r="AG121" s="63"/>
      <c r="AH121" s="64">
        <f t="shared" si="1"/>
        <v>0</v>
      </c>
    </row>
    <row r="122" spans="1:34" ht="15.75" customHeight="1" x14ac:dyDescent="0.3">
      <c r="A122" s="69"/>
      <c r="B122" s="65" t="s">
        <v>124</v>
      </c>
      <c r="C122" s="124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3"/>
      <c r="AF122" s="63"/>
      <c r="AG122" s="63"/>
      <c r="AH122" s="64">
        <f t="shared" si="1"/>
        <v>0</v>
      </c>
    </row>
    <row r="123" spans="1:34" ht="15.75" customHeight="1" x14ac:dyDescent="0.3">
      <c r="A123" s="69"/>
      <c r="B123" s="65" t="s">
        <v>126</v>
      </c>
      <c r="C123" s="124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3"/>
      <c r="AF123" s="63"/>
      <c r="AG123" s="63"/>
      <c r="AH123" s="64">
        <f t="shared" si="1"/>
        <v>0</v>
      </c>
    </row>
    <row r="124" spans="1:34" ht="15.75" customHeight="1" x14ac:dyDescent="0.3">
      <c r="A124" s="69"/>
      <c r="B124" s="67" t="s">
        <v>127</v>
      </c>
      <c r="C124" s="124"/>
      <c r="D124" s="66"/>
      <c r="E124" s="66"/>
      <c r="F124" s="66"/>
      <c r="G124" s="66"/>
      <c r="H124" s="66"/>
      <c r="I124" s="66"/>
      <c r="J124" s="66">
        <v>5</v>
      </c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3"/>
      <c r="AF124" s="63"/>
      <c r="AG124" s="63"/>
      <c r="AH124" s="64">
        <f t="shared" si="1"/>
        <v>5</v>
      </c>
    </row>
    <row r="125" spans="1:34" ht="15.75" customHeight="1" x14ac:dyDescent="0.3">
      <c r="A125" s="69"/>
      <c r="B125" s="65" t="s">
        <v>128</v>
      </c>
      <c r="C125" s="124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3"/>
      <c r="AF125" s="63"/>
      <c r="AG125" s="63"/>
      <c r="AH125" s="64">
        <f t="shared" si="1"/>
        <v>0</v>
      </c>
    </row>
    <row r="126" spans="1:34" ht="15.75" customHeight="1" x14ac:dyDescent="0.3">
      <c r="A126" s="69"/>
      <c r="B126" s="65" t="s">
        <v>129</v>
      </c>
      <c r="C126" s="124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3"/>
      <c r="AF126" s="63"/>
      <c r="AG126" s="63"/>
      <c r="AH126" s="64">
        <f t="shared" si="1"/>
        <v>0</v>
      </c>
    </row>
    <row r="127" spans="1:34" ht="15.75" customHeight="1" x14ac:dyDescent="0.3">
      <c r="A127" s="69"/>
      <c r="B127" s="67" t="s">
        <v>130</v>
      </c>
      <c r="C127" s="124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3"/>
      <c r="AF127" s="63"/>
      <c r="AG127" s="63"/>
      <c r="AH127" s="64">
        <f t="shared" si="1"/>
        <v>0</v>
      </c>
    </row>
    <row r="128" spans="1:34" ht="15.75" customHeight="1" x14ac:dyDescent="0.3">
      <c r="A128" s="69"/>
      <c r="B128" s="65" t="s">
        <v>132</v>
      </c>
      <c r="C128" s="124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>
        <v>2</v>
      </c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3"/>
      <c r="AF128" s="63"/>
      <c r="AG128" s="63"/>
      <c r="AH128" s="64">
        <f t="shared" si="1"/>
        <v>2</v>
      </c>
    </row>
    <row r="129" spans="1:39" ht="15.75" customHeight="1" x14ac:dyDescent="0.3">
      <c r="A129" s="69"/>
      <c r="B129" s="65" t="s">
        <v>135</v>
      </c>
      <c r="C129" s="124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3"/>
      <c r="AF129" s="63"/>
      <c r="AG129" s="63"/>
      <c r="AH129" s="64">
        <f t="shared" si="1"/>
        <v>0</v>
      </c>
    </row>
    <row r="130" spans="1:39" ht="15.75" customHeight="1" x14ac:dyDescent="0.3">
      <c r="A130" s="69"/>
      <c r="B130" s="65" t="s">
        <v>136</v>
      </c>
      <c r="C130" s="124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3"/>
      <c r="AF130" s="63"/>
      <c r="AG130" s="63"/>
      <c r="AH130" s="64">
        <f t="shared" si="1"/>
        <v>0</v>
      </c>
    </row>
    <row r="131" spans="1:39" ht="15.75" customHeight="1" x14ac:dyDescent="0.3">
      <c r="A131" s="69"/>
      <c r="B131" s="67" t="s">
        <v>137</v>
      </c>
      <c r="C131" s="124">
        <v>2</v>
      </c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>
        <v>2</v>
      </c>
      <c r="P131" s="66"/>
      <c r="Q131" s="66"/>
      <c r="R131" s="66"/>
      <c r="S131" s="66"/>
      <c r="T131" s="66"/>
      <c r="U131" s="66"/>
      <c r="V131" s="66">
        <v>3</v>
      </c>
      <c r="W131" s="66"/>
      <c r="X131" s="66"/>
      <c r="Y131" s="66"/>
      <c r="Z131" s="66"/>
      <c r="AA131" s="66"/>
      <c r="AB131" s="66"/>
      <c r="AC131" s="66">
        <v>3</v>
      </c>
      <c r="AD131" s="66"/>
      <c r="AE131" s="63"/>
      <c r="AF131" s="63"/>
      <c r="AG131" s="63"/>
      <c r="AH131" s="64">
        <f t="shared" si="1"/>
        <v>10</v>
      </c>
    </row>
    <row r="132" spans="1:39" ht="15.75" customHeight="1" x14ac:dyDescent="0.3">
      <c r="A132" s="69"/>
      <c r="B132" s="65" t="s">
        <v>138</v>
      </c>
      <c r="C132" s="124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3"/>
      <c r="AF132" s="63"/>
      <c r="AG132" s="63"/>
      <c r="AH132" s="64">
        <f t="shared" ref="AH132:AH195" si="2">SUM(C132:AG132)</f>
        <v>0</v>
      </c>
    </row>
    <row r="133" spans="1:39" ht="15.75" customHeight="1" x14ac:dyDescent="0.3">
      <c r="A133" s="69"/>
      <c r="B133" s="67" t="s">
        <v>139</v>
      </c>
      <c r="C133" s="124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3"/>
      <c r="AF133" s="63"/>
      <c r="AG133" s="63"/>
      <c r="AH133" s="64">
        <f t="shared" si="2"/>
        <v>0</v>
      </c>
    </row>
    <row r="134" spans="1:39" ht="15.75" customHeight="1" x14ac:dyDescent="0.3">
      <c r="A134" s="69"/>
      <c r="B134" s="65" t="s">
        <v>140</v>
      </c>
      <c r="C134" s="124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3"/>
      <c r="AF134" s="63"/>
      <c r="AG134" s="63"/>
      <c r="AH134" s="64">
        <f t="shared" si="2"/>
        <v>0</v>
      </c>
    </row>
    <row r="135" spans="1:39" ht="15.75" customHeight="1" x14ac:dyDescent="0.3">
      <c r="A135" s="69"/>
      <c r="B135" s="67" t="s">
        <v>141</v>
      </c>
      <c r="C135" s="124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3"/>
      <c r="AF135" s="63"/>
      <c r="AG135" s="63"/>
      <c r="AH135" s="64">
        <f t="shared" si="2"/>
        <v>0</v>
      </c>
      <c r="AI135" s="44"/>
      <c r="AJ135" s="44"/>
      <c r="AK135" s="44"/>
      <c r="AL135" s="44"/>
      <c r="AM135" s="44"/>
    </row>
    <row r="136" spans="1:39" ht="15.75" customHeight="1" x14ac:dyDescent="0.3">
      <c r="A136" s="69"/>
      <c r="B136" s="65" t="s">
        <v>142</v>
      </c>
      <c r="C136" s="124">
        <v>2</v>
      </c>
      <c r="D136" s="66"/>
      <c r="E136" s="66"/>
      <c r="F136" s="66"/>
      <c r="G136" s="66"/>
      <c r="H136" s="66"/>
      <c r="I136" s="66"/>
      <c r="J136" s="66"/>
      <c r="K136" s="66"/>
      <c r="L136" s="66">
        <v>3</v>
      </c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>
        <v>2</v>
      </c>
      <c r="AD136" s="66"/>
      <c r="AE136" s="63"/>
      <c r="AF136" s="63"/>
      <c r="AG136" s="63"/>
      <c r="AH136" s="64">
        <f t="shared" si="2"/>
        <v>7</v>
      </c>
    </row>
    <row r="137" spans="1:39" ht="15.75" customHeight="1" x14ac:dyDescent="0.3">
      <c r="A137" s="69"/>
      <c r="B137" s="65" t="s">
        <v>143</v>
      </c>
      <c r="C137" s="124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3"/>
      <c r="AF137" s="63"/>
      <c r="AG137" s="63"/>
      <c r="AH137" s="64">
        <f t="shared" si="2"/>
        <v>0</v>
      </c>
    </row>
    <row r="138" spans="1:39" ht="15.75" customHeight="1" x14ac:dyDescent="0.3">
      <c r="A138" s="69"/>
      <c r="B138" s="65" t="s">
        <v>144</v>
      </c>
      <c r="C138" s="124"/>
      <c r="D138" s="66"/>
      <c r="E138" s="66"/>
      <c r="F138" s="66">
        <v>2</v>
      </c>
      <c r="G138" s="66"/>
      <c r="H138" s="66"/>
      <c r="I138" s="66"/>
      <c r="J138" s="66">
        <v>3</v>
      </c>
      <c r="K138" s="66"/>
      <c r="L138" s="66"/>
      <c r="M138" s="66"/>
      <c r="N138" s="66"/>
      <c r="O138" s="66">
        <v>2</v>
      </c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3"/>
      <c r="AF138" s="63"/>
      <c r="AG138" s="63"/>
      <c r="AH138" s="64">
        <f t="shared" si="2"/>
        <v>7</v>
      </c>
      <c r="AI138" s="44"/>
      <c r="AJ138" s="44"/>
      <c r="AK138" s="44"/>
      <c r="AL138" s="44"/>
      <c r="AM138" s="44"/>
    </row>
    <row r="139" spans="1:39" ht="15.75" customHeight="1" x14ac:dyDescent="0.3">
      <c r="A139" s="69"/>
      <c r="B139" s="67" t="s">
        <v>145</v>
      </c>
      <c r="C139" s="124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3"/>
      <c r="AF139" s="63"/>
      <c r="AG139" s="63"/>
      <c r="AH139" s="64">
        <f t="shared" si="2"/>
        <v>0</v>
      </c>
    </row>
    <row r="140" spans="1:39" ht="15.75" customHeight="1" x14ac:dyDescent="0.3">
      <c r="A140" s="69"/>
      <c r="B140" s="65" t="s">
        <v>146</v>
      </c>
      <c r="C140" s="124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3"/>
      <c r="AF140" s="63"/>
      <c r="AG140" s="63"/>
      <c r="AH140" s="64">
        <f t="shared" si="2"/>
        <v>0</v>
      </c>
    </row>
    <row r="141" spans="1:39" ht="15.75" customHeight="1" x14ac:dyDescent="0.3">
      <c r="A141" s="69"/>
      <c r="B141" s="67" t="s">
        <v>147</v>
      </c>
      <c r="C141" s="124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3"/>
      <c r="AF141" s="63"/>
      <c r="AG141" s="63"/>
      <c r="AH141" s="64">
        <f t="shared" si="2"/>
        <v>0</v>
      </c>
    </row>
    <row r="142" spans="1:39" ht="15.75" customHeight="1" x14ac:dyDescent="0.3">
      <c r="A142" s="69"/>
      <c r="B142" s="67" t="s">
        <v>148</v>
      </c>
      <c r="C142" s="124"/>
      <c r="D142" s="66"/>
      <c r="E142" s="66"/>
      <c r="F142" s="66"/>
      <c r="G142" s="66"/>
      <c r="H142" s="66">
        <v>5</v>
      </c>
      <c r="I142" s="66"/>
      <c r="J142" s="66"/>
      <c r="K142" s="66"/>
      <c r="L142" s="66"/>
      <c r="M142" s="66"/>
      <c r="N142" s="66"/>
      <c r="O142" s="66">
        <v>4</v>
      </c>
      <c r="P142" s="66"/>
      <c r="Q142" s="66"/>
      <c r="R142" s="66"/>
      <c r="S142" s="66"/>
      <c r="T142" s="66"/>
      <c r="U142" s="66"/>
      <c r="V142" s="66">
        <v>6</v>
      </c>
      <c r="W142" s="66"/>
      <c r="X142" s="66"/>
      <c r="Y142" s="66"/>
      <c r="Z142" s="66"/>
      <c r="AA142" s="66"/>
      <c r="AB142" s="66"/>
      <c r="AC142" s="66">
        <v>5</v>
      </c>
      <c r="AD142" s="66"/>
      <c r="AE142" s="63"/>
      <c r="AF142" s="63"/>
      <c r="AG142" s="63"/>
      <c r="AH142" s="64">
        <f t="shared" si="2"/>
        <v>20</v>
      </c>
    </row>
    <row r="143" spans="1:39" ht="15.75" customHeight="1" x14ac:dyDescent="0.3">
      <c r="A143" s="69"/>
      <c r="B143" s="65" t="s">
        <v>149</v>
      </c>
      <c r="C143" s="124">
        <v>5</v>
      </c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8">
        <v>4</v>
      </c>
      <c r="AA143" s="66"/>
      <c r="AB143" s="66"/>
      <c r="AC143" s="66"/>
      <c r="AD143" s="66"/>
      <c r="AE143" s="63"/>
      <c r="AF143" s="63"/>
      <c r="AG143" s="63"/>
      <c r="AH143" s="64">
        <f t="shared" si="2"/>
        <v>9</v>
      </c>
    </row>
    <row r="144" spans="1:39" ht="15.75" customHeight="1" x14ac:dyDescent="0.3">
      <c r="A144" s="69"/>
      <c r="B144" s="65" t="s">
        <v>150</v>
      </c>
      <c r="C144" s="124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3"/>
      <c r="AF144" s="63"/>
      <c r="AG144" s="63"/>
      <c r="AH144" s="64">
        <f t="shared" si="2"/>
        <v>0</v>
      </c>
    </row>
    <row r="145" spans="1:39" ht="15.75" customHeight="1" x14ac:dyDescent="0.3">
      <c r="A145" s="69"/>
      <c r="B145" s="65" t="s">
        <v>151</v>
      </c>
      <c r="C145" s="124"/>
      <c r="D145" s="66"/>
      <c r="E145" s="66"/>
      <c r="F145" s="66"/>
      <c r="G145" s="66"/>
      <c r="H145" s="66">
        <v>4</v>
      </c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3"/>
      <c r="AF145" s="63"/>
      <c r="AG145" s="63"/>
      <c r="AH145" s="64">
        <f t="shared" si="2"/>
        <v>4</v>
      </c>
    </row>
    <row r="146" spans="1:39" ht="15.75" customHeight="1" x14ac:dyDescent="0.3">
      <c r="A146" s="69"/>
      <c r="B146" s="65" t="s">
        <v>152</v>
      </c>
      <c r="C146" s="124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3"/>
      <c r="AF146" s="63"/>
      <c r="AG146" s="63"/>
      <c r="AH146" s="64">
        <f t="shared" si="2"/>
        <v>0</v>
      </c>
    </row>
    <row r="147" spans="1:39" ht="15.75" customHeight="1" x14ac:dyDescent="0.3">
      <c r="A147" s="69"/>
      <c r="B147" s="65" t="s">
        <v>153</v>
      </c>
      <c r="C147" s="124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>
        <v>2</v>
      </c>
      <c r="AD147" s="66"/>
      <c r="AE147" s="63"/>
      <c r="AF147" s="63"/>
      <c r="AG147" s="63"/>
      <c r="AH147" s="64">
        <f t="shared" si="2"/>
        <v>2</v>
      </c>
    </row>
    <row r="148" spans="1:39" ht="15.75" customHeight="1" x14ac:dyDescent="0.3">
      <c r="A148" s="69"/>
      <c r="B148" s="65" t="s">
        <v>154</v>
      </c>
      <c r="C148" s="124">
        <v>2</v>
      </c>
      <c r="D148" s="66"/>
      <c r="E148" s="66"/>
      <c r="F148" s="66"/>
      <c r="G148" s="66"/>
      <c r="H148" s="66"/>
      <c r="I148" s="66">
        <v>2</v>
      </c>
      <c r="J148" s="66"/>
      <c r="K148" s="66"/>
      <c r="L148" s="66"/>
      <c r="M148" s="66"/>
      <c r="N148" s="66"/>
      <c r="O148" s="66"/>
      <c r="P148" s="66"/>
      <c r="Q148" s="66"/>
      <c r="R148" s="66">
        <v>3</v>
      </c>
      <c r="S148" s="66"/>
      <c r="T148" s="66"/>
      <c r="U148" s="66"/>
      <c r="V148" s="66">
        <v>2</v>
      </c>
      <c r="W148" s="66"/>
      <c r="X148" s="66"/>
      <c r="Y148" s="66"/>
      <c r="Z148" s="68"/>
      <c r="AA148" s="66"/>
      <c r="AB148" s="66"/>
      <c r="AC148" s="66"/>
      <c r="AD148" s="68"/>
      <c r="AE148" s="63"/>
      <c r="AF148" s="63"/>
      <c r="AG148" s="63"/>
      <c r="AH148" s="64">
        <f t="shared" si="2"/>
        <v>9</v>
      </c>
    </row>
    <row r="149" spans="1:39" ht="15.75" customHeight="1" x14ac:dyDescent="0.3">
      <c r="A149" s="69"/>
      <c r="B149" s="65" t="s">
        <v>155</v>
      </c>
      <c r="C149" s="124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3"/>
      <c r="AF149" s="63"/>
      <c r="AG149" s="63"/>
      <c r="AH149" s="64">
        <f t="shared" si="2"/>
        <v>0</v>
      </c>
    </row>
    <row r="150" spans="1:39" ht="15.75" customHeight="1" x14ac:dyDescent="0.3">
      <c r="A150" s="69"/>
      <c r="B150" s="65" t="s">
        <v>156</v>
      </c>
      <c r="C150" s="124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3"/>
      <c r="AF150" s="63"/>
      <c r="AG150" s="63"/>
      <c r="AH150" s="64">
        <f t="shared" si="2"/>
        <v>0</v>
      </c>
    </row>
    <row r="151" spans="1:39" ht="15.75" customHeight="1" x14ac:dyDescent="0.3">
      <c r="A151" s="69"/>
      <c r="B151" s="65" t="s">
        <v>157</v>
      </c>
      <c r="C151" s="124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3"/>
      <c r="AF151" s="63"/>
      <c r="AG151" s="63"/>
      <c r="AH151" s="64">
        <f t="shared" si="2"/>
        <v>0</v>
      </c>
    </row>
    <row r="152" spans="1:39" ht="15.75" customHeight="1" x14ac:dyDescent="0.3">
      <c r="A152" s="69"/>
      <c r="B152" s="67" t="s">
        <v>158</v>
      </c>
      <c r="C152" s="124"/>
      <c r="D152" s="66"/>
      <c r="E152" s="66"/>
      <c r="F152" s="66"/>
      <c r="G152" s="66"/>
      <c r="H152" s="66"/>
      <c r="I152" s="66">
        <v>7</v>
      </c>
      <c r="J152" s="66"/>
      <c r="K152" s="66"/>
      <c r="L152" s="66"/>
      <c r="M152" s="66"/>
      <c r="N152" s="66"/>
      <c r="O152" s="66"/>
      <c r="P152" s="66"/>
      <c r="Q152" s="66">
        <v>4</v>
      </c>
      <c r="R152" s="66"/>
      <c r="S152" s="66"/>
      <c r="T152" s="66"/>
      <c r="U152" s="66"/>
      <c r="V152" s="66">
        <v>3</v>
      </c>
      <c r="W152" s="66"/>
      <c r="X152" s="66"/>
      <c r="Y152" s="66"/>
      <c r="Z152" s="66"/>
      <c r="AA152" s="66"/>
      <c r="AB152" s="66"/>
      <c r="AC152" s="66">
        <v>6</v>
      </c>
      <c r="AD152" s="66"/>
      <c r="AE152" s="63"/>
      <c r="AF152" s="63"/>
      <c r="AG152" s="63"/>
      <c r="AH152" s="64">
        <f t="shared" si="2"/>
        <v>20</v>
      </c>
    </row>
    <row r="153" spans="1:39" ht="15.75" customHeight="1" x14ac:dyDescent="0.3">
      <c r="A153" s="69"/>
      <c r="B153" s="65" t="s">
        <v>159</v>
      </c>
      <c r="C153" s="124">
        <v>6</v>
      </c>
      <c r="D153" s="66"/>
      <c r="E153" s="66"/>
      <c r="F153" s="66"/>
      <c r="G153" s="66"/>
      <c r="H153" s="66"/>
      <c r="I153" s="66">
        <v>7</v>
      </c>
      <c r="J153" s="66"/>
      <c r="K153" s="66"/>
      <c r="L153" s="66"/>
      <c r="M153" s="66"/>
      <c r="N153" s="66"/>
      <c r="O153" s="66">
        <v>4</v>
      </c>
      <c r="P153" s="66"/>
      <c r="Q153" s="66"/>
      <c r="R153" s="66"/>
      <c r="S153" s="66"/>
      <c r="T153" s="66"/>
      <c r="U153" s="66"/>
      <c r="V153" s="66">
        <v>3</v>
      </c>
      <c r="W153" s="66"/>
      <c r="X153" s="66"/>
      <c r="Y153" s="66"/>
      <c r="Z153" s="66"/>
      <c r="AA153" s="66"/>
      <c r="AB153" s="66"/>
      <c r="AC153" s="66"/>
      <c r="AD153" s="66"/>
      <c r="AE153" s="63"/>
      <c r="AF153" s="63"/>
      <c r="AG153" s="63"/>
      <c r="AH153" s="64">
        <f t="shared" si="2"/>
        <v>20</v>
      </c>
    </row>
    <row r="154" spans="1:39" ht="15.75" customHeight="1" x14ac:dyDescent="0.3">
      <c r="A154" s="69"/>
      <c r="B154" s="65" t="s">
        <v>160</v>
      </c>
      <c r="C154" s="124"/>
      <c r="D154" s="66"/>
      <c r="E154" s="66"/>
      <c r="F154" s="66"/>
      <c r="G154" s="66"/>
      <c r="H154" s="66"/>
      <c r="I154" s="66"/>
      <c r="J154" s="66">
        <v>5</v>
      </c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3"/>
      <c r="AF154" s="63">
        <v>4</v>
      </c>
      <c r="AG154" s="63"/>
      <c r="AH154" s="64">
        <f t="shared" si="2"/>
        <v>9</v>
      </c>
    </row>
    <row r="155" spans="1:39" ht="15.75" customHeight="1" x14ac:dyDescent="0.3">
      <c r="A155" s="69"/>
      <c r="B155" s="65" t="s">
        <v>161</v>
      </c>
      <c r="C155" s="124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3"/>
      <c r="AF155" s="63"/>
      <c r="AG155" s="63"/>
      <c r="AH155" s="64">
        <f t="shared" si="2"/>
        <v>0</v>
      </c>
      <c r="AI155" s="44"/>
      <c r="AJ155" s="44"/>
      <c r="AK155" s="44"/>
      <c r="AL155" s="44"/>
      <c r="AM155" s="44"/>
    </row>
    <row r="156" spans="1:39" ht="15.75" customHeight="1" x14ac:dyDescent="0.3">
      <c r="A156" s="69"/>
      <c r="B156" s="65" t="s">
        <v>162</v>
      </c>
      <c r="C156" s="124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3"/>
      <c r="AF156" s="63"/>
      <c r="AG156" s="63"/>
      <c r="AH156" s="64">
        <f t="shared" si="2"/>
        <v>0</v>
      </c>
      <c r="AI156" s="44"/>
      <c r="AJ156" s="44"/>
      <c r="AK156" s="44"/>
      <c r="AL156" s="44"/>
      <c r="AM156" s="44"/>
    </row>
    <row r="157" spans="1:39" ht="15.75" customHeight="1" x14ac:dyDescent="0.3">
      <c r="A157" s="69"/>
      <c r="B157" s="65" t="s">
        <v>163</v>
      </c>
      <c r="C157" s="124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3"/>
      <c r="AF157" s="63"/>
      <c r="AG157" s="63"/>
      <c r="AH157" s="64">
        <f t="shared" si="2"/>
        <v>0</v>
      </c>
    </row>
    <row r="158" spans="1:39" ht="15.75" customHeight="1" x14ac:dyDescent="0.3">
      <c r="A158" s="69"/>
      <c r="B158" s="65" t="s">
        <v>164</v>
      </c>
      <c r="C158" s="124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3"/>
      <c r="AF158" s="63"/>
      <c r="AG158" s="63"/>
      <c r="AH158" s="64">
        <f t="shared" si="2"/>
        <v>0</v>
      </c>
    </row>
    <row r="159" spans="1:39" ht="15.75" customHeight="1" x14ac:dyDescent="0.3">
      <c r="A159" s="69"/>
      <c r="B159" s="67" t="s">
        <v>165</v>
      </c>
      <c r="C159" s="124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3"/>
      <c r="AF159" s="63"/>
      <c r="AG159" s="63"/>
      <c r="AH159" s="64">
        <f t="shared" si="2"/>
        <v>0</v>
      </c>
    </row>
    <row r="160" spans="1:39" ht="15.75" customHeight="1" x14ac:dyDescent="0.3">
      <c r="A160" s="69"/>
      <c r="B160" s="67" t="s">
        <v>166</v>
      </c>
      <c r="C160" s="124"/>
      <c r="D160" s="66"/>
      <c r="E160" s="66"/>
      <c r="F160" s="66"/>
      <c r="G160" s="66"/>
      <c r="H160" s="66"/>
      <c r="I160" s="66">
        <v>3</v>
      </c>
      <c r="J160" s="66"/>
      <c r="K160" s="66"/>
      <c r="L160" s="66">
        <v>3</v>
      </c>
      <c r="M160" s="66"/>
      <c r="N160" s="66"/>
      <c r="O160" s="66"/>
      <c r="P160" s="66"/>
      <c r="Q160" s="66"/>
      <c r="R160" s="66">
        <v>2</v>
      </c>
      <c r="S160" s="66"/>
      <c r="T160" s="66"/>
      <c r="U160" s="66"/>
      <c r="V160" s="66"/>
      <c r="W160" s="66"/>
      <c r="X160" s="66"/>
      <c r="Y160" s="66">
        <v>3</v>
      </c>
      <c r="Z160" s="66"/>
      <c r="AA160" s="66"/>
      <c r="AB160" s="66"/>
      <c r="AC160" s="66"/>
      <c r="AD160" s="66">
        <v>3</v>
      </c>
      <c r="AE160" s="63"/>
      <c r="AF160" s="63"/>
      <c r="AG160" s="63"/>
      <c r="AH160" s="64">
        <f t="shared" si="2"/>
        <v>14</v>
      </c>
    </row>
    <row r="161" spans="1:34" ht="15.75" customHeight="1" x14ac:dyDescent="0.3">
      <c r="A161" s="69"/>
      <c r="B161" s="65" t="s">
        <v>168</v>
      </c>
      <c r="C161" s="124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3"/>
      <c r="AF161" s="63"/>
      <c r="AG161" s="63"/>
      <c r="AH161" s="64">
        <f t="shared" si="2"/>
        <v>0</v>
      </c>
    </row>
    <row r="162" spans="1:34" ht="15.75" customHeight="1" x14ac:dyDescent="0.3">
      <c r="A162" s="69"/>
      <c r="B162" s="67" t="s">
        <v>169</v>
      </c>
      <c r="C162" s="124">
        <v>6</v>
      </c>
      <c r="D162" s="66"/>
      <c r="E162" s="66"/>
      <c r="F162" s="66"/>
      <c r="G162" s="66"/>
      <c r="H162" s="66"/>
      <c r="I162" s="66"/>
      <c r="J162" s="66">
        <v>3</v>
      </c>
      <c r="K162" s="66"/>
      <c r="L162" s="66"/>
      <c r="M162" s="66"/>
      <c r="N162" s="66"/>
      <c r="O162" s="66">
        <v>2</v>
      </c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>
        <v>2</v>
      </c>
      <c r="AD162" s="66"/>
      <c r="AE162" s="63"/>
      <c r="AF162" s="63"/>
      <c r="AG162" s="63"/>
      <c r="AH162" s="64">
        <f t="shared" si="2"/>
        <v>13</v>
      </c>
    </row>
    <row r="163" spans="1:34" ht="15.75" customHeight="1" x14ac:dyDescent="0.3">
      <c r="A163" s="69"/>
      <c r="B163" s="65" t="s">
        <v>171</v>
      </c>
      <c r="C163" s="124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3"/>
      <c r="AF163" s="63"/>
      <c r="AG163" s="63"/>
      <c r="AH163" s="64">
        <f t="shared" si="2"/>
        <v>0</v>
      </c>
    </row>
    <row r="164" spans="1:34" ht="15.75" customHeight="1" x14ac:dyDescent="0.3">
      <c r="A164" s="69"/>
      <c r="B164" s="65" t="s">
        <v>172</v>
      </c>
      <c r="C164" s="124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3"/>
      <c r="AF164" s="63"/>
      <c r="AG164" s="63"/>
      <c r="AH164" s="64">
        <f t="shared" si="2"/>
        <v>0</v>
      </c>
    </row>
    <row r="165" spans="1:34" ht="15.75" customHeight="1" x14ac:dyDescent="0.3">
      <c r="A165" s="69"/>
      <c r="B165" s="65" t="s">
        <v>173</v>
      </c>
      <c r="C165" s="124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3"/>
      <c r="AF165" s="63"/>
      <c r="AG165" s="63"/>
      <c r="AH165" s="64">
        <f t="shared" si="2"/>
        <v>0</v>
      </c>
    </row>
    <row r="166" spans="1:34" ht="15.75" customHeight="1" x14ac:dyDescent="0.3">
      <c r="A166" s="69"/>
      <c r="B166" s="65" t="s">
        <v>174</v>
      </c>
      <c r="C166" s="124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3"/>
      <c r="AF166" s="63"/>
      <c r="AG166" s="63"/>
      <c r="AH166" s="64">
        <f t="shared" si="2"/>
        <v>0</v>
      </c>
    </row>
    <row r="167" spans="1:34" ht="15.75" customHeight="1" x14ac:dyDescent="0.3">
      <c r="A167" s="69"/>
      <c r="B167" s="65" t="s">
        <v>175</v>
      </c>
      <c r="C167" s="124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3"/>
      <c r="AF167" s="63"/>
      <c r="AG167" s="63"/>
      <c r="AH167" s="64">
        <f t="shared" si="2"/>
        <v>0</v>
      </c>
    </row>
    <row r="168" spans="1:34" ht="15.75" customHeight="1" x14ac:dyDescent="0.3">
      <c r="A168" s="69"/>
      <c r="B168" s="65" t="s">
        <v>176</v>
      </c>
      <c r="C168" s="124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3"/>
      <c r="AF168" s="63"/>
      <c r="AG168" s="63"/>
      <c r="AH168" s="64">
        <f t="shared" si="2"/>
        <v>0</v>
      </c>
    </row>
    <row r="169" spans="1:34" ht="15.75" customHeight="1" x14ac:dyDescent="0.3">
      <c r="A169" s="69"/>
      <c r="B169" s="65" t="s">
        <v>177</v>
      </c>
      <c r="C169" s="124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3"/>
      <c r="AF169" s="63"/>
      <c r="AG169" s="63"/>
      <c r="AH169" s="64">
        <f t="shared" si="2"/>
        <v>0</v>
      </c>
    </row>
    <row r="170" spans="1:34" ht="15.75" customHeight="1" x14ac:dyDescent="0.3">
      <c r="A170" s="69"/>
      <c r="B170" s="65" t="s">
        <v>178</v>
      </c>
      <c r="C170" s="124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3"/>
      <c r="AF170" s="63"/>
      <c r="AG170" s="63"/>
      <c r="AH170" s="64">
        <f t="shared" si="2"/>
        <v>0</v>
      </c>
    </row>
    <row r="171" spans="1:34" ht="15.75" customHeight="1" x14ac:dyDescent="0.3">
      <c r="A171" s="69"/>
      <c r="B171" s="67" t="s">
        <v>179</v>
      </c>
      <c r="C171" s="124"/>
      <c r="D171" s="66"/>
      <c r="E171" s="66">
        <v>4</v>
      </c>
      <c r="F171" s="66"/>
      <c r="G171" s="66"/>
      <c r="H171" s="66"/>
      <c r="I171" s="66"/>
      <c r="J171" s="66"/>
      <c r="K171" s="66"/>
      <c r="L171" s="66"/>
      <c r="M171" s="66"/>
      <c r="N171" s="66"/>
      <c r="O171" s="66">
        <v>6</v>
      </c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>
        <v>4</v>
      </c>
      <c r="AD171" s="66"/>
      <c r="AE171" s="63"/>
      <c r="AF171" s="63"/>
      <c r="AG171" s="63"/>
      <c r="AH171" s="64">
        <f t="shared" si="2"/>
        <v>14</v>
      </c>
    </row>
    <row r="172" spans="1:34" ht="15.75" customHeight="1" x14ac:dyDescent="0.3">
      <c r="A172" s="69"/>
      <c r="B172" s="65" t="s">
        <v>182</v>
      </c>
      <c r="C172" s="124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3"/>
      <c r="AF172" s="63"/>
      <c r="AG172" s="63"/>
      <c r="AH172" s="64">
        <f t="shared" si="2"/>
        <v>0</v>
      </c>
    </row>
    <row r="173" spans="1:34" ht="15.75" customHeight="1" x14ac:dyDescent="0.3">
      <c r="A173" s="69"/>
      <c r="B173" s="65" t="s">
        <v>184</v>
      </c>
      <c r="C173" s="124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3"/>
      <c r="AF173" s="63"/>
      <c r="AG173" s="63"/>
      <c r="AH173" s="64">
        <f t="shared" si="2"/>
        <v>0</v>
      </c>
    </row>
    <row r="174" spans="1:34" ht="15.75" customHeight="1" x14ac:dyDescent="0.3">
      <c r="A174" s="69"/>
      <c r="B174" s="65" t="s">
        <v>185</v>
      </c>
      <c r="C174" s="124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3"/>
      <c r="AF174" s="63"/>
      <c r="AG174" s="63"/>
      <c r="AH174" s="64">
        <f t="shared" si="2"/>
        <v>0</v>
      </c>
    </row>
    <row r="175" spans="1:34" ht="15.75" customHeight="1" x14ac:dyDescent="0.3">
      <c r="A175" s="69"/>
      <c r="B175" s="65" t="s">
        <v>186</v>
      </c>
      <c r="C175" s="124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3"/>
      <c r="AF175" s="63"/>
      <c r="AG175" s="63"/>
      <c r="AH175" s="64">
        <f t="shared" si="2"/>
        <v>0</v>
      </c>
    </row>
    <row r="176" spans="1:34" ht="14.25" customHeight="1" x14ac:dyDescent="0.3">
      <c r="A176" s="69"/>
      <c r="B176" s="65" t="s">
        <v>187</v>
      </c>
      <c r="C176" s="124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3"/>
      <c r="AF176" s="63"/>
      <c r="AG176" s="63"/>
      <c r="AH176" s="64">
        <f t="shared" si="2"/>
        <v>0</v>
      </c>
    </row>
    <row r="177" spans="1:39" ht="15.75" customHeight="1" x14ac:dyDescent="0.3">
      <c r="A177" s="69"/>
      <c r="B177" s="65" t="s">
        <v>188</v>
      </c>
      <c r="C177" s="124">
        <v>7</v>
      </c>
      <c r="D177" s="66"/>
      <c r="E177" s="66"/>
      <c r="F177" s="66"/>
      <c r="G177" s="66"/>
      <c r="H177" s="66"/>
      <c r="I177" s="66"/>
      <c r="J177" s="66"/>
      <c r="K177" s="66"/>
      <c r="L177" s="66">
        <v>6</v>
      </c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8"/>
      <c r="AA177" s="66"/>
      <c r="AB177" s="66"/>
      <c r="AC177" s="66"/>
      <c r="AD177" s="66"/>
      <c r="AE177" s="63"/>
      <c r="AF177" s="63"/>
      <c r="AG177" s="63"/>
      <c r="AH177" s="64">
        <f t="shared" si="2"/>
        <v>13</v>
      </c>
    </row>
    <row r="178" spans="1:39" ht="15.75" customHeight="1" x14ac:dyDescent="0.3">
      <c r="A178" s="69"/>
      <c r="B178" s="65" t="s">
        <v>190</v>
      </c>
      <c r="C178" s="124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3"/>
      <c r="AF178" s="63"/>
      <c r="AG178" s="63"/>
      <c r="AH178" s="64">
        <f t="shared" si="2"/>
        <v>0</v>
      </c>
    </row>
    <row r="179" spans="1:39" ht="15.75" customHeight="1" x14ac:dyDescent="0.3">
      <c r="A179" s="69"/>
      <c r="B179" s="65" t="s">
        <v>193</v>
      </c>
      <c r="C179" s="124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>
        <v>3</v>
      </c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>
        <v>3</v>
      </c>
      <c r="AE179" s="63"/>
      <c r="AF179" s="63"/>
      <c r="AG179" s="63"/>
      <c r="AH179" s="64">
        <f t="shared" si="2"/>
        <v>6</v>
      </c>
    </row>
    <row r="180" spans="1:39" ht="15.75" customHeight="1" x14ac:dyDescent="0.3">
      <c r="A180" s="69"/>
      <c r="B180" s="67" t="s">
        <v>194</v>
      </c>
      <c r="C180" s="124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3"/>
      <c r="AF180" s="63"/>
      <c r="AG180" s="63"/>
      <c r="AH180" s="64">
        <f t="shared" si="2"/>
        <v>0</v>
      </c>
    </row>
    <row r="181" spans="1:39" ht="15.75" customHeight="1" x14ac:dyDescent="0.3">
      <c r="A181" s="69"/>
      <c r="B181" s="65" t="s">
        <v>195</v>
      </c>
      <c r="C181" s="124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3"/>
      <c r="AF181" s="63"/>
      <c r="AG181" s="63"/>
      <c r="AH181" s="64">
        <f t="shared" si="2"/>
        <v>0</v>
      </c>
    </row>
    <row r="182" spans="1:39" ht="15.75" customHeight="1" x14ac:dyDescent="0.3">
      <c r="A182" s="69"/>
      <c r="B182" s="65" t="s">
        <v>198</v>
      </c>
      <c r="C182" s="124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3"/>
      <c r="AF182" s="63"/>
      <c r="AG182" s="63"/>
      <c r="AH182" s="64">
        <f t="shared" si="2"/>
        <v>0</v>
      </c>
    </row>
    <row r="183" spans="1:39" ht="15.75" customHeight="1" x14ac:dyDescent="0.3">
      <c r="A183" s="69"/>
      <c r="B183" s="65" t="s">
        <v>216</v>
      </c>
      <c r="C183" s="124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3"/>
      <c r="AF183" s="63"/>
      <c r="AG183" s="63"/>
      <c r="AH183" s="64">
        <f t="shared" si="2"/>
        <v>0</v>
      </c>
    </row>
    <row r="184" spans="1:39" ht="15.75" customHeight="1" x14ac:dyDescent="0.3">
      <c r="A184" s="69"/>
      <c r="B184" s="65" t="s">
        <v>199</v>
      </c>
      <c r="C184" s="124">
        <v>5</v>
      </c>
      <c r="D184" s="66"/>
      <c r="E184" s="66"/>
      <c r="F184" s="66"/>
      <c r="G184" s="66"/>
      <c r="H184" s="66"/>
      <c r="I184" s="66"/>
      <c r="J184" s="66">
        <v>6</v>
      </c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>
        <v>5</v>
      </c>
      <c r="W184" s="66"/>
      <c r="X184" s="66"/>
      <c r="Y184" s="66"/>
      <c r="Z184" s="66"/>
      <c r="AA184" s="66"/>
      <c r="AB184" s="66"/>
      <c r="AC184" s="66"/>
      <c r="AD184" s="66"/>
      <c r="AE184" s="63"/>
      <c r="AF184" s="63"/>
      <c r="AG184" s="63"/>
      <c r="AH184" s="64">
        <f t="shared" si="2"/>
        <v>16</v>
      </c>
    </row>
    <row r="185" spans="1:39" ht="15.75" customHeight="1" x14ac:dyDescent="0.3">
      <c r="A185" s="69"/>
      <c r="B185" s="65" t="s">
        <v>202</v>
      </c>
      <c r="C185" s="124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3"/>
      <c r="AF185" s="63"/>
      <c r="AG185" s="63"/>
      <c r="AH185" s="64">
        <f t="shared" si="2"/>
        <v>0</v>
      </c>
      <c r="AI185" s="44"/>
      <c r="AJ185" s="44"/>
      <c r="AK185" s="44"/>
      <c r="AL185" s="44"/>
      <c r="AM185" s="44"/>
    </row>
    <row r="186" spans="1:39" ht="15.75" customHeight="1" x14ac:dyDescent="0.3">
      <c r="A186" s="69"/>
      <c r="B186" s="65" t="s">
        <v>203</v>
      </c>
      <c r="C186" s="124"/>
      <c r="D186" s="66"/>
      <c r="E186" s="66">
        <v>3</v>
      </c>
      <c r="F186" s="66"/>
      <c r="G186" s="66"/>
      <c r="H186" s="66"/>
      <c r="I186" s="66"/>
      <c r="J186" s="66"/>
      <c r="K186" s="66"/>
      <c r="L186" s="66"/>
      <c r="M186" s="66">
        <v>5</v>
      </c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>
        <v>5</v>
      </c>
      <c r="AB186" s="66"/>
      <c r="AC186" s="66"/>
      <c r="AD186" s="66"/>
      <c r="AE186" s="63"/>
      <c r="AF186" s="63"/>
      <c r="AG186" s="63"/>
      <c r="AH186" s="64">
        <f t="shared" si="2"/>
        <v>13</v>
      </c>
    </row>
    <row r="187" spans="1:39" ht="15.75" customHeight="1" x14ac:dyDescent="0.3">
      <c r="A187" s="69"/>
      <c r="B187" s="65" t="s">
        <v>209</v>
      </c>
      <c r="C187" s="124"/>
      <c r="D187" s="66"/>
      <c r="E187" s="66"/>
      <c r="F187" s="66"/>
      <c r="G187" s="66"/>
      <c r="H187" s="66">
        <v>3</v>
      </c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3"/>
      <c r="AF187" s="63"/>
      <c r="AG187" s="63"/>
      <c r="AH187" s="64">
        <f t="shared" si="2"/>
        <v>3</v>
      </c>
    </row>
    <row r="188" spans="1:39" ht="15.75" customHeight="1" x14ac:dyDescent="0.3">
      <c r="A188" s="69"/>
      <c r="B188" s="65" t="s">
        <v>210</v>
      </c>
      <c r="C188" s="124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>
        <v>4</v>
      </c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3"/>
      <c r="AF188" s="63"/>
      <c r="AG188" s="63"/>
      <c r="AH188" s="64">
        <f t="shared" si="2"/>
        <v>4</v>
      </c>
    </row>
    <row r="189" spans="1:39" ht="15.75" customHeight="1" x14ac:dyDescent="0.3">
      <c r="A189" s="69"/>
      <c r="B189" s="67" t="s">
        <v>211</v>
      </c>
      <c r="C189" s="124"/>
      <c r="D189" s="66"/>
      <c r="E189" s="66"/>
      <c r="F189" s="66"/>
      <c r="G189" s="66"/>
      <c r="H189" s="66">
        <v>6</v>
      </c>
      <c r="I189" s="66"/>
      <c r="J189" s="66"/>
      <c r="K189" s="66"/>
      <c r="L189" s="66">
        <v>7</v>
      </c>
      <c r="M189" s="66"/>
      <c r="N189" s="66"/>
      <c r="O189" s="66">
        <v>6</v>
      </c>
      <c r="P189" s="66"/>
      <c r="Q189" s="66"/>
      <c r="R189" s="66"/>
      <c r="S189" s="66"/>
      <c r="T189" s="66">
        <v>7</v>
      </c>
      <c r="U189" s="66"/>
      <c r="V189" s="66"/>
      <c r="W189" s="66"/>
      <c r="X189" s="66">
        <v>7</v>
      </c>
      <c r="Y189" s="66"/>
      <c r="Z189" s="68"/>
      <c r="AA189" s="66"/>
      <c r="AB189" s="66"/>
      <c r="AC189" s="66"/>
      <c r="AD189" s="66"/>
      <c r="AE189" s="63"/>
      <c r="AF189" s="63"/>
      <c r="AG189" s="63"/>
      <c r="AH189" s="64">
        <f t="shared" si="2"/>
        <v>33</v>
      </c>
    </row>
    <row r="190" spans="1:39" ht="15.75" customHeight="1" x14ac:dyDescent="0.3">
      <c r="A190" s="69"/>
      <c r="B190" s="65" t="s">
        <v>212</v>
      </c>
      <c r="C190" s="124">
        <v>4</v>
      </c>
      <c r="D190" s="66"/>
      <c r="E190" s="66"/>
      <c r="F190" s="66"/>
      <c r="G190" s="66"/>
      <c r="H190" s="66"/>
      <c r="I190" s="66"/>
      <c r="J190" s="66">
        <v>6</v>
      </c>
      <c r="K190" s="66"/>
      <c r="L190" s="66"/>
      <c r="M190" s="66"/>
      <c r="N190" s="66"/>
      <c r="O190" s="66"/>
      <c r="P190" s="66"/>
      <c r="Q190" s="66">
        <v>4</v>
      </c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3"/>
      <c r="AF190" s="63">
        <v>4</v>
      </c>
      <c r="AG190" s="63"/>
      <c r="AH190" s="64">
        <f t="shared" si="2"/>
        <v>18</v>
      </c>
    </row>
    <row r="191" spans="1:39" ht="15.75" customHeight="1" x14ac:dyDescent="0.3">
      <c r="A191" s="69"/>
      <c r="B191" s="65" t="s">
        <v>215</v>
      </c>
      <c r="C191" s="124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3"/>
      <c r="AF191" s="63"/>
      <c r="AG191" s="63"/>
      <c r="AH191" s="64">
        <f t="shared" si="2"/>
        <v>0</v>
      </c>
    </row>
    <row r="192" spans="1:39" ht="15.75" customHeight="1" x14ac:dyDescent="0.3">
      <c r="A192" s="69"/>
      <c r="B192" s="65" t="s">
        <v>220</v>
      </c>
      <c r="C192" s="124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3"/>
      <c r="AF192" s="63"/>
      <c r="AG192" s="63"/>
      <c r="AH192" s="64">
        <f t="shared" si="2"/>
        <v>0</v>
      </c>
    </row>
    <row r="193" spans="1:34" ht="15.75" customHeight="1" x14ac:dyDescent="0.3">
      <c r="A193" s="69"/>
      <c r="B193" s="65" t="s">
        <v>222</v>
      </c>
      <c r="C193" s="124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3"/>
      <c r="AF193" s="63"/>
      <c r="AG193" s="63"/>
      <c r="AH193" s="64">
        <f t="shared" si="2"/>
        <v>0</v>
      </c>
    </row>
    <row r="194" spans="1:34" ht="15.75" customHeight="1" x14ac:dyDescent="0.3">
      <c r="A194" s="69"/>
      <c r="B194" s="67" t="s">
        <v>224</v>
      </c>
      <c r="C194" s="124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3"/>
      <c r="AF194" s="63"/>
      <c r="AG194" s="63"/>
      <c r="AH194" s="64">
        <f t="shared" si="2"/>
        <v>0</v>
      </c>
    </row>
    <row r="195" spans="1:34" ht="15.75" customHeight="1" x14ac:dyDescent="0.3">
      <c r="A195" s="69"/>
      <c r="B195" s="65" t="s">
        <v>225</v>
      </c>
      <c r="C195" s="124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3"/>
      <c r="AF195" s="63"/>
      <c r="AG195" s="63"/>
      <c r="AH195" s="64">
        <f t="shared" si="2"/>
        <v>0</v>
      </c>
    </row>
    <row r="196" spans="1:34" ht="15.75" customHeight="1" x14ac:dyDescent="0.3">
      <c r="A196" s="69"/>
      <c r="B196" s="65" t="s">
        <v>226</v>
      </c>
      <c r="C196" s="124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3"/>
      <c r="AF196" s="63"/>
      <c r="AG196" s="63"/>
      <c r="AH196" s="64">
        <f t="shared" ref="AH196:AH259" si="3">SUM(C196:AG196)</f>
        <v>0</v>
      </c>
    </row>
    <row r="197" spans="1:34" ht="15.75" customHeight="1" x14ac:dyDescent="0.3">
      <c r="A197" s="69"/>
      <c r="B197" s="65" t="s">
        <v>227</v>
      </c>
      <c r="C197" s="124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3"/>
      <c r="AF197" s="63"/>
      <c r="AG197" s="63"/>
      <c r="AH197" s="64">
        <f t="shared" si="3"/>
        <v>0</v>
      </c>
    </row>
    <row r="198" spans="1:34" ht="15.75" customHeight="1" x14ac:dyDescent="0.3">
      <c r="A198" s="69"/>
      <c r="B198" s="65" t="s">
        <v>228</v>
      </c>
      <c r="C198" s="124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3"/>
      <c r="AF198" s="63"/>
      <c r="AG198" s="63"/>
      <c r="AH198" s="64">
        <f t="shared" si="3"/>
        <v>0</v>
      </c>
    </row>
    <row r="199" spans="1:34" ht="15.75" customHeight="1" x14ac:dyDescent="0.3">
      <c r="A199" s="69"/>
      <c r="B199" s="67" t="s">
        <v>229</v>
      </c>
      <c r="C199" s="124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3"/>
      <c r="AF199" s="63"/>
      <c r="AG199" s="63"/>
      <c r="AH199" s="64">
        <f t="shared" si="3"/>
        <v>0</v>
      </c>
    </row>
    <row r="200" spans="1:34" ht="15.75" customHeight="1" x14ac:dyDescent="0.3">
      <c r="A200" s="69"/>
      <c r="B200" s="65" t="s">
        <v>230</v>
      </c>
      <c r="C200" s="124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3"/>
      <c r="AF200" s="63"/>
      <c r="AG200" s="63"/>
      <c r="AH200" s="64">
        <f t="shared" si="3"/>
        <v>0</v>
      </c>
    </row>
    <row r="201" spans="1:34" ht="15.75" customHeight="1" x14ac:dyDescent="0.3">
      <c r="A201" s="69"/>
      <c r="B201" s="65" t="s">
        <v>231</v>
      </c>
      <c r="C201" s="124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3"/>
      <c r="AF201" s="63"/>
      <c r="AG201" s="63"/>
      <c r="AH201" s="64">
        <f t="shared" si="3"/>
        <v>0</v>
      </c>
    </row>
    <row r="202" spans="1:34" ht="15.75" customHeight="1" x14ac:dyDescent="0.3">
      <c r="A202" s="69"/>
      <c r="B202" s="65" t="s">
        <v>232</v>
      </c>
      <c r="C202" s="124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3"/>
      <c r="AF202" s="63"/>
      <c r="AG202" s="63"/>
      <c r="AH202" s="64">
        <f t="shared" si="3"/>
        <v>0</v>
      </c>
    </row>
    <row r="203" spans="1:34" ht="15.75" customHeight="1" x14ac:dyDescent="0.3">
      <c r="A203" s="69"/>
      <c r="B203" s="65" t="s">
        <v>233</v>
      </c>
      <c r="C203" s="124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3"/>
      <c r="AF203" s="63"/>
      <c r="AG203" s="63"/>
      <c r="AH203" s="64">
        <f t="shared" si="3"/>
        <v>0</v>
      </c>
    </row>
    <row r="204" spans="1:34" ht="15.75" customHeight="1" x14ac:dyDescent="0.3">
      <c r="A204" s="69"/>
      <c r="B204" s="65" t="s">
        <v>234</v>
      </c>
      <c r="C204" s="124"/>
      <c r="D204" s="66"/>
      <c r="E204" s="66"/>
      <c r="F204" s="66">
        <v>4</v>
      </c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>
        <v>6</v>
      </c>
      <c r="W204" s="66"/>
      <c r="X204" s="66"/>
      <c r="Y204" s="66"/>
      <c r="Z204" s="66"/>
      <c r="AA204" s="66"/>
      <c r="AB204" s="66"/>
      <c r="AC204" s="66"/>
      <c r="AD204" s="66"/>
      <c r="AE204" s="63"/>
      <c r="AF204" s="63"/>
      <c r="AG204" s="63"/>
      <c r="AH204" s="64">
        <f t="shared" si="3"/>
        <v>10</v>
      </c>
    </row>
    <row r="205" spans="1:34" ht="15.75" customHeight="1" x14ac:dyDescent="0.3">
      <c r="A205" s="69"/>
      <c r="B205" s="65" t="s">
        <v>235</v>
      </c>
      <c r="C205" s="124"/>
      <c r="D205" s="66"/>
      <c r="E205" s="66">
        <v>8</v>
      </c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>
        <v>8</v>
      </c>
      <c r="U205" s="66"/>
      <c r="V205" s="66"/>
      <c r="W205" s="66"/>
      <c r="X205" s="66"/>
      <c r="Y205" s="66"/>
      <c r="Z205" s="66"/>
      <c r="AA205" s="66"/>
      <c r="AB205" s="66"/>
      <c r="AC205" s="66">
        <v>4</v>
      </c>
      <c r="AD205" s="66"/>
      <c r="AE205" s="63"/>
      <c r="AF205" s="63"/>
      <c r="AG205" s="63"/>
      <c r="AH205" s="64">
        <f t="shared" si="3"/>
        <v>20</v>
      </c>
    </row>
    <row r="206" spans="1:34" ht="16.5" customHeight="1" x14ac:dyDescent="0.3">
      <c r="A206" s="69"/>
      <c r="B206" s="67" t="s">
        <v>236</v>
      </c>
      <c r="C206" s="124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3"/>
      <c r="AF206" s="63"/>
      <c r="AG206" s="63"/>
      <c r="AH206" s="64">
        <f t="shared" si="3"/>
        <v>0</v>
      </c>
    </row>
    <row r="207" spans="1:34" ht="15.75" customHeight="1" x14ac:dyDescent="0.3">
      <c r="A207" s="69"/>
      <c r="B207" s="67" t="s">
        <v>237</v>
      </c>
      <c r="C207" s="124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3"/>
      <c r="AF207" s="63"/>
      <c r="AG207" s="63"/>
      <c r="AH207" s="64">
        <f t="shared" si="3"/>
        <v>0</v>
      </c>
    </row>
    <row r="208" spans="1:34" ht="15.75" customHeight="1" x14ac:dyDescent="0.3">
      <c r="A208" s="69"/>
      <c r="B208" s="65" t="s">
        <v>238</v>
      </c>
      <c r="C208" s="124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3"/>
      <c r="AF208" s="63"/>
      <c r="AG208" s="63"/>
      <c r="AH208" s="64">
        <f t="shared" si="3"/>
        <v>0</v>
      </c>
    </row>
    <row r="209" spans="1:34" ht="15.75" customHeight="1" x14ac:dyDescent="0.3">
      <c r="A209" s="69"/>
      <c r="B209" s="65" t="s">
        <v>239</v>
      </c>
      <c r="C209" s="124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3"/>
      <c r="AF209" s="63"/>
      <c r="AG209" s="63"/>
      <c r="AH209" s="64">
        <f t="shared" si="3"/>
        <v>0</v>
      </c>
    </row>
    <row r="210" spans="1:34" ht="15.75" customHeight="1" x14ac:dyDescent="0.3">
      <c r="A210" s="69"/>
      <c r="B210" s="65" t="s">
        <v>240</v>
      </c>
      <c r="C210" s="124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3"/>
      <c r="AF210" s="63"/>
      <c r="AG210" s="63"/>
      <c r="AH210" s="64">
        <f t="shared" si="3"/>
        <v>0</v>
      </c>
    </row>
    <row r="211" spans="1:34" ht="15.75" customHeight="1" x14ac:dyDescent="0.3">
      <c r="A211" s="69"/>
      <c r="B211" s="72" t="s">
        <v>241</v>
      </c>
      <c r="C211" s="124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3"/>
      <c r="AF211" s="63"/>
      <c r="AG211" s="63"/>
      <c r="AH211" s="64">
        <f t="shared" si="3"/>
        <v>0</v>
      </c>
    </row>
    <row r="212" spans="1:34" ht="15.75" customHeight="1" x14ac:dyDescent="0.3">
      <c r="A212" s="69"/>
      <c r="B212" s="65" t="s">
        <v>242</v>
      </c>
      <c r="C212" s="124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3"/>
      <c r="AF212" s="63"/>
      <c r="AG212" s="63"/>
      <c r="AH212" s="64">
        <f t="shared" si="3"/>
        <v>0</v>
      </c>
    </row>
    <row r="213" spans="1:34" ht="15.75" customHeight="1" x14ac:dyDescent="0.3">
      <c r="A213" s="69"/>
      <c r="B213" s="65" t="s">
        <v>243</v>
      </c>
      <c r="C213" s="124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3"/>
      <c r="AF213" s="63"/>
      <c r="AG213" s="63"/>
      <c r="AH213" s="64">
        <f t="shared" si="3"/>
        <v>0</v>
      </c>
    </row>
    <row r="214" spans="1:34" ht="15.75" customHeight="1" x14ac:dyDescent="0.3">
      <c r="A214" s="69"/>
      <c r="B214" s="65" t="s">
        <v>244</v>
      </c>
      <c r="C214" s="124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3"/>
      <c r="AF214" s="63"/>
      <c r="AG214" s="63"/>
      <c r="AH214" s="64">
        <f t="shared" si="3"/>
        <v>0</v>
      </c>
    </row>
    <row r="215" spans="1:34" ht="15.75" customHeight="1" x14ac:dyDescent="0.3">
      <c r="A215" s="69"/>
      <c r="B215" s="65" t="s">
        <v>245</v>
      </c>
      <c r="C215" s="124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3"/>
      <c r="AF215" s="63"/>
      <c r="AG215" s="63"/>
      <c r="AH215" s="64">
        <f t="shared" si="3"/>
        <v>0</v>
      </c>
    </row>
    <row r="216" spans="1:34" ht="15.75" customHeight="1" x14ac:dyDescent="0.3">
      <c r="A216" s="69"/>
      <c r="B216" s="65" t="s">
        <v>246</v>
      </c>
      <c r="C216" s="124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3"/>
      <c r="AF216" s="63"/>
      <c r="AG216" s="63"/>
      <c r="AH216" s="64">
        <f t="shared" si="3"/>
        <v>0</v>
      </c>
    </row>
    <row r="217" spans="1:34" ht="15.75" customHeight="1" x14ac:dyDescent="0.3">
      <c r="A217" s="69"/>
      <c r="B217" s="65" t="s">
        <v>247</v>
      </c>
      <c r="C217" s="124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3"/>
      <c r="AF217" s="63"/>
      <c r="AG217" s="63"/>
      <c r="AH217" s="64">
        <f t="shared" si="3"/>
        <v>0</v>
      </c>
    </row>
    <row r="218" spans="1:34" ht="15.75" customHeight="1" x14ac:dyDescent="0.3">
      <c r="A218" s="69"/>
      <c r="B218" s="65" t="s">
        <v>248</v>
      </c>
      <c r="C218" s="124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3"/>
      <c r="AF218" s="63"/>
      <c r="AG218" s="63"/>
      <c r="AH218" s="64">
        <f t="shared" si="3"/>
        <v>0</v>
      </c>
    </row>
    <row r="219" spans="1:34" ht="15.75" customHeight="1" x14ac:dyDescent="0.3">
      <c r="A219" s="69"/>
      <c r="B219" s="65" t="s">
        <v>249</v>
      </c>
      <c r="C219" s="124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3"/>
      <c r="AF219" s="63"/>
      <c r="AG219" s="63"/>
      <c r="AH219" s="64">
        <f t="shared" si="3"/>
        <v>0</v>
      </c>
    </row>
    <row r="220" spans="1:34" ht="15.75" customHeight="1" x14ac:dyDescent="0.3">
      <c r="A220" s="69"/>
      <c r="B220" s="65" t="s">
        <v>250</v>
      </c>
      <c r="C220" s="124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3"/>
      <c r="AF220" s="63"/>
      <c r="AG220" s="63"/>
      <c r="AH220" s="64">
        <f t="shared" si="3"/>
        <v>0</v>
      </c>
    </row>
    <row r="221" spans="1:34" ht="15.75" customHeight="1" x14ac:dyDescent="0.3">
      <c r="A221" s="69"/>
      <c r="B221" s="65" t="s">
        <v>251</v>
      </c>
      <c r="C221" s="124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3"/>
      <c r="AF221" s="63"/>
      <c r="AG221" s="63"/>
      <c r="AH221" s="64">
        <f t="shared" si="3"/>
        <v>0</v>
      </c>
    </row>
    <row r="222" spans="1:34" ht="15.75" customHeight="1" x14ac:dyDescent="0.3">
      <c r="A222" s="69"/>
      <c r="B222" s="65" t="s">
        <v>252</v>
      </c>
      <c r="C222" s="124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3"/>
      <c r="AF222" s="63">
        <v>4</v>
      </c>
      <c r="AG222" s="63"/>
      <c r="AH222" s="64">
        <f t="shared" si="3"/>
        <v>4</v>
      </c>
    </row>
    <row r="223" spans="1:34" ht="15.75" customHeight="1" x14ac:dyDescent="0.3">
      <c r="A223" s="69"/>
      <c r="B223" s="65" t="s">
        <v>253</v>
      </c>
      <c r="C223" s="124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3"/>
      <c r="AF223" s="63"/>
      <c r="AG223" s="63"/>
      <c r="AH223" s="64">
        <f t="shared" si="3"/>
        <v>0</v>
      </c>
    </row>
    <row r="224" spans="1:34" ht="15.75" customHeight="1" x14ac:dyDescent="0.3">
      <c r="A224" s="69"/>
      <c r="B224" s="67" t="s">
        <v>254</v>
      </c>
      <c r="C224" s="124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3"/>
      <c r="AF224" s="63"/>
      <c r="AG224" s="63"/>
      <c r="AH224" s="64">
        <f t="shared" si="3"/>
        <v>0</v>
      </c>
    </row>
    <row r="225" spans="1:39" ht="15.75" customHeight="1" x14ac:dyDescent="0.3">
      <c r="A225" s="69"/>
      <c r="B225" s="65" t="s">
        <v>255</v>
      </c>
      <c r="C225" s="124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3"/>
      <c r="AF225" s="63"/>
      <c r="AG225" s="63"/>
      <c r="AH225" s="64">
        <f t="shared" si="3"/>
        <v>0</v>
      </c>
    </row>
    <row r="226" spans="1:39" ht="15.75" customHeight="1" x14ac:dyDescent="0.3">
      <c r="A226" s="69"/>
      <c r="B226" s="65" t="s">
        <v>256</v>
      </c>
      <c r="C226" s="124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3"/>
      <c r="AF226" s="63"/>
      <c r="AG226" s="63"/>
      <c r="AH226" s="64">
        <f t="shared" si="3"/>
        <v>0</v>
      </c>
    </row>
    <row r="227" spans="1:39" ht="15.75" customHeight="1" x14ac:dyDescent="0.3">
      <c r="A227" s="69"/>
      <c r="B227" s="65" t="s">
        <v>257</v>
      </c>
      <c r="C227" s="124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3"/>
      <c r="AF227" s="63"/>
      <c r="AG227" s="63"/>
      <c r="AH227" s="64">
        <f t="shared" si="3"/>
        <v>0</v>
      </c>
    </row>
    <row r="228" spans="1:39" ht="15.75" customHeight="1" x14ac:dyDescent="0.3">
      <c r="A228" s="69"/>
      <c r="B228" s="65" t="s">
        <v>258</v>
      </c>
      <c r="C228" s="124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3"/>
      <c r="AF228" s="63"/>
      <c r="AG228" s="63"/>
      <c r="AH228" s="64">
        <f t="shared" si="3"/>
        <v>0</v>
      </c>
    </row>
    <row r="229" spans="1:39" ht="15" customHeight="1" x14ac:dyDescent="0.3">
      <c r="A229" s="69"/>
      <c r="B229" s="67" t="s">
        <v>259</v>
      </c>
      <c r="C229" s="124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>
        <v>7</v>
      </c>
      <c r="T229" s="66"/>
      <c r="U229" s="66"/>
      <c r="V229" s="66"/>
      <c r="W229" s="66"/>
      <c r="X229" s="66"/>
      <c r="Y229" s="66"/>
      <c r="Z229" s="66"/>
      <c r="AA229" s="66"/>
      <c r="AB229" s="66"/>
      <c r="AC229" s="66">
        <v>5</v>
      </c>
      <c r="AD229" s="66"/>
      <c r="AE229" s="63"/>
      <c r="AF229" s="63"/>
      <c r="AG229" s="63"/>
      <c r="AH229" s="64">
        <f t="shared" si="3"/>
        <v>12</v>
      </c>
    </row>
    <row r="230" spans="1:39" ht="15.75" customHeight="1" x14ac:dyDescent="0.3">
      <c r="A230" s="69"/>
      <c r="B230" s="67" t="s">
        <v>260</v>
      </c>
      <c r="C230" s="124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3"/>
      <c r="AF230" s="63"/>
      <c r="AG230" s="63"/>
      <c r="AH230" s="64">
        <f t="shared" si="3"/>
        <v>0</v>
      </c>
    </row>
    <row r="231" spans="1:39" ht="15.75" customHeight="1" x14ac:dyDescent="0.3">
      <c r="A231" s="69"/>
      <c r="B231" s="67" t="s">
        <v>261</v>
      </c>
      <c r="C231" s="124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3"/>
      <c r="AF231" s="63"/>
      <c r="AG231" s="63"/>
      <c r="AH231" s="64">
        <f t="shared" si="3"/>
        <v>0</v>
      </c>
    </row>
    <row r="232" spans="1:39" ht="15.75" customHeight="1" x14ac:dyDescent="0.3">
      <c r="A232" s="69"/>
      <c r="B232" s="65" t="s">
        <v>262</v>
      </c>
      <c r="C232" s="124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3"/>
      <c r="AF232" s="63"/>
      <c r="AG232" s="63"/>
      <c r="AH232" s="64">
        <f t="shared" si="3"/>
        <v>0</v>
      </c>
    </row>
    <row r="233" spans="1:39" ht="15.75" customHeight="1" x14ac:dyDescent="0.3">
      <c r="A233" s="69"/>
      <c r="B233" s="67" t="s">
        <v>263</v>
      </c>
      <c r="C233" s="124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8"/>
      <c r="AE233" s="63"/>
      <c r="AF233" s="63"/>
      <c r="AG233" s="63"/>
      <c r="AH233" s="64">
        <f t="shared" si="3"/>
        <v>0</v>
      </c>
      <c r="AI233" s="44"/>
      <c r="AJ233" s="44"/>
      <c r="AK233" s="44"/>
      <c r="AL233" s="44"/>
      <c r="AM233" s="44"/>
    </row>
    <row r="234" spans="1:39" ht="15.75" customHeight="1" x14ac:dyDescent="0.3">
      <c r="A234" s="69"/>
      <c r="B234" s="65" t="s">
        <v>264</v>
      </c>
      <c r="C234" s="124">
        <v>2</v>
      </c>
      <c r="D234" s="66"/>
      <c r="E234" s="66"/>
      <c r="F234" s="66"/>
      <c r="G234" s="66"/>
      <c r="H234" s="66"/>
      <c r="I234" s="66"/>
      <c r="J234" s="66">
        <v>8</v>
      </c>
      <c r="K234" s="66"/>
      <c r="L234" s="66"/>
      <c r="M234" s="66">
        <v>2</v>
      </c>
      <c r="N234" s="66"/>
      <c r="O234" s="66"/>
      <c r="P234" s="66">
        <v>5</v>
      </c>
      <c r="Q234" s="66"/>
      <c r="R234" s="66"/>
      <c r="S234" s="66"/>
      <c r="T234" s="66"/>
      <c r="U234" s="66"/>
      <c r="V234" s="66"/>
      <c r="W234" s="66"/>
      <c r="X234" s="66">
        <v>7</v>
      </c>
      <c r="Y234" s="66"/>
      <c r="Z234" s="66"/>
      <c r="AA234" s="66"/>
      <c r="AB234" s="66"/>
      <c r="AC234" s="66"/>
      <c r="AD234" s="66"/>
      <c r="AE234" s="63"/>
      <c r="AF234" s="63"/>
      <c r="AG234" s="63"/>
      <c r="AH234" s="64">
        <f t="shared" si="3"/>
        <v>24</v>
      </c>
    </row>
    <row r="235" spans="1:39" ht="15.75" customHeight="1" x14ac:dyDescent="0.3">
      <c r="A235" s="69"/>
      <c r="B235" s="67" t="s">
        <v>265</v>
      </c>
      <c r="C235" s="124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3"/>
      <c r="AF235" s="63"/>
      <c r="AG235" s="63"/>
      <c r="AH235" s="64">
        <f t="shared" si="3"/>
        <v>0</v>
      </c>
    </row>
    <row r="236" spans="1:39" ht="15.75" customHeight="1" x14ac:dyDescent="0.3">
      <c r="A236" s="69"/>
      <c r="B236" s="65" t="s">
        <v>266</v>
      </c>
      <c r="C236" s="124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3"/>
      <c r="AF236" s="63"/>
      <c r="AG236" s="63"/>
      <c r="AH236" s="64">
        <f t="shared" si="3"/>
        <v>0</v>
      </c>
    </row>
    <row r="237" spans="1:39" ht="15.75" customHeight="1" x14ac:dyDescent="0.3">
      <c r="A237" s="69"/>
      <c r="B237" s="65" t="s">
        <v>267</v>
      </c>
      <c r="C237" s="124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3"/>
      <c r="AF237" s="63"/>
      <c r="AG237" s="63"/>
      <c r="AH237" s="64">
        <f t="shared" si="3"/>
        <v>0</v>
      </c>
    </row>
    <row r="238" spans="1:39" ht="15.75" customHeight="1" x14ac:dyDescent="0.3">
      <c r="A238" s="69"/>
      <c r="B238" s="65" t="s">
        <v>268</v>
      </c>
      <c r="C238" s="124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3"/>
      <c r="AF238" s="63"/>
      <c r="AG238" s="63"/>
      <c r="AH238" s="64">
        <f t="shared" si="3"/>
        <v>0</v>
      </c>
    </row>
    <row r="239" spans="1:39" ht="15.75" customHeight="1" x14ac:dyDescent="0.3">
      <c r="A239" s="69"/>
      <c r="B239" s="65" t="s">
        <v>269</v>
      </c>
      <c r="C239" s="124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3"/>
      <c r="AF239" s="63"/>
      <c r="AG239" s="63"/>
      <c r="AH239" s="64">
        <f t="shared" si="3"/>
        <v>0</v>
      </c>
    </row>
    <row r="240" spans="1:39" ht="15.75" customHeight="1" x14ac:dyDescent="0.3">
      <c r="A240" s="69"/>
      <c r="B240" s="65" t="s">
        <v>270</v>
      </c>
      <c r="C240" s="124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3"/>
      <c r="AF240" s="63"/>
      <c r="AG240" s="63"/>
      <c r="AH240" s="64">
        <f t="shared" si="3"/>
        <v>0</v>
      </c>
    </row>
    <row r="241" spans="1:34" ht="15.75" customHeight="1" x14ac:dyDescent="0.3">
      <c r="A241" s="69"/>
      <c r="B241" s="65" t="s">
        <v>271</v>
      </c>
      <c r="C241" s="124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3"/>
      <c r="AF241" s="63"/>
      <c r="AG241" s="63"/>
      <c r="AH241" s="64">
        <f t="shared" si="3"/>
        <v>0</v>
      </c>
    </row>
    <row r="242" spans="1:34" ht="15.75" customHeight="1" x14ac:dyDescent="0.3">
      <c r="A242" s="69"/>
      <c r="B242" s="65" t="s">
        <v>272</v>
      </c>
      <c r="C242" s="124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3"/>
      <c r="AF242" s="63"/>
      <c r="AG242" s="63"/>
      <c r="AH242" s="64">
        <f t="shared" si="3"/>
        <v>0</v>
      </c>
    </row>
    <row r="243" spans="1:34" ht="15.75" customHeight="1" x14ac:dyDescent="0.3">
      <c r="A243" s="69"/>
      <c r="B243" s="65" t="s">
        <v>273</v>
      </c>
      <c r="C243" s="124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3"/>
      <c r="AF243" s="63"/>
      <c r="AG243" s="63"/>
      <c r="AH243" s="64">
        <f t="shared" si="3"/>
        <v>0</v>
      </c>
    </row>
    <row r="244" spans="1:34" ht="15.75" customHeight="1" x14ac:dyDescent="0.3">
      <c r="A244" s="69"/>
      <c r="B244" s="67" t="s">
        <v>274</v>
      </c>
      <c r="C244" s="124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>
        <v>3</v>
      </c>
      <c r="W244" s="66"/>
      <c r="X244" s="66"/>
      <c r="Y244" s="66"/>
      <c r="Z244" s="66"/>
      <c r="AA244" s="66"/>
      <c r="AB244" s="66"/>
      <c r="AC244" s="66"/>
      <c r="AD244" s="66"/>
      <c r="AE244" s="63"/>
      <c r="AF244" s="63"/>
      <c r="AG244" s="63"/>
      <c r="AH244" s="64">
        <f t="shared" si="3"/>
        <v>3</v>
      </c>
    </row>
    <row r="245" spans="1:34" ht="15.75" customHeight="1" x14ac:dyDescent="0.3">
      <c r="A245" s="69"/>
      <c r="B245" s="65" t="s">
        <v>275</v>
      </c>
      <c r="C245" s="124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>
        <v>6</v>
      </c>
      <c r="W245" s="66"/>
      <c r="X245" s="66"/>
      <c r="Y245" s="66"/>
      <c r="Z245" s="66"/>
      <c r="AA245" s="66"/>
      <c r="AB245" s="66">
        <v>3</v>
      </c>
      <c r="AC245" s="66"/>
      <c r="AD245" s="66"/>
      <c r="AE245" s="63"/>
      <c r="AF245" s="63"/>
      <c r="AG245" s="63"/>
      <c r="AH245" s="64">
        <f t="shared" si="3"/>
        <v>9</v>
      </c>
    </row>
    <row r="246" spans="1:34" ht="15.75" customHeight="1" x14ac:dyDescent="0.3">
      <c r="A246" s="69"/>
      <c r="B246" s="67" t="s">
        <v>276</v>
      </c>
      <c r="C246" s="124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3"/>
      <c r="AF246" s="63"/>
      <c r="AG246" s="63"/>
      <c r="AH246" s="64">
        <f t="shared" si="3"/>
        <v>0</v>
      </c>
    </row>
    <row r="247" spans="1:34" ht="15.75" customHeight="1" x14ac:dyDescent="0.3">
      <c r="A247" s="69"/>
      <c r="B247" s="65" t="s">
        <v>277</v>
      </c>
      <c r="C247" s="124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3"/>
      <c r="AF247" s="63"/>
      <c r="AG247" s="63"/>
      <c r="AH247" s="64">
        <f t="shared" si="3"/>
        <v>0</v>
      </c>
    </row>
    <row r="248" spans="1:34" ht="15.75" customHeight="1" x14ac:dyDescent="0.3">
      <c r="A248" s="69"/>
      <c r="B248" s="67" t="s">
        <v>278</v>
      </c>
      <c r="C248" s="124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3"/>
      <c r="AF248" s="63"/>
      <c r="AG248" s="63"/>
      <c r="AH248" s="64">
        <f t="shared" si="3"/>
        <v>0</v>
      </c>
    </row>
    <row r="249" spans="1:34" ht="15.75" customHeight="1" x14ac:dyDescent="0.3">
      <c r="A249" s="69"/>
      <c r="B249" s="67" t="s">
        <v>279</v>
      </c>
      <c r="C249" s="124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3"/>
      <c r="AF249" s="63"/>
      <c r="AG249" s="63"/>
      <c r="AH249" s="64">
        <f t="shared" si="3"/>
        <v>0</v>
      </c>
    </row>
    <row r="250" spans="1:34" ht="15.75" customHeight="1" x14ac:dyDescent="0.3">
      <c r="A250" s="69"/>
      <c r="B250" s="65" t="s">
        <v>280</v>
      </c>
      <c r="C250" s="124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3"/>
      <c r="AF250" s="63"/>
      <c r="AG250" s="63"/>
      <c r="AH250" s="64">
        <f t="shared" si="3"/>
        <v>0</v>
      </c>
    </row>
    <row r="251" spans="1:34" ht="15.75" customHeight="1" x14ac:dyDescent="0.3">
      <c r="A251" s="69"/>
      <c r="B251" s="65" t="s">
        <v>281</v>
      </c>
      <c r="C251" s="124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3"/>
      <c r="AF251" s="63"/>
      <c r="AG251" s="63"/>
      <c r="AH251" s="64">
        <f t="shared" si="3"/>
        <v>0</v>
      </c>
    </row>
    <row r="252" spans="1:34" ht="15.75" customHeight="1" x14ac:dyDescent="0.3">
      <c r="A252" s="69"/>
      <c r="B252" s="65" t="s">
        <v>282</v>
      </c>
      <c r="C252" s="124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3"/>
      <c r="AF252" s="63"/>
      <c r="AG252" s="63"/>
      <c r="AH252" s="64">
        <f t="shared" si="3"/>
        <v>0</v>
      </c>
    </row>
    <row r="253" spans="1:34" ht="15.75" customHeight="1" x14ac:dyDescent="0.3">
      <c r="A253" s="69"/>
      <c r="B253" s="65" t="s">
        <v>283</v>
      </c>
      <c r="C253" s="124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3"/>
      <c r="AF253" s="63"/>
      <c r="AG253" s="63"/>
      <c r="AH253" s="64">
        <f t="shared" si="3"/>
        <v>0</v>
      </c>
    </row>
    <row r="254" spans="1:34" ht="15.75" customHeight="1" x14ac:dyDescent="0.3">
      <c r="A254" s="69"/>
      <c r="B254" s="65" t="s">
        <v>284</v>
      </c>
      <c r="C254" s="124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3"/>
      <c r="AF254" s="63">
        <v>3</v>
      </c>
      <c r="AG254" s="63"/>
      <c r="AH254" s="64">
        <f t="shared" si="3"/>
        <v>3</v>
      </c>
    </row>
    <row r="255" spans="1:34" ht="15.75" customHeight="1" x14ac:dyDescent="0.3">
      <c r="A255" s="69"/>
      <c r="B255" s="65" t="s">
        <v>285</v>
      </c>
      <c r="C255" s="124"/>
      <c r="D255" s="66"/>
      <c r="E255" s="66"/>
      <c r="F255" s="66"/>
      <c r="G255" s="66"/>
      <c r="H255" s="66">
        <v>5</v>
      </c>
      <c r="I255" s="66"/>
      <c r="J255" s="66"/>
      <c r="K255" s="66"/>
      <c r="L255" s="66"/>
      <c r="M255" s="66">
        <v>3</v>
      </c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>
        <v>8</v>
      </c>
      <c r="AA255" s="66"/>
      <c r="AB255" s="66"/>
      <c r="AC255" s="66"/>
      <c r="AD255" s="66"/>
      <c r="AE255" s="63"/>
      <c r="AF255" s="63">
        <v>3</v>
      </c>
      <c r="AG255" s="63"/>
      <c r="AH255" s="64">
        <f t="shared" si="3"/>
        <v>19</v>
      </c>
    </row>
    <row r="256" spans="1:34" ht="15.75" customHeight="1" x14ac:dyDescent="0.3">
      <c r="A256" s="69"/>
      <c r="B256" s="65" t="s">
        <v>286</v>
      </c>
      <c r="C256" s="124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3"/>
      <c r="AF256" s="63"/>
      <c r="AG256" s="63"/>
      <c r="AH256" s="64">
        <f t="shared" si="3"/>
        <v>0</v>
      </c>
    </row>
    <row r="257" spans="1:34" ht="15.75" customHeight="1" x14ac:dyDescent="0.3">
      <c r="A257" s="69"/>
      <c r="B257" s="65" t="s">
        <v>287</v>
      </c>
      <c r="C257" s="124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3"/>
      <c r="AF257" s="63"/>
      <c r="AG257" s="63"/>
      <c r="AH257" s="64">
        <f t="shared" si="3"/>
        <v>0</v>
      </c>
    </row>
    <row r="258" spans="1:34" ht="15.75" customHeight="1" x14ac:dyDescent="0.3">
      <c r="A258" s="69"/>
      <c r="B258" s="65" t="s">
        <v>288</v>
      </c>
      <c r="C258" s="124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3"/>
      <c r="AF258" s="63"/>
      <c r="AG258" s="63"/>
      <c r="AH258" s="64">
        <f t="shared" si="3"/>
        <v>0</v>
      </c>
    </row>
    <row r="259" spans="1:34" ht="15.75" customHeight="1" x14ac:dyDescent="0.3">
      <c r="A259" s="69"/>
      <c r="B259" s="65" t="s">
        <v>289</v>
      </c>
      <c r="C259" s="124"/>
      <c r="D259" s="66"/>
      <c r="E259" s="66"/>
      <c r="F259" s="66"/>
      <c r="G259" s="66"/>
      <c r="H259" s="66">
        <v>6</v>
      </c>
      <c r="I259" s="66"/>
      <c r="J259" s="66"/>
      <c r="K259" s="66"/>
      <c r="L259" s="66">
        <v>4</v>
      </c>
      <c r="M259" s="66"/>
      <c r="N259" s="66"/>
      <c r="O259" s="66"/>
      <c r="P259" s="66"/>
      <c r="Q259" s="66">
        <v>4</v>
      </c>
      <c r="R259" s="66"/>
      <c r="S259" s="66"/>
      <c r="T259" s="66"/>
      <c r="U259" s="66"/>
      <c r="V259" s="66">
        <v>3</v>
      </c>
      <c r="W259" s="66"/>
      <c r="X259" s="66"/>
      <c r="Y259" s="66"/>
      <c r="Z259" s="66">
        <v>4</v>
      </c>
      <c r="AA259" s="66"/>
      <c r="AB259" s="66"/>
      <c r="AC259" s="66"/>
      <c r="AD259" s="66"/>
      <c r="AE259" s="63">
        <v>3</v>
      </c>
      <c r="AF259" s="63"/>
      <c r="AG259" s="63"/>
      <c r="AH259" s="64">
        <f t="shared" si="3"/>
        <v>24</v>
      </c>
    </row>
    <row r="260" spans="1:34" ht="15.75" customHeight="1" x14ac:dyDescent="0.3">
      <c r="A260" s="69"/>
      <c r="B260" s="67" t="s">
        <v>290</v>
      </c>
      <c r="C260" s="124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3"/>
      <c r="AF260" s="63"/>
      <c r="AG260" s="63"/>
      <c r="AH260" s="64">
        <f t="shared" ref="AH260:AH323" si="4">SUM(C260:AG260)</f>
        <v>0</v>
      </c>
    </row>
    <row r="261" spans="1:34" ht="15.75" customHeight="1" x14ac:dyDescent="0.3">
      <c r="A261" s="69"/>
      <c r="B261" s="65" t="s">
        <v>291</v>
      </c>
      <c r="C261" s="124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3"/>
      <c r="AF261" s="63"/>
      <c r="AG261" s="63"/>
      <c r="AH261" s="64">
        <f t="shared" si="4"/>
        <v>0</v>
      </c>
    </row>
    <row r="262" spans="1:34" ht="15.75" customHeight="1" x14ac:dyDescent="0.3">
      <c r="A262" s="69"/>
      <c r="B262" s="67" t="s">
        <v>292</v>
      </c>
      <c r="C262" s="124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3"/>
      <c r="AF262" s="63"/>
      <c r="AG262" s="63"/>
      <c r="AH262" s="64">
        <f t="shared" si="4"/>
        <v>0</v>
      </c>
    </row>
    <row r="263" spans="1:34" ht="15.75" customHeight="1" x14ac:dyDescent="0.3">
      <c r="A263" s="69"/>
      <c r="B263" s="67" t="s">
        <v>293</v>
      </c>
      <c r="C263" s="124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3"/>
      <c r="AF263" s="63"/>
      <c r="AG263" s="63"/>
      <c r="AH263" s="64">
        <f t="shared" si="4"/>
        <v>0</v>
      </c>
    </row>
    <row r="264" spans="1:34" ht="15.75" customHeight="1" x14ac:dyDescent="0.3">
      <c r="A264" s="69"/>
      <c r="B264" s="65" t="s">
        <v>294</v>
      </c>
      <c r="C264" s="124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3"/>
      <c r="AF264" s="63"/>
      <c r="AG264" s="63"/>
      <c r="AH264" s="64">
        <f t="shared" si="4"/>
        <v>0</v>
      </c>
    </row>
    <row r="265" spans="1:34" ht="15.75" customHeight="1" x14ac:dyDescent="0.3">
      <c r="A265" s="69"/>
      <c r="B265" s="65" t="s">
        <v>295</v>
      </c>
      <c r="C265" s="124"/>
      <c r="D265" s="66"/>
      <c r="E265" s="66"/>
      <c r="F265" s="66"/>
      <c r="G265" s="66"/>
      <c r="H265" s="66"/>
      <c r="I265" s="66"/>
      <c r="J265" s="66">
        <v>8</v>
      </c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3"/>
      <c r="AF265" s="63"/>
      <c r="AG265" s="63"/>
      <c r="AH265" s="64">
        <f t="shared" si="4"/>
        <v>8</v>
      </c>
    </row>
    <row r="266" spans="1:34" ht="15.75" customHeight="1" x14ac:dyDescent="0.3">
      <c r="A266" s="69"/>
      <c r="B266" s="65" t="s">
        <v>296</v>
      </c>
      <c r="C266" s="124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3"/>
      <c r="AF266" s="63"/>
      <c r="AG266" s="63"/>
      <c r="AH266" s="64">
        <f t="shared" si="4"/>
        <v>0</v>
      </c>
    </row>
    <row r="267" spans="1:34" ht="15.75" customHeight="1" x14ac:dyDescent="0.3">
      <c r="A267" s="69"/>
      <c r="B267" s="65" t="s">
        <v>65</v>
      </c>
      <c r="C267" s="124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3"/>
      <c r="AF267" s="63"/>
      <c r="AG267" s="63"/>
      <c r="AH267" s="64">
        <f t="shared" si="4"/>
        <v>0</v>
      </c>
    </row>
    <row r="268" spans="1:34" ht="15.75" customHeight="1" x14ac:dyDescent="0.3">
      <c r="A268" s="69"/>
      <c r="B268" s="67" t="s">
        <v>298</v>
      </c>
      <c r="C268" s="124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3"/>
      <c r="AF268" s="63"/>
      <c r="AG268" s="63"/>
      <c r="AH268" s="64">
        <f t="shared" si="4"/>
        <v>0</v>
      </c>
    </row>
    <row r="269" spans="1:34" ht="15.75" customHeight="1" x14ac:dyDescent="0.3">
      <c r="A269" s="69"/>
      <c r="B269" s="65" t="s">
        <v>299</v>
      </c>
      <c r="C269" s="124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3"/>
      <c r="AF269" s="63"/>
      <c r="AG269" s="63"/>
      <c r="AH269" s="64">
        <f t="shared" si="4"/>
        <v>0</v>
      </c>
    </row>
    <row r="270" spans="1:34" ht="15.75" customHeight="1" x14ac:dyDescent="0.3">
      <c r="A270" s="69"/>
      <c r="B270" s="65" t="s">
        <v>300</v>
      </c>
      <c r="C270" s="124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3"/>
      <c r="AF270" s="63"/>
      <c r="AG270" s="63"/>
      <c r="AH270" s="64">
        <f t="shared" si="4"/>
        <v>0</v>
      </c>
    </row>
    <row r="271" spans="1:34" ht="15.75" customHeight="1" x14ac:dyDescent="0.3">
      <c r="A271" s="69"/>
      <c r="B271" s="65" t="s">
        <v>301</v>
      </c>
      <c r="C271" s="124"/>
      <c r="D271" s="66"/>
      <c r="E271" s="66"/>
      <c r="F271" s="66">
        <v>4</v>
      </c>
      <c r="G271" s="66"/>
      <c r="H271" s="66"/>
      <c r="I271" s="66"/>
      <c r="J271" s="66"/>
      <c r="K271" s="66"/>
      <c r="L271" s="66">
        <v>3</v>
      </c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>
        <v>3</v>
      </c>
      <c r="X271" s="66"/>
      <c r="Y271" s="66"/>
      <c r="Z271" s="66"/>
      <c r="AA271" s="66"/>
      <c r="AB271" s="66"/>
      <c r="AC271" s="66"/>
      <c r="AD271" s="66"/>
      <c r="AE271" s="63"/>
      <c r="AF271" s="63"/>
      <c r="AG271" s="63"/>
      <c r="AH271" s="64">
        <f t="shared" si="4"/>
        <v>10</v>
      </c>
    </row>
    <row r="272" spans="1:34" ht="15.75" customHeight="1" x14ac:dyDescent="0.3">
      <c r="A272" s="69"/>
      <c r="B272" s="65" t="s">
        <v>302</v>
      </c>
      <c r="C272" s="124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3"/>
      <c r="AF272" s="63"/>
      <c r="AG272" s="63"/>
      <c r="AH272" s="64">
        <f t="shared" si="4"/>
        <v>0</v>
      </c>
    </row>
    <row r="273" spans="1:34" ht="15.75" customHeight="1" x14ac:dyDescent="0.3">
      <c r="A273" s="69"/>
      <c r="B273" s="65" t="s">
        <v>303</v>
      </c>
      <c r="C273" s="124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3"/>
      <c r="AF273" s="63"/>
      <c r="AG273" s="63"/>
      <c r="AH273" s="64">
        <f t="shared" si="4"/>
        <v>0</v>
      </c>
    </row>
    <row r="274" spans="1:34" ht="15.75" customHeight="1" x14ac:dyDescent="0.3">
      <c r="A274" s="69"/>
      <c r="B274" s="65" t="s">
        <v>304</v>
      </c>
      <c r="C274" s="124"/>
      <c r="D274" s="66"/>
      <c r="E274" s="66"/>
      <c r="F274" s="66">
        <v>4</v>
      </c>
      <c r="G274" s="66"/>
      <c r="H274" s="66"/>
      <c r="I274" s="66"/>
      <c r="J274" s="66"/>
      <c r="K274" s="66"/>
      <c r="L274" s="66">
        <v>3</v>
      </c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>
        <v>4</v>
      </c>
      <c r="X274" s="66"/>
      <c r="Y274" s="66"/>
      <c r="Z274" s="66"/>
      <c r="AA274" s="66"/>
      <c r="AB274" s="66"/>
      <c r="AC274" s="66"/>
      <c r="AD274" s="66"/>
      <c r="AE274" s="63"/>
      <c r="AF274" s="63">
        <v>3</v>
      </c>
      <c r="AG274" s="63"/>
      <c r="AH274" s="64">
        <f t="shared" si="4"/>
        <v>14</v>
      </c>
    </row>
    <row r="275" spans="1:34" ht="15.75" customHeight="1" x14ac:dyDescent="0.3">
      <c r="A275" s="69"/>
      <c r="B275" s="65" t="s">
        <v>305</v>
      </c>
      <c r="C275" s="124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3"/>
      <c r="AF275" s="63"/>
      <c r="AG275" s="63"/>
      <c r="AH275" s="64">
        <f t="shared" si="4"/>
        <v>0</v>
      </c>
    </row>
    <row r="276" spans="1:34" ht="15.75" customHeight="1" x14ac:dyDescent="0.3">
      <c r="A276" s="69"/>
      <c r="B276" s="65" t="s">
        <v>306</v>
      </c>
      <c r="C276" s="124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3"/>
      <c r="AF276" s="63"/>
      <c r="AG276" s="63"/>
      <c r="AH276" s="64">
        <f t="shared" si="4"/>
        <v>0</v>
      </c>
    </row>
    <row r="277" spans="1:34" ht="15.75" customHeight="1" x14ac:dyDescent="0.3">
      <c r="A277" s="69"/>
      <c r="B277" s="65" t="s">
        <v>307</v>
      </c>
      <c r="C277" s="124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3"/>
      <c r="AF277" s="63"/>
      <c r="AG277" s="63"/>
      <c r="AH277" s="64">
        <f t="shared" si="4"/>
        <v>0</v>
      </c>
    </row>
    <row r="278" spans="1:34" ht="15.75" customHeight="1" x14ac:dyDescent="0.3">
      <c r="A278" s="69"/>
      <c r="B278" s="65" t="s">
        <v>308</v>
      </c>
      <c r="C278" s="124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3"/>
      <c r="AF278" s="63"/>
      <c r="AG278" s="63"/>
      <c r="AH278" s="64">
        <f t="shared" si="4"/>
        <v>0</v>
      </c>
    </row>
    <row r="279" spans="1:34" ht="15.75" customHeight="1" x14ac:dyDescent="0.3">
      <c r="A279" s="69"/>
      <c r="B279" s="65" t="s">
        <v>309</v>
      </c>
      <c r="C279" s="124"/>
      <c r="D279" s="66"/>
      <c r="E279" s="66"/>
      <c r="F279" s="66"/>
      <c r="G279" s="66"/>
      <c r="H279" s="66">
        <v>3</v>
      </c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>
        <v>3</v>
      </c>
      <c r="X279" s="66"/>
      <c r="Y279" s="66"/>
      <c r="Z279" s="66"/>
      <c r="AA279" s="66"/>
      <c r="AB279" s="66"/>
      <c r="AC279" s="66"/>
      <c r="AD279" s="66"/>
      <c r="AE279" s="63"/>
      <c r="AF279" s="63"/>
      <c r="AG279" s="63"/>
      <c r="AH279" s="64">
        <f t="shared" si="4"/>
        <v>6</v>
      </c>
    </row>
    <row r="280" spans="1:34" ht="15.75" customHeight="1" x14ac:dyDescent="0.3">
      <c r="A280" s="69"/>
      <c r="B280" s="65" t="s">
        <v>310</v>
      </c>
      <c r="C280" s="124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3"/>
      <c r="AF280" s="63"/>
      <c r="AG280" s="63"/>
      <c r="AH280" s="64">
        <f t="shared" si="4"/>
        <v>0</v>
      </c>
    </row>
    <row r="281" spans="1:34" ht="15.75" customHeight="1" x14ac:dyDescent="0.3">
      <c r="A281" s="69"/>
      <c r="B281" s="65" t="s">
        <v>311</v>
      </c>
      <c r="C281" s="124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3"/>
      <c r="AF281" s="63"/>
      <c r="AG281" s="63"/>
      <c r="AH281" s="64">
        <f t="shared" si="4"/>
        <v>0</v>
      </c>
    </row>
    <row r="282" spans="1:34" ht="15.75" customHeight="1" x14ac:dyDescent="0.3">
      <c r="A282" s="69"/>
      <c r="B282" s="65" t="s">
        <v>312</v>
      </c>
      <c r="C282" s="124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3"/>
      <c r="AF282" s="63"/>
      <c r="AG282" s="63"/>
      <c r="AH282" s="64">
        <f t="shared" si="4"/>
        <v>0</v>
      </c>
    </row>
    <row r="283" spans="1:34" ht="15.75" customHeight="1" x14ac:dyDescent="0.3">
      <c r="A283" s="69"/>
      <c r="B283" s="65" t="s">
        <v>313</v>
      </c>
      <c r="C283" s="124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3"/>
      <c r="AF283" s="63"/>
      <c r="AG283" s="63"/>
      <c r="AH283" s="64">
        <f t="shared" si="4"/>
        <v>0</v>
      </c>
    </row>
    <row r="284" spans="1:34" ht="15.75" customHeight="1" x14ac:dyDescent="0.3">
      <c r="A284" s="69"/>
      <c r="B284" s="65" t="s">
        <v>314</v>
      </c>
      <c r="C284" s="124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3"/>
      <c r="AF284" s="63"/>
      <c r="AG284" s="63"/>
      <c r="AH284" s="64">
        <f t="shared" si="4"/>
        <v>0</v>
      </c>
    </row>
    <row r="285" spans="1:34" ht="15.75" customHeight="1" x14ac:dyDescent="0.3">
      <c r="A285" s="69"/>
      <c r="B285" s="65" t="s">
        <v>316</v>
      </c>
      <c r="C285" s="124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3"/>
      <c r="AF285" s="63"/>
      <c r="AG285" s="63"/>
      <c r="AH285" s="64">
        <f t="shared" si="4"/>
        <v>0</v>
      </c>
    </row>
    <row r="286" spans="1:34" ht="15.75" customHeight="1" x14ac:dyDescent="0.3">
      <c r="A286" s="69"/>
      <c r="B286" s="65" t="s">
        <v>317</v>
      </c>
      <c r="C286" s="124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>
        <v>5</v>
      </c>
      <c r="T286" s="66"/>
      <c r="U286" s="66"/>
      <c r="V286" s="66"/>
      <c r="W286" s="66"/>
      <c r="X286" s="66"/>
      <c r="Y286" s="66"/>
      <c r="Z286" s="66">
        <v>3</v>
      </c>
      <c r="AA286" s="66"/>
      <c r="AB286" s="66"/>
      <c r="AC286" s="66"/>
      <c r="AD286" s="66"/>
      <c r="AE286" s="63"/>
      <c r="AF286" s="63"/>
      <c r="AG286" s="63"/>
      <c r="AH286" s="64">
        <f t="shared" si="4"/>
        <v>8</v>
      </c>
    </row>
    <row r="287" spans="1:34" ht="15.75" customHeight="1" x14ac:dyDescent="0.3">
      <c r="A287" s="69"/>
      <c r="B287" s="65" t="s">
        <v>318</v>
      </c>
      <c r="C287" s="124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3"/>
      <c r="AF287" s="63"/>
      <c r="AG287" s="63"/>
      <c r="AH287" s="64">
        <f t="shared" si="4"/>
        <v>0</v>
      </c>
    </row>
    <row r="288" spans="1:34" ht="15.75" customHeight="1" x14ac:dyDescent="0.3">
      <c r="A288" s="69"/>
      <c r="B288" s="67" t="s">
        <v>319</v>
      </c>
      <c r="C288" s="124"/>
      <c r="D288" s="66"/>
      <c r="E288" s="66"/>
      <c r="F288" s="66"/>
      <c r="G288" s="66"/>
      <c r="H288" s="66">
        <v>6</v>
      </c>
      <c r="I288" s="66"/>
      <c r="J288" s="66"/>
      <c r="K288" s="66"/>
      <c r="L288" s="66">
        <v>8</v>
      </c>
      <c r="M288" s="66"/>
      <c r="N288" s="66"/>
      <c r="O288" s="66"/>
      <c r="P288" s="66">
        <v>7</v>
      </c>
      <c r="Q288" s="66"/>
      <c r="R288" s="66">
        <v>7</v>
      </c>
      <c r="S288" s="66"/>
      <c r="T288" s="66"/>
      <c r="U288" s="66"/>
      <c r="V288" s="66"/>
      <c r="W288" s="66"/>
      <c r="X288" s="66"/>
      <c r="Y288" s="66"/>
      <c r="Z288" s="68"/>
      <c r="AA288" s="66"/>
      <c r="AB288" s="66"/>
      <c r="AC288" s="66"/>
      <c r="AD288" s="66"/>
      <c r="AE288" s="63"/>
      <c r="AF288" s="63">
        <v>8</v>
      </c>
      <c r="AG288" s="63"/>
      <c r="AH288" s="64">
        <f t="shared" si="4"/>
        <v>36</v>
      </c>
    </row>
    <row r="289" spans="1:42" ht="15.75" customHeight="1" x14ac:dyDescent="0.3">
      <c r="A289" s="69"/>
      <c r="B289" s="65" t="s">
        <v>320</v>
      </c>
      <c r="C289" s="124">
        <v>7</v>
      </c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>
        <v>4</v>
      </c>
      <c r="Y289" s="66"/>
      <c r="Z289" s="68"/>
      <c r="AA289" s="66"/>
      <c r="AB289" s="66"/>
      <c r="AC289" s="66"/>
      <c r="AD289" s="66"/>
      <c r="AE289" s="63">
        <v>3</v>
      </c>
      <c r="AF289" s="63"/>
      <c r="AG289" s="63"/>
      <c r="AH289" s="64">
        <f t="shared" si="4"/>
        <v>14</v>
      </c>
    </row>
    <row r="290" spans="1:42" ht="15.75" customHeight="1" x14ac:dyDescent="0.3">
      <c r="A290" s="69"/>
      <c r="B290" s="65" t="s">
        <v>321</v>
      </c>
      <c r="C290" s="124"/>
      <c r="D290" s="66"/>
      <c r="E290" s="66"/>
      <c r="F290" s="66"/>
      <c r="G290" s="66"/>
      <c r="H290" s="66">
        <v>4</v>
      </c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>
        <v>3</v>
      </c>
      <c r="X290" s="66"/>
      <c r="Y290" s="66"/>
      <c r="Z290" s="66"/>
      <c r="AA290" s="66"/>
      <c r="AB290" s="66"/>
      <c r="AC290" s="66"/>
      <c r="AD290" s="66"/>
      <c r="AE290" s="63">
        <v>3</v>
      </c>
      <c r="AF290" s="63"/>
      <c r="AG290" s="63"/>
      <c r="AH290" s="64">
        <f t="shared" si="4"/>
        <v>10</v>
      </c>
    </row>
    <row r="291" spans="1:42" ht="15.75" customHeight="1" x14ac:dyDescent="0.3">
      <c r="A291" s="69"/>
      <c r="B291" s="65" t="s">
        <v>322</v>
      </c>
      <c r="C291" s="124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3"/>
      <c r="AF291" s="63"/>
      <c r="AG291" s="63"/>
      <c r="AH291" s="64">
        <f t="shared" si="4"/>
        <v>0</v>
      </c>
      <c r="AI291" s="44"/>
      <c r="AJ291" s="44"/>
      <c r="AK291" s="44"/>
      <c r="AL291" s="44"/>
      <c r="AM291" s="44"/>
    </row>
    <row r="292" spans="1:42" ht="15.75" customHeight="1" x14ac:dyDescent="0.3">
      <c r="A292" s="69"/>
      <c r="B292" s="65" t="s">
        <v>323</v>
      </c>
      <c r="C292" s="124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3"/>
      <c r="AF292" s="63"/>
      <c r="AG292" s="63"/>
      <c r="AH292" s="64">
        <f t="shared" si="4"/>
        <v>0</v>
      </c>
    </row>
    <row r="293" spans="1:42" ht="15.75" customHeight="1" x14ac:dyDescent="0.3">
      <c r="A293" s="69"/>
      <c r="B293" s="65" t="s">
        <v>324</v>
      </c>
      <c r="C293" s="124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3"/>
      <c r="AF293" s="63"/>
      <c r="AG293" s="63"/>
      <c r="AH293" s="64">
        <f t="shared" si="4"/>
        <v>0</v>
      </c>
    </row>
    <row r="294" spans="1:42" ht="15.75" customHeight="1" x14ac:dyDescent="0.3">
      <c r="A294" s="69"/>
      <c r="B294" s="65" t="s">
        <v>325</v>
      </c>
      <c r="C294" s="124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3"/>
      <c r="AF294" s="63"/>
      <c r="AG294" s="63"/>
      <c r="AH294" s="64">
        <f t="shared" si="4"/>
        <v>0</v>
      </c>
    </row>
    <row r="295" spans="1:42" ht="15.75" customHeight="1" x14ac:dyDescent="0.3">
      <c r="A295" s="69"/>
      <c r="B295" s="65" t="s">
        <v>327</v>
      </c>
      <c r="C295" s="124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3"/>
      <c r="AF295" s="63"/>
      <c r="AG295" s="63"/>
      <c r="AH295" s="64">
        <f t="shared" si="4"/>
        <v>0</v>
      </c>
    </row>
    <row r="296" spans="1:42" ht="15.75" customHeight="1" x14ac:dyDescent="0.3">
      <c r="A296" s="69"/>
      <c r="B296" s="67" t="s">
        <v>328</v>
      </c>
      <c r="C296" s="124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>
        <v>5</v>
      </c>
      <c r="W296" s="66"/>
      <c r="X296" s="66"/>
      <c r="Y296" s="66"/>
      <c r="Z296" s="66">
        <v>3</v>
      </c>
      <c r="AA296" s="66"/>
      <c r="AB296" s="66"/>
      <c r="AC296" s="66"/>
      <c r="AD296" s="66"/>
      <c r="AE296" s="63"/>
      <c r="AF296" s="63"/>
      <c r="AG296" s="63"/>
      <c r="AH296" s="64">
        <f t="shared" si="4"/>
        <v>8</v>
      </c>
    </row>
    <row r="297" spans="1:42" ht="15.75" customHeight="1" x14ac:dyDescent="0.3">
      <c r="A297" s="69"/>
      <c r="B297" s="65" t="s">
        <v>330</v>
      </c>
      <c r="C297" s="124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3"/>
      <c r="AF297" s="63"/>
      <c r="AG297" s="63"/>
      <c r="AH297" s="64">
        <f t="shared" si="4"/>
        <v>0</v>
      </c>
    </row>
    <row r="298" spans="1:42" ht="15.75" customHeight="1" x14ac:dyDescent="0.3">
      <c r="A298" s="69"/>
      <c r="B298" s="67" t="s">
        <v>331</v>
      </c>
      <c r="C298" s="124"/>
      <c r="D298" s="66"/>
      <c r="E298" s="66"/>
      <c r="F298" s="66"/>
      <c r="G298" s="66"/>
      <c r="H298" s="66"/>
      <c r="I298" s="66"/>
      <c r="J298" s="66"/>
      <c r="K298" s="66"/>
      <c r="L298" s="66">
        <v>7</v>
      </c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8"/>
      <c r="AA298" s="66"/>
      <c r="AB298" s="66"/>
      <c r="AC298" s="66"/>
      <c r="AD298" s="66"/>
      <c r="AE298" s="63"/>
      <c r="AF298" s="63"/>
      <c r="AG298" s="63"/>
      <c r="AH298" s="64">
        <f t="shared" si="4"/>
        <v>7</v>
      </c>
      <c r="AI298" s="44"/>
      <c r="AJ298" s="44"/>
      <c r="AK298" s="44"/>
      <c r="AL298" s="44"/>
      <c r="AM298" s="44"/>
    </row>
    <row r="299" spans="1:42" ht="15.75" customHeight="1" x14ac:dyDescent="0.3">
      <c r="A299" s="69"/>
      <c r="B299" s="65" t="s">
        <v>332</v>
      </c>
      <c r="C299" s="124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3"/>
      <c r="AF299" s="63"/>
      <c r="AG299" s="63"/>
      <c r="AH299" s="64">
        <f t="shared" si="4"/>
        <v>0</v>
      </c>
    </row>
    <row r="300" spans="1:42" ht="15.75" customHeight="1" x14ac:dyDescent="0.3">
      <c r="A300" s="69"/>
      <c r="B300" s="67" t="s">
        <v>333</v>
      </c>
      <c r="C300" s="124"/>
      <c r="D300" s="66"/>
      <c r="E300" s="66"/>
      <c r="F300" s="66"/>
      <c r="G300" s="66">
        <v>8</v>
      </c>
      <c r="H300" s="66"/>
      <c r="I300" s="66"/>
      <c r="J300" s="66">
        <v>8</v>
      </c>
      <c r="K300" s="66"/>
      <c r="L300" s="66"/>
      <c r="M300" s="66"/>
      <c r="N300" s="66"/>
      <c r="O300" s="66">
        <v>8</v>
      </c>
      <c r="P300" s="66"/>
      <c r="Q300" s="66"/>
      <c r="R300" s="66"/>
      <c r="S300" s="66">
        <v>8</v>
      </c>
      <c r="T300" s="66"/>
      <c r="U300" s="66"/>
      <c r="V300" s="66">
        <v>5</v>
      </c>
      <c r="W300" s="66"/>
      <c r="X300" s="66"/>
      <c r="Y300" s="66"/>
      <c r="Z300" s="66">
        <v>6</v>
      </c>
      <c r="AA300" s="66"/>
      <c r="AB300" s="66"/>
      <c r="AC300" s="66"/>
      <c r="AD300" s="66">
        <v>5</v>
      </c>
      <c r="AE300" s="63"/>
      <c r="AF300" s="63"/>
      <c r="AG300" s="63"/>
      <c r="AH300" s="64">
        <f t="shared" si="4"/>
        <v>48</v>
      </c>
      <c r="AI300" s="44"/>
      <c r="AJ300" s="73"/>
      <c r="AK300" s="73"/>
      <c r="AL300" s="74"/>
      <c r="AM300" s="74"/>
      <c r="AN300" s="74"/>
      <c r="AO300" s="74"/>
      <c r="AP300" s="75"/>
    </row>
    <row r="301" spans="1:42" ht="15.75" customHeight="1" x14ac:dyDescent="0.3">
      <c r="A301" s="69"/>
      <c r="B301" s="67" t="s">
        <v>334</v>
      </c>
      <c r="C301" s="124"/>
      <c r="D301" s="66"/>
      <c r="E301" s="66"/>
      <c r="F301" s="66"/>
      <c r="G301" s="66">
        <v>8</v>
      </c>
      <c r="H301" s="66"/>
      <c r="I301" s="66"/>
      <c r="J301" s="66"/>
      <c r="K301" s="66">
        <v>4</v>
      </c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>
        <v>5</v>
      </c>
      <c r="W301" s="66"/>
      <c r="X301" s="66"/>
      <c r="Y301" s="66"/>
      <c r="Z301" s="66"/>
      <c r="AA301" s="66"/>
      <c r="AB301" s="66"/>
      <c r="AC301" s="66"/>
      <c r="AD301" s="66"/>
      <c r="AE301" s="63"/>
      <c r="AF301" s="63"/>
      <c r="AG301" s="63"/>
      <c r="AH301" s="64">
        <f t="shared" si="4"/>
        <v>17</v>
      </c>
      <c r="AJ301" s="73"/>
      <c r="AK301" s="73"/>
      <c r="AL301" s="74"/>
      <c r="AM301" s="74"/>
      <c r="AN301" s="74"/>
      <c r="AO301" s="74"/>
      <c r="AP301" s="75"/>
    </row>
    <row r="302" spans="1:42" ht="15.75" customHeight="1" x14ac:dyDescent="0.3">
      <c r="A302" s="69"/>
      <c r="B302" s="65" t="s">
        <v>335</v>
      </c>
      <c r="C302" s="124"/>
      <c r="D302" s="66"/>
      <c r="E302" s="66"/>
      <c r="F302" s="66"/>
      <c r="G302" s="66"/>
      <c r="H302" s="66"/>
      <c r="I302" s="66"/>
      <c r="J302" s="66">
        <v>4</v>
      </c>
      <c r="K302" s="66"/>
      <c r="L302" s="66"/>
      <c r="M302" s="66"/>
      <c r="N302" s="66"/>
      <c r="O302" s="66">
        <v>4</v>
      </c>
      <c r="P302" s="66"/>
      <c r="Q302" s="66"/>
      <c r="R302" s="66"/>
      <c r="S302" s="66"/>
      <c r="T302" s="66"/>
      <c r="U302" s="66"/>
      <c r="V302" s="66">
        <v>4</v>
      </c>
      <c r="W302" s="66"/>
      <c r="X302" s="66"/>
      <c r="Y302" s="66"/>
      <c r="Z302" s="66"/>
      <c r="AA302" s="66"/>
      <c r="AB302" s="66"/>
      <c r="AC302" s="66">
        <v>6</v>
      </c>
      <c r="AD302" s="66"/>
      <c r="AE302" s="63"/>
      <c r="AF302" s="63"/>
      <c r="AG302" s="63"/>
      <c r="AH302" s="64">
        <f t="shared" si="4"/>
        <v>18</v>
      </c>
      <c r="AJ302" s="76"/>
      <c r="AK302" s="76"/>
      <c r="AL302" s="77"/>
      <c r="AM302" s="77"/>
      <c r="AN302" s="77"/>
      <c r="AO302" s="77"/>
      <c r="AP302" s="78"/>
    </row>
    <row r="303" spans="1:42" ht="15.75" customHeight="1" x14ac:dyDescent="0.3">
      <c r="A303" s="69"/>
      <c r="B303" s="65" t="s">
        <v>336</v>
      </c>
      <c r="C303" s="124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3"/>
      <c r="AF303" s="63"/>
      <c r="AG303" s="63"/>
      <c r="AH303" s="64">
        <f t="shared" si="4"/>
        <v>0</v>
      </c>
      <c r="AJ303" s="76"/>
      <c r="AK303" s="76"/>
      <c r="AL303" s="77"/>
      <c r="AM303" s="77"/>
      <c r="AN303" s="77"/>
      <c r="AO303" s="77"/>
      <c r="AP303" s="78"/>
    </row>
    <row r="304" spans="1:42" ht="15.75" customHeight="1" x14ac:dyDescent="0.3">
      <c r="A304" s="69"/>
      <c r="B304" s="65" t="s">
        <v>337</v>
      </c>
      <c r="C304" s="124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3"/>
      <c r="AF304" s="63"/>
      <c r="AG304" s="63"/>
      <c r="AH304" s="64">
        <f t="shared" si="4"/>
        <v>0</v>
      </c>
      <c r="AJ304" s="76"/>
      <c r="AK304" s="76"/>
      <c r="AL304" s="77"/>
      <c r="AM304" s="77"/>
      <c r="AN304" s="77"/>
      <c r="AO304" s="77"/>
      <c r="AP304" s="78"/>
    </row>
    <row r="305" spans="1:42" ht="15.75" customHeight="1" x14ac:dyDescent="0.3">
      <c r="A305" s="69"/>
      <c r="B305" s="65" t="s">
        <v>338</v>
      </c>
      <c r="C305" s="124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3"/>
      <c r="AF305" s="63"/>
      <c r="AG305" s="63"/>
      <c r="AH305" s="64">
        <f t="shared" si="4"/>
        <v>0</v>
      </c>
      <c r="AJ305" s="76"/>
      <c r="AK305" s="76"/>
      <c r="AL305" s="77"/>
      <c r="AM305" s="77"/>
      <c r="AN305" s="77"/>
      <c r="AO305" s="77"/>
      <c r="AP305" s="78"/>
    </row>
    <row r="306" spans="1:42" ht="15.75" customHeight="1" x14ac:dyDescent="0.3">
      <c r="A306" s="69"/>
      <c r="B306" s="65" t="s">
        <v>340</v>
      </c>
      <c r="C306" s="124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3"/>
      <c r="AF306" s="63"/>
      <c r="AG306" s="63"/>
      <c r="AH306" s="64">
        <f t="shared" si="4"/>
        <v>0</v>
      </c>
      <c r="AJ306" s="76"/>
      <c r="AK306" s="76"/>
      <c r="AL306" s="77"/>
      <c r="AM306" s="77"/>
      <c r="AN306" s="77"/>
      <c r="AO306" s="77"/>
      <c r="AP306" s="78"/>
    </row>
    <row r="307" spans="1:42" ht="15.75" customHeight="1" x14ac:dyDescent="0.3">
      <c r="A307" s="69"/>
      <c r="B307" s="65" t="s">
        <v>341</v>
      </c>
      <c r="C307" s="124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3">
        <v>5</v>
      </c>
      <c r="AF307" s="63"/>
      <c r="AG307" s="63"/>
      <c r="AH307" s="64">
        <f t="shared" si="4"/>
        <v>5</v>
      </c>
      <c r="AJ307" s="76"/>
      <c r="AK307" s="76"/>
      <c r="AL307" s="77"/>
      <c r="AM307" s="77"/>
      <c r="AN307" s="77"/>
      <c r="AO307" s="77"/>
      <c r="AP307" s="78"/>
    </row>
    <row r="308" spans="1:42" ht="15.75" customHeight="1" x14ac:dyDescent="0.3">
      <c r="A308" s="69"/>
      <c r="B308" s="65" t="s">
        <v>342</v>
      </c>
      <c r="C308" s="124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3"/>
      <c r="AF308" s="63"/>
      <c r="AG308" s="63"/>
      <c r="AH308" s="64">
        <f t="shared" si="4"/>
        <v>0</v>
      </c>
      <c r="AJ308" s="76"/>
      <c r="AK308" s="76"/>
      <c r="AL308" s="77"/>
      <c r="AM308" s="77"/>
      <c r="AN308" s="77"/>
      <c r="AO308" s="77"/>
      <c r="AP308" s="78"/>
    </row>
    <row r="309" spans="1:42" ht="15.75" customHeight="1" x14ac:dyDescent="0.3">
      <c r="A309" s="69"/>
      <c r="B309" s="65" t="s">
        <v>343</v>
      </c>
      <c r="C309" s="124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3"/>
      <c r="AF309" s="63"/>
      <c r="AG309" s="63"/>
      <c r="AH309" s="64">
        <f t="shared" si="4"/>
        <v>0</v>
      </c>
      <c r="AI309" s="44"/>
      <c r="AJ309" s="76"/>
      <c r="AK309" s="76"/>
      <c r="AL309" s="77"/>
      <c r="AM309" s="77"/>
      <c r="AN309" s="77"/>
      <c r="AO309" s="77"/>
      <c r="AP309" s="78"/>
    </row>
    <row r="310" spans="1:42" ht="15.75" customHeight="1" x14ac:dyDescent="0.3">
      <c r="A310" s="69"/>
      <c r="B310" s="65" t="s">
        <v>344</v>
      </c>
      <c r="C310" s="126"/>
      <c r="D310" s="127"/>
      <c r="E310" s="127"/>
      <c r="F310" s="127"/>
      <c r="G310" s="127"/>
      <c r="H310" s="66">
        <v>6</v>
      </c>
      <c r="I310" s="66"/>
      <c r="J310" s="66">
        <v>3</v>
      </c>
      <c r="K310" s="66"/>
      <c r="L310" s="66"/>
      <c r="M310" s="66"/>
      <c r="N310" s="66"/>
      <c r="O310" s="66"/>
      <c r="P310" s="66"/>
      <c r="Q310" s="66"/>
      <c r="R310" s="66"/>
      <c r="S310" s="66">
        <v>6</v>
      </c>
      <c r="T310" s="66"/>
      <c r="U310" s="66"/>
      <c r="V310" s="66"/>
      <c r="W310" s="66"/>
      <c r="X310" s="66">
        <v>4</v>
      </c>
      <c r="Y310" s="66"/>
      <c r="Z310" s="66"/>
      <c r="AA310" s="66"/>
      <c r="AB310" s="66">
        <v>3</v>
      </c>
      <c r="AC310" s="66"/>
      <c r="AD310" s="66"/>
      <c r="AE310" s="63"/>
      <c r="AF310" s="63">
        <v>6</v>
      </c>
      <c r="AG310" s="63"/>
      <c r="AH310" s="64">
        <f t="shared" si="4"/>
        <v>28</v>
      </c>
      <c r="AJ310" s="76"/>
      <c r="AK310" s="76"/>
      <c r="AL310" s="77"/>
      <c r="AM310" s="77"/>
      <c r="AN310" s="77"/>
      <c r="AO310" s="77"/>
      <c r="AP310" s="78"/>
    </row>
    <row r="311" spans="1:42" ht="15.75" customHeight="1" x14ac:dyDescent="0.3">
      <c r="A311" s="69"/>
      <c r="B311" s="65" t="s">
        <v>345</v>
      </c>
      <c r="C311" s="124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3"/>
      <c r="AF311" s="63"/>
      <c r="AG311" s="63"/>
      <c r="AH311" s="64">
        <f t="shared" si="4"/>
        <v>0</v>
      </c>
      <c r="AJ311" s="76"/>
      <c r="AK311" s="76"/>
      <c r="AL311" s="77"/>
      <c r="AM311" s="77"/>
      <c r="AN311" s="77"/>
      <c r="AO311" s="77"/>
      <c r="AP311" s="78"/>
    </row>
    <row r="312" spans="1:42" ht="15.75" customHeight="1" x14ac:dyDescent="0.3">
      <c r="A312" s="69"/>
      <c r="B312" s="65" t="s">
        <v>346</v>
      </c>
      <c r="C312" s="124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3"/>
      <c r="AF312" s="63"/>
      <c r="AG312" s="63"/>
      <c r="AH312" s="64">
        <f t="shared" si="4"/>
        <v>0</v>
      </c>
      <c r="AJ312" s="76"/>
      <c r="AK312" s="76"/>
      <c r="AL312" s="77"/>
      <c r="AM312" s="77"/>
      <c r="AN312" s="77"/>
      <c r="AO312" s="77"/>
      <c r="AP312" s="78"/>
    </row>
    <row r="313" spans="1:42" ht="15.75" customHeight="1" x14ac:dyDescent="0.3">
      <c r="A313" s="69"/>
      <c r="B313" s="65" t="s">
        <v>347</v>
      </c>
      <c r="C313" s="124">
        <v>4</v>
      </c>
      <c r="D313" s="66"/>
      <c r="E313" s="66"/>
      <c r="F313" s="66"/>
      <c r="G313" s="66"/>
      <c r="H313" s="66"/>
      <c r="I313" s="66"/>
      <c r="J313" s="66">
        <v>2</v>
      </c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>
        <v>5</v>
      </c>
      <c r="Y313" s="66"/>
      <c r="Z313" s="68"/>
      <c r="AA313" s="66"/>
      <c r="AB313" s="66"/>
      <c r="AC313" s="66"/>
      <c r="AD313" s="66"/>
      <c r="AE313" s="63">
        <v>8</v>
      </c>
      <c r="AF313" s="63"/>
      <c r="AG313" s="63"/>
      <c r="AH313" s="64">
        <f t="shared" si="4"/>
        <v>19</v>
      </c>
      <c r="AJ313" s="79"/>
      <c r="AK313" s="79"/>
      <c r="AL313" s="80"/>
      <c r="AM313" s="80"/>
      <c r="AN313" s="80"/>
      <c r="AO313" s="80"/>
      <c r="AP313" s="81"/>
    </row>
    <row r="314" spans="1:42" ht="15.75" customHeight="1" x14ac:dyDescent="0.3">
      <c r="A314" s="69"/>
      <c r="B314" s="65" t="s">
        <v>348</v>
      </c>
      <c r="C314" s="124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3"/>
      <c r="AF314" s="63"/>
      <c r="AG314" s="63"/>
      <c r="AH314" s="64">
        <f t="shared" si="4"/>
        <v>0</v>
      </c>
    </row>
    <row r="315" spans="1:42" ht="15.75" customHeight="1" x14ac:dyDescent="0.3">
      <c r="A315" s="69"/>
      <c r="B315" s="65" t="s">
        <v>349</v>
      </c>
      <c r="C315" s="124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3"/>
      <c r="AF315" s="63"/>
      <c r="AG315" s="63"/>
      <c r="AH315" s="64">
        <f t="shared" si="4"/>
        <v>0</v>
      </c>
    </row>
    <row r="316" spans="1:42" ht="15.75" customHeight="1" x14ac:dyDescent="0.3">
      <c r="A316" s="69"/>
      <c r="B316" s="65" t="s">
        <v>350</v>
      </c>
      <c r="C316" s="124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3"/>
      <c r="AF316" s="63"/>
      <c r="AG316" s="63"/>
      <c r="AH316" s="64">
        <f t="shared" si="4"/>
        <v>0</v>
      </c>
    </row>
    <row r="317" spans="1:42" ht="15.75" customHeight="1" x14ac:dyDescent="0.3">
      <c r="A317" s="69"/>
      <c r="B317" s="65" t="s">
        <v>352</v>
      </c>
      <c r="C317" s="124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3"/>
      <c r="AF317" s="63"/>
      <c r="AG317" s="63"/>
      <c r="AH317" s="64">
        <f t="shared" si="4"/>
        <v>0</v>
      </c>
    </row>
    <row r="318" spans="1:42" ht="15.75" customHeight="1" x14ac:dyDescent="0.3">
      <c r="A318" s="69"/>
      <c r="B318" s="65" t="s">
        <v>353</v>
      </c>
      <c r="C318" s="124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3"/>
      <c r="AF318" s="63"/>
      <c r="AG318" s="63"/>
      <c r="AH318" s="64">
        <f t="shared" si="4"/>
        <v>0</v>
      </c>
    </row>
    <row r="319" spans="1:42" ht="15.75" customHeight="1" x14ac:dyDescent="0.3">
      <c r="A319" s="69"/>
      <c r="B319" s="65" t="s">
        <v>354</v>
      </c>
      <c r="C319" s="124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3"/>
      <c r="AF319" s="63"/>
      <c r="AG319" s="63"/>
      <c r="AH319" s="64">
        <f t="shared" si="4"/>
        <v>0</v>
      </c>
    </row>
    <row r="320" spans="1:42" ht="15.75" customHeight="1" x14ac:dyDescent="0.3">
      <c r="A320" s="69"/>
      <c r="B320" s="67" t="s">
        <v>355</v>
      </c>
      <c r="C320" s="124"/>
      <c r="D320" s="66"/>
      <c r="E320" s="66"/>
      <c r="F320" s="66"/>
      <c r="G320" s="66"/>
      <c r="H320" s="66"/>
      <c r="I320" s="66"/>
      <c r="J320" s="66"/>
      <c r="K320" s="66"/>
      <c r="L320" s="66"/>
      <c r="M320" s="66">
        <v>3</v>
      </c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3"/>
      <c r="AF320" s="63"/>
      <c r="AG320" s="63"/>
      <c r="AH320" s="64">
        <f t="shared" si="4"/>
        <v>3</v>
      </c>
    </row>
    <row r="321" spans="1:34" ht="15.75" customHeight="1" x14ac:dyDescent="0.3">
      <c r="A321" s="69"/>
      <c r="B321" s="65" t="s">
        <v>356</v>
      </c>
      <c r="C321" s="124">
        <v>3</v>
      </c>
      <c r="D321" s="66"/>
      <c r="E321" s="66"/>
      <c r="F321" s="66"/>
      <c r="G321" s="66"/>
      <c r="H321" s="66">
        <v>7</v>
      </c>
      <c r="I321" s="66"/>
      <c r="J321" s="66">
        <v>4</v>
      </c>
      <c r="K321" s="66"/>
      <c r="L321" s="66"/>
      <c r="M321" s="66"/>
      <c r="N321" s="66"/>
      <c r="O321" s="66">
        <v>5</v>
      </c>
      <c r="P321" s="66"/>
      <c r="Q321" s="66"/>
      <c r="R321" s="66"/>
      <c r="S321" s="66">
        <v>6</v>
      </c>
      <c r="T321" s="66"/>
      <c r="U321" s="66"/>
      <c r="V321" s="66"/>
      <c r="W321" s="66"/>
      <c r="X321" s="66">
        <v>7</v>
      </c>
      <c r="Y321" s="66"/>
      <c r="Z321" s="66"/>
      <c r="AA321" s="66"/>
      <c r="AB321" s="66"/>
      <c r="AC321" s="66">
        <v>8</v>
      </c>
      <c r="AD321" s="66"/>
      <c r="AE321" s="63"/>
      <c r="AF321" s="63"/>
      <c r="AG321" s="63"/>
      <c r="AH321" s="64">
        <f t="shared" si="4"/>
        <v>40</v>
      </c>
    </row>
    <row r="322" spans="1:34" ht="15.75" customHeight="1" x14ac:dyDescent="0.3">
      <c r="A322" s="69"/>
      <c r="B322" s="67" t="s">
        <v>357</v>
      </c>
      <c r="C322" s="124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>
        <v>3</v>
      </c>
      <c r="Y322" s="66"/>
      <c r="Z322" s="66"/>
      <c r="AA322" s="66"/>
      <c r="AB322" s="66"/>
      <c r="AC322" s="66"/>
      <c r="AD322" s="66"/>
      <c r="AE322" s="63"/>
      <c r="AF322" s="63"/>
      <c r="AG322" s="63"/>
      <c r="AH322" s="64">
        <f t="shared" si="4"/>
        <v>3</v>
      </c>
    </row>
    <row r="323" spans="1:34" ht="15.75" customHeight="1" x14ac:dyDescent="0.3">
      <c r="A323" s="69"/>
      <c r="B323" s="65" t="s">
        <v>358</v>
      </c>
      <c r="C323" s="124">
        <v>3</v>
      </c>
      <c r="D323" s="66"/>
      <c r="E323" s="66"/>
      <c r="F323" s="66"/>
      <c r="G323" s="66"/>
      <c r="H323" s="66"/>
      <c r="I323" s="66"/>
      <c r="J323" s="66">
        <v>3</v>
      </c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>
        <v>5</v>
      </c>
      <c r="Y323" s="66"/>
      <c r="Z323" s="66"/>
      <c r="AA323" s="66"/>
      <c r="AB323" s="66"/>
      <c r="AC323" s="66"/>
      <c r="AD323" s="66"/>
      <c r="AE323" s="63"/>
      <c r="AF323" s="63"/>
      <c r="AG323" s="63"/>
      <c r="AH323" s="64">
        <f t="shared" si="4"/>
        <v>11</v>
      </c>
    </row>
    <row r="324" spans="1:34" ht="15.75" customHeight="1" x14ac:dyDescent="0.3">
      <c r="A324" s="69"/>
      <c r="B324" s="67" t="s">
        <v>359</v>
      </c>
      <c r="C324" s="124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3"/>
      <c r="AF324" s="63"/>
      <c r="AG324" s="63"/>
      <c r="AH324" s="64">
        <f t="shared" ref="AH324:AH387" si="5">SUM(C324:AG324)</f>
        <v>0</v>
      </c>
    </row>
    <row r="325" spans="1:34" ht="15.75" customHeight="1" x14ac:dyDescent="0.3">
      <c r="A325" s="69"/>
      <c r="B325" s="67" t="s">
        <v>360</v>
      </c>
      <c r="C325" s="124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3"/>
      <c r="AF325" s="63"/>
      <c r="AG325" s="63"/>
      <c r="AH325" s="64">
        <f t="shared" si="5"/>
        <v>0</v>
      </c>
    </row>
    <row r="326" spans="1:34" ht="15.75" customHeight="1" x14ac:dyDescent="0.3">
      <c r="A326" s="69"/>
      <c r="B326" s="67" t="s">
        <v>361</v>
      </c>
      <c r="C326" s="124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3"/>
      <c r="AF326" s="63"/>
      <c r="AG326" s="63"/>
      <c r="AH326" s="64">
        <f t="shared" si="5"/>
        <v>0</v>
      </c>
    </row>
    <row r="327" spans="1:34" ht="15.75" customHeight="1" x14ac:dyDescent="0.3">
      <c r="A327" s="69"/>
      <c r="B327" s="65" t="s">
        <v>362</v>
      </c>
      <c r="C327" s="124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3"/>
      <c r="AF327" s="63"/>
      <c r="AG327" s="63"/>
      <c r="AH327" s="64">
        <f t="shared" si="5"/>
        <v>0</v>
      </c>
    </row>
    <row r="328" spans="1:34" ht="15.75" customHeight="1" x14ac:dyDescent="0.3">
      <c r="A328" s="69"/>
      <c r="B328" s="65" t="s">
        <v>368</v>
      </c>
      <c r="C328" s="124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3"/>
      <c r="AF328" s="63"/>
      <c r="AG328" s="63"/>
      <c r="AH328" s="64">
        <f t="shared" si="5"/>
        <v>0</v>
      </c>
    </row>
    <row r="329" spans="1:34" ht="15.75" customHeight="1" x14ac:dyDescent="0.3">
      <c r="A329" s="69"/>
      <c r="B329" s="65" t="s">
        <v>369</v>
      </c>
      <c r="C329" s="124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3"/>
      <c r="AF329" s="63"/>
      <c r="AG329" s="63"/>
      <c r="AH329" s="64">
        <f t="shared" si="5"/>
        <v>0</v>
      </c>
    </row>
    <row r="330" spans="1:34" ht="15.75" customHeight="1" x14ac:dyDescent="0.3">
      <c r="A330" s="69"/>
      <c r="B330" s="65" t="s">
        <v>371</v>
      </c>
      <c r="C330" s="124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3"/>
      <c r="AF330" s="63"/>
      <c r="AG330" s="63"/>
      <c r="AH330" s="64">
        <f t="shared" si="5"/>
        <v>0</v>
      </c>
    </row>
    <row r="331" spans="1:34" ht="15.75" customHeight="1" x14ac:dyDescent="0.3">
      <c r="A331" s="69"/>
      <c r="B331" s="65" t="s">
        <v>372</v>
      </c>
      <c r="C331" s="124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3"/>
      <c r="AF331" s="63"/>
      <c r="AG331" s="63"/>
      <c r="AH331" s="64">
        <f t="shared" si="5"/>
        <v>0</v>
      </c>
    </row>
    <row r="332" spans="1:34" ht="15.75" customHeight="1" x14ac:dyDescent="0.3">
      <c r="A332" s="69"/>
      <c r="B332" s="65" t="s">
        <v>373</v>
      </c>
      <c r="C332" s="124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3"/>
      <c r="AF332" s="63"/>
      <c r="AG332" s="63"/>
      <c r="AH332" s="64">
        <f t="shared" si="5"/>
        <v>0</v>
      </c>
    </row>
    <row r="333" spans="1:34" ht="15.75" customHeight="1" x14ac:dyDescent="0.3">
      <c r="A333" s="69"/>
      <c r="B333" s="65" t="s">
        <v>374</v>
      </c>
      <c r="C333" s="124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>
        <v>4</v>
      </c>
      <c r="AE333" s="63"/>
      <c r="AF333" s="63"/>
      <c r="AG333" s="63"/>
      <c r="AH333" s="64">
        <f t="shared" si="5"/>
        <v>4</v>
      </c>
    </row>
    <row r="334" spans="1:34" ht="15.75" customHeight="1" x14ac:dyDescent="0.3">
      <c r="A334" s="69"/>
      <c r="B334" s="65" t="s">
        <v>375</v>
      </c>
      <c r="C334" s="124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3"/>
      <c r="AF334" s="63"/>
      <c r="AG334" s="63"/>
      <c r="AH334" s="64">
        <f t="shared" si="5"/>
        <v>0</v>
      </c>
    </row>
    <row r="335" spans="1:34" ht="15.75" customHeight="1" x14ac:dyDescent="0.3">
      <c r="A335" s="69"/>
      <c r="B335" s="65" t="s">
        <v>376</v>
      </c>
      <c r="C335" s="124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3"/>
      <c r="AF335" s="63"/>
      <c r="AG335" s="63"/>
      <c r="AH335" s="64">
        <f t="shared" si="5"/>
        <v>0</v>
      </c>
    </row>
    <row r="336" spans="1:34" ht="15.75" customHeight="1" x14ac:dyDescent="0.3">
      <c r="A336" s="69"/>
      <c r="B336" s="65" t="s">
        <v>377</v>
      </c>
      <c r="C336" s="124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3"/>
      <c r="AF336" s="63"/>
      <c r="AG336" s="63"/>
      <c r="AH336" s="64">
        <f t="shared" si="5"/>
        <v>0</v>
      </c>
    </row>
    <row r="337" spans="1:34" ht="15.75" customHeight="1" x14ac:dyDescent="0.3">
      <c r="A337" s="69"/>
      <c r="B337" s="65" t="s">
        <v>378</v>
      </c>
      <c r="C337" s="124"/>
      <c r="D337" s="66"/>
      <c r="E337" s="66"/>
      <c r="F337" s="66"/>
      <c r="G337" s="66"/>
      <c r="H337" s="66"/>
      <c r="I337" s="66"/>
      <c r="J337" s="66">
        <v>3</v>
      </c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>
        <v>3</v>
      </c>
      <c r="W337" s="66"/>
      <c r="X337" s="66"/>
      <c r="Y337" s="66"/>
      <c r="Z337" s="66"/>
      <c r="AA337" s="66"/>
      <c r="AB337" s="66"/>
      <c r="AC337" s="66"/>
      <c r="AD337" s="66"/>
      <c r="AE337" s="63">
        <v>3</v>
      </c>
      <c r="AF337" s="63"/>
      <c r="AG337" s="63"/>
      <c r="AH337" s="64">
        <f t="shared" si="5"/>
        <v>9</v>
      </c>
    </row>
    <row r="338" spans="1:34" ht="15.75" customHeight="1" x14ac:dyDescent="0.3">
      <c r="A338" s="69"/>
      <c r="B338" s="65" t="s">
        <v>379</v>
      </c>
      <c r="C338" s="124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3"/>
      <c r="AF338" s="63"/>
      <c r="AG338" s="63"/>
      <c r="AH338" s="64">
        <f t="shared" si="5"/>
        <v>0</v>
      </c>
    </row>
    <row r="339" spans="1:34" ht="15.75" customHeight="1" x14ac:dyDescent="0.3">
      <c r="A339" s="69"/>
      <c r="B339" s="65" t="s">
        <v>380</v>
      </c>
      <c r="C339" s="124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3"/>
      <c r="AF339" s="63"/>
      <c r="AG339" s="63"/>
      <c r="AH339" s="64">
        <f t="shared" si="5"/>
        <v>0</v>
      </c>
    </row>
    <row r="340" spans="1:34" ht="15.75" customHeight="1" x14ac:dyDescent="0.3">
      <c r="A340" s="69"/>
      <c r="B340" s="67" t="s">
        <v>382</v>
      </c>
      <c r="C340" s="124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3"/>
      <c r="AF340" s="63"/>
      <c r="AG340" s="63"/>
      <c r="AH340" s="64">
        <f t="shared" si="5"/>
        <v>0</v>
      </c>
    </row>
    <row r="341" spans="1:34" ht="15.75" customHeight="1" x14ac:dyDescent="0.3">
      <c r="A341" s="69"/>
      <c r="B341" s="67" t="s">
        <v>383</v>
      </c>
      <c r="C341" s="124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3"/>
      <c r="AF341" s="63"/>
      <c r="AG341" s="63"/>
      <c r="AH341" s="64">
        <f t="shared" si="5"/>
        <v>0</v>
      </c>
    </row>
    <row r="342" spans="1:34" ht="15.75" customHeight="1" x14ac:dyDescent="0.3">
      <c r="A342" s="69"/>
      <c r="B342" s="65" t="s">
        <v>384</v>
      </c>
      <c r="C342" s="124">
        <v>7</v>
      </c>
      <c r="D342" s="66"/>
      <c r="E342" s="66"/>
      <c r="F342" s="66"/>
      <c r="G342" s="66"/>
      <c r="H342" s="66">
        <v>8</v>
      </c>
      <c r="I342" s="66"/>
      <c r="J342" s="66"/>
      <c r="K342" s="66">
        <v>5</v>
      </c>
      <c r="L342" s="66"/>
      <c r="M342" s="66"/>
      <c r="N342" s="66"/>
      <c r="O342" s="66">
        <v>7</v>
      </c>
      <c r="P342" s="66"/>
      <c r="Q342" s="66"/>
      <c r="R342" s="66"/>
      <c r="S342" s="66"/>
      <c r="T342" s="66"/>
      <c r="U342" s="66"/>
      <c r="V342" s="66"/>
      <c r="W342" s="66"/>
      <c r="X342" s="66">
        <v>8</v>
      </c>
      <c r="Y342" s="66"/>
      <c r="Z342" s="66"/>
      <c r="AA342" s="66"/>
      <c r="AB342" s="66"/>
      <c r="AC342" s="66"/>
      <c r="AD342" s="66"/>
      <c r="AE342" s="63">
        <v>6</v>
      </c>
      <c r="AF342" s="63"/>
      <c r="AG342" s="63"/>
      <c r="AH342" s="64">
        <f t="shared" si="5"/>
        <v>41</v>
      </c>
    </row>
    <row r="343" spans="1:34" ht="15.75" customHeight="1" x14ac:dyDescent="0.3">
      <c r="A343" s="69"/>
      <c r="B343" s="65" t="s">
        <v>385</v>
      </c>
      <c r="C343" s="124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3"/>
      <c r="AF343" s="63"/>
      <c r="AG343" s="63"/>
      <c r="AH343" s="64">
        <f t="shared" si="5"/>
        <v>0</v>
      </c>
    </row>
    <row r="344" spans="1:34" ht="15.75" customHeight="1" x14ac:dyDescent="0.3">
      <c r="A344" s="69"/>
      <c r="B344" s="67" t="s">
        <v>386</v>
      </c>
      <c r="C344" s="124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3"/>
      <c r="AF344" s="63"/>
      <c r="AG344" s="63"/>
      <c r="AH344" s="64">
        <f t="shared" si="5"/>
        <v>0</v>
      </c>
    </row>
    <row r="345" spans="1:34" ht="15.75" customHeight="1" x14ac:dyDescent="0.3">
      <c r="A345" s="69"/>
      <c r="B345" s="65" t="s">
        <v>387</v>
      </c>
      <c r="C345" s="124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3"/>
      <c r="AF345" s="63"/>
      <c r="AG345" s="63"/>
      <c r="AH345" s="64">
        <f t="shared" si="5"/>
        <v>0</v>
      </c>
    </row>
    <row r="346" spans="1:34" ht="15.75" customHeight="1" x14ac:dyDescent="0.3">
      <c r="A346" s="69"/>
      <c r="B346" s="65" t="s">
        <v>388</v>
      </c>
      <c r="C346" s="124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3"/>
      <c r="AF346" s="63"/>
      <c r="AG346" s="63"/>
      <c r="AH346" s="64">
        <f t="shared" si="5"/>
        <v>0</v>
      </c>
    </row>
    <row r="347" spans="1:34" ht="15.75" customHeight="1" x14ac:dyDescent="0.3">
      <c r="A347" s="69"/>
      <c r="B347" s="67" t="s">
        <v>389</v>
      </c>
      <c r="C347" s="124"/>
      <c r="D347" s="66"/>
      <c r="E347" s="66"/>
      <c r="F347" s="66"/>
      <c r="G347" s="66"/>
      <c r="H347" s="66">
        <v>5</v>
      </c>
      <c r="I347" s="66"/>
      <c r="J347" s="66"/>
      <c r="K347" s="66">
        <v>5</v>
      </c>
      <c r="L347" s="66"/>
      <c r="M347" s="66"/>
      <c r="N347" s="66"/>
      <c r="O347" s="66"/>
      <c r="P347" s="66"/>
      <c r="Q347" s="66"/>
      <c r="R347" s="66">
        <v>7</v>
      </c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3"/>
      <c r="AF347" s="63"/>
      <c r="AG347" s="63"/>
      <c r="AH347" s="64">
        <f t="shared" si="5"/>
        <v>17</v>
      </c>
    </row>
    <row r="348" spans="1:34" ht="15.75" customHeight="1" x14ac:dyDescent="0.3">
      <c r="A348" s="69"/>
      <c r="B348" s="65" t="s">
        <v>390</v>
      </c>
      <c r="C348" s="124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3"/>
      <c r="AF348" s="63"/>
      <c r="AG348" s="63"/>
      <c r="AH348" s="64">
        <f t="shared" si="5"/>
        <v>0</v>
      </c>
    </row>
    <row r="349" spans="1:34" ht="15.75" customHeight="1" x14ac:dyDescent="0.3">
      <c r="A349" s="69"/>
      <c r="B349" s="65" t="s">
        <v>391</v>
      </c>
      <c r="C349" s="124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3"/>
      <c r="AF349" s="63"/>
      <c r="AG349" s="63"/>
      <c r="AH349" s="64">
        <f t="shared" si="5"/>
        <v>0</v>
      </c>
    </row>
    <row r="350" spans="1:34" ht="15.75" customHeight="1" x14ac:dyDescent="0.3">
      <c r="A350" s="69"/>
      <c r="B350" s="65" t="s">
        <v>392</v>
      </c>
      <c r="C350" s="124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3"/>
      <c r="AF350" s="63"/>
      <c r="AG350" s="63"/>
      <c r="AH350" s="64">
        <f t="shared" si="5"/>
        <v>0</v>
      </c>
    </row>
    <row r="351" spans="1:34" ht="15.75" customHeight="1" x14ac:dyDescent="0.3">
      <c r="A351" s="69"/>
      <c r="B351" s="65" t="s">
        <v>393</v>
      </c>
      <c r="C351" s="124"/>
      <c r="D351" s="66"/>
      <c r="E351" s="66"/>
      <c r="F351" s="66"/>
      <c r="G351" s="66"/>
      <c r="H351" s="66"/>
      <c r="I351" s="66"/>
      <c r="J351" s="66"/>
      <c r="K351" s="66"/>
      <c r="L351" s="66"/>
      <c r="M351" s="66">
        <v>8</v>
      </c>
      <c r="N351" s="66"/>
      <c r="O351" s="66"/>
      <c r="P351" s="66"/>
      <c r="Q351" s="66">
        <v>5</v>
      </c>
      <c r="R351" s="66"/>
      <c r="S351" s="66"/>
      <c r="T351" s="66"/>
      <c r="U351" s="66"/>
      <c r="V351" s="66"/>
      <c r="W351" s="66"/>
      <c r="X351" s="66">
        <v>7</v>
      </c>
      <c r="Y351" s="66"/>
      <c r="Z351" s="68"/>
      <c r="AA351" s="66"/>
      <c r="AB351" s="66"/>
      <c r="AC351" s="66"/>
      <c r="AD351" s="66"/>
      <c r="AE351" s="63">
        <v>5</v>
      </c>
      <c r="AF351" s="63"/>
      <c r="AG351" s="63"/>
      <c r="AH351" s="64">
        <f t="shared" si="5"/>
        <v>25</v>
      </c>
    </row>
    <row r="352" spans="1:34" ht="15.75" customHeight="1" x14ac:dyDescent="0.3">
      <c r="A352" s="69"/>
      <c r="B352" s="65" t="s">
        <v>395</v>
      </c>
      <c r="C352" s="124"/>
      <c r="D352" s="66">
        <v>7</v>
      </c>
      <c r="E352" s="66"/>
      <c r="F352" s="66">
        <v>7</v>
      </c>
      <c r="G352" s="66"/>
      <c r="H352" s="66"/>
      <c r="I352" s="66">
        <v>5</v>
      </c>
      <c r="J352" s="66">
        <v>5</v>
      </c>
      <c r="K352" s="66"/>
      <c r="L352" s="66"/>
      <c r="M352" s="66"/>
      <c r="N352" s="66"/>
      <c r="O352" s="66"/>
      <c r="P352" s="66"/>
      <c r="Q352" s="66">
        <v>5</v>
      </c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3">
        <v>4</v>
      </c>
      <c r="AF352" s="63"/>
      <c r="AG352" s="63"/>
      <c r="AH352" s="64">
        <f t="shared" si="5"/>
        <v>33</v>
      </c>
    </row>
    <row r="353" spans="1:39" ht="15.75" customHeight="1" x14ac:dyDescent="0.3">
      <c r="A353" s="69"/>
      <c r="B353" s="67" t="s">
        <v>397</v>
      </c>
      <c r="C353" s="124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8">
        <v>7</v>
      </c>
      <c r="AA353" s="66"/>
      <c r="AB353" s="66"/>
      <c r="AC353" s="66"/>
      <c r="AD353" s="66"/>
      <c r="AE353" s="63"/>
      <c r="AF353" s="63"/>
      <c r="AG353" s="63"/>
      <c r="AH353" s="64">
        <f t="shared" si="5"/>
        <v>7</v>
      </c>
    </row>
    <row r="354" spans="1:39" ht="15.75" customHeight="1" x14ac:dyDescent="0.3">
      <c r="A354" s="69"/>
      <c r="B354" s="65" t="s">
        <v>398</v>
      </c>
      <c r="C354" s="124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3"/>
      <c r="AF354" s="63"/>
      <c r="AG354" s="63"/>
      <c r="AH354" s="64">
        <f t="shared" si="5"/>
        <v>0</v>
      </c>
    </row>
    <row r="355" spans="1:39" ht="15.75" customHeight="1" x14ac:dyDescent="0.3">
      <c r="A355" s="69"/>
      <c r="B355" s="67" t="s">
        <v>399</v>
      </c>
      <c r="C355" s="124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3"/>
      <c r="AF355" s="63"/>
      <c r="AG355" s="63"/>
      <c r="AH355" s="64">
        <f t="shared" si="5"/>
        <v>0</v>
      </c>
    </row>
    <row r="356" spans="1:39" ht="15.75" customHeight="1" x14ac:dyDescent="0.3">
      <c r="A356" s="69"/>
      <c r="B356" s="65" t="s">
        <v>400</v>
      </c>
      <c r="C356" s="124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3"/>
      <c r="AF356" s="63"/>
      <c r="AG356" s="63"/>
      <c r="AH356" s="64">
        <f t="shared" si="5"/>
        <v>0</v>
      </c>
    </row>
    <row r="357" spans="1:39" ht="15.75" customHeight="1" x14ac:dyDescent="0.3">
      <c r="A357" s="69"/>
      <c r="B357" s="65" t="s">
        <v>401</v>
      </c>
      <c r="C357" s="124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3"/>
      <c r="AF357" s="63"/>
      <c r="AG357" s="63"/>
      <c r="AH357" s="64">
        <f t="shared" si="5"/>
        <v>0</v>
      </c>
    </row>
    <row r="358" spans="1:39" ht="15.75" customHeight="1" x14ac:dyDescent="0.3">
      <c r="A358" s="69"/>
      <c r="B358" s="65" t="s">
        <v>402</v>
      </c>
      <c r="C358" s="124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3"/>
      <c r="AF358" s="63"/>
      <c r="AG358" s="63"/>
      <c r="AH358" s="64">
        <f t="shared" si="5"/>
        <v>0</v>
      </c>
    </row>
    <row r="359" spans="1:39" ht="15.75" customHeight="1" x14ac:dyDescent="0.3">
      <c r="A359" s="69"/>
      <c r="B359" s="65" t="s">
        <v>403</v>
      </c>
      <c r="C359" s="124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>
        <v>6</v>
      </c>
      <c r="AA359" s="66"/>
      <c r="AB359" s="66"/>
      <c r="AC359" s="66"/>
      <c r="AD359" s="66"/>
      <c r="AE359" s="63"/>
      <c r="AF359" s="63"/>
      <c r="AG359" s="63"/>
      <c r="AH359" s="64">
        <f t="shared" si="5"/>
        <v>6</v>
      </c>
    </row>
    <row r="360" spans="1:39" ht="15.75" customHeight="1" x14ac:dyDescent="0.3">
      <c r="A360" s="69"/>
      <c r="B360" s="65" t="s">
        <v>404</v>
      </c>
      <c r="C360" s="124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3"/>
      <c r="AF360" s="63"/>
      <c r="AG360" s="63"/>
      <c r="AH360" s="64">
        <f t="shared" si="5"/>
        <v>0</v>
      </c>
    </row>
    <row r="361" spans="1:39" ht="15.75" customHeight="1" x14ac:dyDescent="0.3">
      <c r="A361" s="69"/>
      <c r="B361" s="65" t="s">
        <v>405</v>
      </c>
      <c r="C361" s="124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3"/>
      <c r="AF361" s="63"/>
      <c r="AG361" s="63"/>
      <c r="AH361" s="64">
        <f t="shared" si="5"/>
        <v>0</v>
      </c>
    </row>
    <row r="362" spans="1:39" ht="15.75" customHeight="1" x14ac:dyDescent="0.3">
      <c r="A362" s="69"/>
      <c r="B362" s="65" t="s">
        <v>406</v>
      </c>
      <c r="C362" s="124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3"/>
      <c r="AF362" s="63"/>
      <c r="AG362" s="63"/>
      <c r="AH362" s="64">
        <f t="shared" si="5"/>
        <v>0</v>
      </c>
    </row>
    <row r="363" spans="1:39" ht="15.75" customHeight="1" x14ac:dyDescent="0.3">
      <c r="A363" s="69"/>
      <c r="B363" s="65" t="s">
        <v>407</v>
      </c>
      <c r="C363" s="124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3"/>
      <c r="AF363" s="63"/>
      <c r="AG363" s="63"/>
      <c r="AH363" s="64">
        <f t="shared" si="5"/>
        <v>0</v>
      </c>
    </row>
    <row r="364" spans="1:39" ht="15.75" customHeight="1" x14ac:dyDescent="0.3">
      <c r="A364" s="69"/>
      <c r="B364" s="65" t="s">
        <v>408</v>
      </c>
      <c r="C364" s="124"/>
      <c r="D364" s="66"/>
      <c r="E364" s="66"/>
      <c r="F364" s="66"/>
      <c r="G364" s="66"/>
      <c r="H364" s="66"/>
      <c r="I364" s="66">
        <v>5</v>
      </c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>
        <v>4</v>
      </c>
      <c r="AC364" s="66"/>
      <c r="AD364" s="66"/>
      <c r="AE364" s="63"/>
      <c r="AF364" s="63"/>
      <c r="AG364" s="63"/>
      <c r="AH364" s="64">
        <f t="shared" si="5"/>
        <v>9</v>
      </c>
      <c r="AI364" s="44"/>
      <c r="AJ364" s="44"/>
      <c r="AK364" s="44"/>
      <c r="AL364" s="44"/>
      <c r="AM364" s="44"/>
    </row>
    <row r="365" spans="1:39" ht="15.75" customHeight="1" x14ac:dyDescent="0.3">
      <c r="A365" s="69"/>
      <c r="B365" s="65" t="s">
        <v>409</v>
      </c>
      <c r="C365" s="124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3"/>
      <c r="AF365" s="63"/>
      <c r="AG365" s="63"/>
      <c r="AH365" s="64">
        <f t="shared" si="5"/>
        <v>0</v>
      </c>
    </row>
    <row r="366" spans="1:39" ht="15.75" customHeight="1" x14ac:dyDescent="0.3">
      <c r="A366" s="69"/>
      <c r="B366" s="65" t="s">
        <v>410</v>
      </c>
      <c r="C366" s="124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3"/>
      <c r="AF366" s="63"/>
      <c r="AG366" s="63"/>
      <c r="AH366" s="64">
        <f t="shared" si="5"/>
        <v>0</v>
      </c>
    </row>
    <row r="367" spans="1:39" ht="15.75" customHeight="1" x14ac:dyDescent="0.3">
      <c r="A367" s="69"/>
      <c r="B367" s="65" t="s">
        <v>411</v>
      </c>
      <c r="C367" s="124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3"/>
      <c r="AF367" s="63"/>
      <c r="AG367" s="63"/>
      <c r="AH367" s="64">
        <f t="shared" si="5"/>
        <v>0</v>
      </c>
    </row>
    <row r="368" spans="1:39" ht="15.75" customHeight="1" x14ac:dyDescent="0.3">
      <c r="A368" s="69"/>
      <c r="B368" s="65" t="s">
        <v>411</v>
      </c>
      <c r="C368" s="124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3"/>
      <c r="AF368" s="63"/>
      <c r="AG368" s="63"/>
      <c r="AH368" s="64">
        <f t="shared" si="5"/>
        <v>0</v>
      </c>
    </row>
    <row r="369" spans="1:34" ht="15.75" customHeight="1" x14ac:dyDescent="0.3">
      <c r="A369" s="69"/>
      <c r="B369" s="65" t="s">
        <v>412</v>
      </c>
      <c r="C369" s="124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3"/>
      <c r="AF369" s="63"/>
      <c r="AG369" s="63"/>
      <c r="AH369" s="64">
        <f t="shared" si="5"/>
        <v>0</v>
      </c>
    </row>
    <row r="370" spans="1:34" ht="15.75" customHeight="1" x14ac:dyDescent="0.3">
      <c r="A370" s="69"/>
      <c r="B370" s="67" t="s">
        <v>413</v>
      </c>
      <c r="C370" s="124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3"/>
      <c r="AF370" s="63">
        <v>6</v>
      </c>
      <c r="AG370" s="63"/>
      <c r="AH370" s="64">
        <f t="shared" si="5"/>
        <v>6</v>
      </c>
    </row>
    <row r="371" spans="1:34" ht="15.75" customHeight="1" x14ac:dyDescent="0.3">
      <c r="A371" s="69"/>
      <c r="B371" s="65" t="s">
        <v>414</v>
      </c>
      <c r="C371" s="124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3"/>
      <c r="AF371" s="63"/>
      <c r="AG371" s="63"/>
      <c r="AH371" s="64">
        <f t="shared" si="5"/>
        <v>0</v>
      </c>
    </row>
    <row r="372" spans="1:34" ht="15.75" customHeight="1" x14ac:dyDescent="0.3">
      <c r="A372" s="69"/>
      <c r="B372" s="65" t="s">
        <v>415</v>
      </c>
      <c r="C372" s="124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3"/>
      <c r="AF372" s="63"/>
      <c r="AG372" s="63"/>
      <c r="AH372" s="64">
        <f t="shared" si="5"/>
        <v>0</v>
      </c>
    </row>
    <row r="373" spans="1:34" ht="15.75" customHeight="1" x14ac:dyDescent="0.3">
      <c r="A373" s="69"/>
      <c r="B373" s="65" t="s">
        <v>416</v>
      </c>
      <c r="C373" s="124">
        <v>3</v>
      </c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>
        <v>7</v>
      </c>
      <c r="V373" s="66"/>
      <c r="W373" s="66"/>
      <c r="X373" s="66"/>
      <c r="Y373" s="66"/>
      <c r="Z373" s="66"/>
      <c r="AA373" s="66"/>
      <c r="AB373" s="66"/>
      <c r="AC373" s="66"/>
      <c r="AD373" s="66"/>
      <c r="AE373" s="63"/>
      <c r="AF373" s="63"/>
      <c r="AG373" s="63"/>
      <c r="AH373" s="64">
        <f t="shared" si="5"/>
        <v>10</v>
      </c>
    </row>
    <row r="374" spans="1:34" ht="15.75" customHeight="1" x14ac:dyDescent="0.3">
      <c r="A374" s="69"/>
      <c r="B374" s="65" t="s">
        <v>417</v>
      </c>
      <c r="C374" s="124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3"/>
      <c r="AF374" s="63"/>
      <c r="AG374" s="63"/>
      <c r="AH374" s="64">
        <f t="shared" si="5"/>
        <v>0</v>
      </c>
    </row>
    <row r="375" spans="1:34" ht="15.75" customHeight="1" x14ac:dyDescent="0.3">
      <c r="A375" s="69"/>
      <c r="B375" s="65" t="s">
        <v>418</v>
      </c>
      <c r="C375" s="124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3"/>
      <c r="AF375" s="63"/>
      <c r="AG375" s="63"/>
      <c r="AH375" s="64">
        <f t="shared" si="5"/>
        <v>0</v>
      </c>
    </row>
    <row r="376" spans="1:34" ht="15.75" customHeight="1" x14ac:dyDescent="0.3">
      <c r="A376" s="69"/>
      <c r="B376" s="65" t="s">
        <v>419</v>
      </c>
      <c r="C376" s="124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3"/>
      <c r="AF376" s="63"/>
      <c r="AG376" s="63"/>
      <c r="AH376" s="64">
        <f t="shared" si="5"/>
        <v>0</v>
      </c>
    </row>
    <row r="377" spans="1:34" ht="15.75" customHeight="1" x14ac:dyDescent="0.3">
      <c r="A377" s="69"/>
      <c r="B377" s="65" t="s">
        <v>420</v>
      </c>
      <c r="C377" s="124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3"/>
      <c r="AF377" s="63"/>
      <c r="AG377" s="63"/>
      <c r="AH377" s="64">
        <f t="shared" si="5"/>
        <v>0</v>
      </c>
    </row>
    <row r="378" spans="1:34" ht="15.75" customHeight="1" x14ac:dyDescent="0.3">
      <c r="A378" s="69"/>
      <c r="B378" s="65" t="s">
        <v>421</v>
      </c>
      <c r="C378" s="124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3"/>
      <c r="AF378" s="63"/>
      <c r="AG378" s="63"/>
      <c r="AH378" s="64">
        <f t="shared" si="5"/>
        <v>0</v>
      </c>
    </row>
    <row r="379" spans="1:34" ht="15.75" customHeight="1" x14ac:dyDescent="0.3">
      <c r="A379" s="69"/>
      <c r="B379" s="67" t="s">
        <v>422</v>
      </c>
      <c r="C379" s="124"/>
      <c r="D379" s="66"/>
      <c r="E379" s="66"/>
      <c r="F379" s="66"/>
      <c r="G379" s="66"/>
      <c r="H379" s="66">
        <v>5</v>
      </c>
      <c r="I379" s="66"/>
      <c r="J379" s="66"/>
      <c r="K379" s="66"/>
      <c r="L379" s="66">
        <v>4</v>
      </c>
      <c r="M379" s="66"/>
      <c r="N379" s="66"/>
      <c r="O379" s="66"/>
      <c r="P379" s="66">
        <v>5</v>
      </c>
      <c r="Q379" s="66"/>
      <c r="R379" s="66">
        <v>4</v>
      </c>
      <c r="S379" s="66"/>
      <c r="T379" s="66"/>
      <c r="U379" s="66"/>
      <c r="V379" s="66"/>
      <c r="W379" s="66">
        <v>5</v>
      </c>
      <c r="X379" s="66"/>
      <c r="Y379" s="66"/>
      <c r="Z379" s="66">
        <v>4</v>
      </c>
      <c r="AA379" s="66"/>
      <c r="AB379" s="66"/>
      <c r="AC379" s="66"/>
      <c r="AD379" s="66">
        <v>5</v>
      </c>
      <c r="AE379" s="63"/>
      <c r="AF379" s="63"/>
      <c r="AG379" s="63"/>
      <c r="AH379" s="64">
        <f t="shared" si="5"/>
        <v>32</v>
      </c>
    </row>
    <row r="380" spans="1:34" ht="15.75" customHeight="1" x14ac:dyDescent="0.3">
      <c r="A380" s="69"/>
      <c r="B380" s="65" t="s">
        <v>423</v>
      </c>
      <c r="C380" s="124"/>
      <c r="D380" s="66"/>
      <c r="E380" s="66"/>
      <c r="F380" s="66"/>
      <c r="G380" s="66"/>
      <c r="H380" s="66"/>
      <c r="I380" s="66">
        <v>7</v>
      </c>
      <c r="J380" s="66"/>
      <c r="K380" s="66"/>
      <c r="L380" s="66"/>
      <c r="M380" s="66"/>
      <c r="N380" s="66"/>
      <c r="O380" s="66">
        <v>8</v>
      </c>
      <c r="P380" s="66"/>
      <c r="Q380" s="66"/>
      <c r="R380" s="66"/>
      <c r="S380" s="66"/>
      <c r="T380" s="66"/>
      <c r="U380" s="66"/>
      <c r="V380" s="66"/>
      <c r="W380" s="66"/>
      <c r="X380" s="66">
        <v>8</v>
      </c>
      <c r="Y380" s="66"/>
      <c r="Z380" s="66"/>
      <c r="AA380" s="66"/>
      <c r="AB380" s="66"/>
      <c r="AC380" s="66">
        <v>8</v>
      </c>
      <c r="AD380" s="66"/>
      <c r="AE380" s="63"/>
      <c r="AF380" s="63"/>
      <c r="AG380" s="63"/>
      <c r="AH380" s="64">
        <f t="shared" si="5"/>
        <v>31</v>
      </c>
    </row>
    <row r="381" spans="1:34" ht="15.75" customHeight="1" x14ac:dyDescent="0.3">
      <c r="A381" s="69"/>
      <c r="B381" s="65" t="s">
        <v>424</v>
      </c>
      <c r="C381" s="124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3"/>
      <c r="AF381" s="63"/>
      <c r="AG381" s="63"/>
      <c r="AH381" s="64">
        <f t="shared" si="5"/>
        <v>0</v>
      </c>
    </row>
    <row r="382" spans="1:34" ht="15.75" customHeight="1" x14ac:dyDescent="0.3">
      <c r="A382" s="69"/>
      <c r="B382" s="65" t="s">
        <v>425</v>
      </c>
      <c r="C382" s="124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3"/>
      <c r="AF382" s="63"/>
      <c r="AG382" s="63"/>
      <c r="AH382" s="64">
        <f t="shared" si="5"/>
        <v>0</v>
      </c>
    </row>
    <row r="383" spans="1:34" ht="15.75" customHeight="1" x14ac:dyDescent="0.3">
      <c r="A383" s="69"/>
      <c r="B383" s="65" t="s">
        <v>426</v>
      </c>
      <c r="C383" s="124">
        <v>3</v>
      </c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>
        <v>5</v>
      </c>
      <c r="Z383" s="66"/>
      <c r="AA383" s="66"/>
      <c r="AB383" s="66"/>
      <c r="AC383" s="66"/>
      <c r="AD383" s="66"/>
      <c r="AE383" s="63"/>
      <c r="AF383" s="63"/>
      <c r="AG383" s="63"/>
      <c r="AH383" s="64">
        <f t="shared" si="5"/>
        <v>8</v>
      </c>
    </row>
    <row r="384" spans="1:34" ht="15.75" customHeight="1" x14ac:dyDescent="0.3">
      <c r="A384" s="69"/>
      <c r="B384" s="67" t="s">
        <v>427</v>
      </c>
      <c r="C384" s="124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3"/>
      <c r="AF384" s="63"/>
      <c r="AG384" s="63"/>
      <c r="AH384" s="64">
        <f t="shared" si="5"/>
        <v>0</v>
      </c>
    </row>
    <row r="385" spans="1:38" ht="15.75" customHeight="1" x14ac:dyDescent="0.3">
      <c r="A385" s="69"/>
      <c r="B385" s="65" t="s">
        <v>428</v>
      </c>
      <c r="C385" s="124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3"/>
      <c r="AF385" s="63"/>
      <c r="AG385" s="63"/>
      <c r="AH385" s="64">
        <f t="shared" si="5"/>
        <v>0</v>
      </c>
    </row>
    <row r="386" spans="1:38" ht="15.75" customHeight="1" x14ac:dyDescent="0.3">
      <c r="A386" s="69"/>
      <c r="B386" s="65" t="s">
        <v>429</v>
      </c>
      <c r="C386" s="124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3"/>
      <c r="AF386" s="63"/>
      <c r="AG386" s="63"/>
      <c r="AH386" s="64">
        <f t="shared" si="5"/>
        <v>0</v>
      </c>
    </row>
    <row r="387" spans="1:38" ht="15.75" customHeight="1" x14ac:dyDescent="0.3">
      <c r="A387" s="69"/>
      <c r="B387" s="65" t="s">
        <v>464</v>
      </c>
      <c r="C387" s="124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3"/>
      <c r="AF387" s="63"/>
      <c r="AG387" s="63"/>
      <c r="AH387" s="64">
        <f t="shared" si="5"/>
        <v>0</v>
      </c>
    </row>
    <row r="388" spans="1:38" ht="15.75" customHeight="1" x14ac:dyDescent="0.3">
      <c r="A388" s="69"/>
      <c r="B388" s="65" t="s">
        <v>430</v>
      </c>
      <c r="C388" s="124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3"/>
      <c r="AF388" s="63"/>
      <c r="AG388" s="63"/>
      <c r="AH388" s="64">
        <f t="shared" ref="AH388:AH396" si="6">SUM(C388:AG388)</f>
        <v>0</v>
      </c>
    </row>
    <row r="389" spans="1:38" ht="15.75" customHeight="1" x14ac:dyDescent="0.3">
      <c r="A389" s="69"/>
      <c r="B389" s="65" t="s">
        <v>431</v>
      </c>
      <c r="C389" s="124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3"/>
      <c r="AF389" s="63"/>
      <c r="AG389" s="63"/>
      <c r="AH389" s="64">
        <f t="shared" si="6"/>
        <v>0</v>
      </c>
    </row>
    <row r="390" spans="1:38" ht="15.75" customHeight="1" x14ac:dyDescent="0.3">
      <c r="A390" s="69"/>
      <c r="B390" s="65" t="s">
        <v>432</v>
      </c>
      <c r="C390" s="124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3"/>
      <c r="AF390" s="63"/>
      <c r="AG390" s="63"/>
      <c r="AH390" s="64">
        <f t="shared" si="6"/>
        <v>0</v>
      </c>
    </row>
    <row r="391" spans="1:38" ht="15.75" customHeight="1" x14ac:dyDescent="0.3">
      <c r="A391" s="69"/>
      <c r="B391" s="65" t="s">
        <v>433</v>
      </c>
      <c r="C391" s="124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3"/>
      <c r="AF391" s="63"/>
      <c r="AG391" s="63"/>
      <c r="AH391" s="64">
        <f t="shared" si="6"/>
        <v>0</v>
      </c>
    </row>
    <row r="392" spans="1:38" ht="16.5" customHeight="1" thickBot="1" x14ac:dyDescent="0.35">
      <c r="A392" s="69"/>
      <c r="B392" s="82" t="s">
        <v>434</v>
      </c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128">
        <f t="shared" si="6"/>
        <v>0</v>
      </c>
    </row>
    <row r="393" spans="1:38" ht="16.5" customHeight="1" x14ac:dyDescent="0.3">
      <c r="A393" s="135"/>
      <c r="B393" s="137" t="s">
        <v>553</v>
      </c>
      <c r="C393" s="66">
        <v>1</v>
      </c>
      <c r="D393" s="66"/>
      <c r="E393" s="66">
        <v>1</v>
      </c>
      <c r="F393" s="66">
        <v>1</v>
      </c>
      <c r="G393" s="66">
        <v>1</v>
      </c>
      <c r="H393" s="66">
        <v>1</v>
      </c>
      <c r="I393" s="66">
        <v>1</v>
      </c>
      <c r="J393" s="66">
        <v>1</v>
      </c>
      <c r="K393" s="66">
        <v>1</v>
      </c>
      <c r="L393" s="66">
        <v>1</v>
      </c>
      <c r="M393" s="66">
        <v>1</v>
      </c>
      <c r="N393" s="66"/>
      <c r="O393" s="66">
        <v>1</v>
      </c>
      <c r="P393" s="66"/>
      <c r="Q393" s="66">
        <v>1</v>
      </c>
      <c r="R393" s="66"/>
      <c r="S393" s="66">
        <v>1</v>
      </c>
      <c r="T393" s="66">
        <v>1</v>
      </c>
      <c r="U393" s="66">
        <v>1</v>
      </c>
      <c r="V393" s="66">
        <v>1</v>
      </c>
      <c r="W393" s="66">
        <v>1</v>
      </c>
      <c r="X393" s="66"/>
      <c r="Y393" s="66">
        <v>1</v>
      </c>
      <c r="Z393" s="66">
        <v>1</v>
      </c>
      <c r="AA393" s="66">
        <v>1</v>
      </c>
      <c r="AB393" s="66">
        <v>1</v>
      </c>
      <c r="AC393" s="66">
        <v>1</v>
      </c>
      <c r="AD393" s="66">
        <v>1</v>
      </c>
      <c r="AE393" s="66"/>
      <c r="AF393" s="66">
        <v>1</v>
      </c>
      <c r="AG393" s="66"/>
      <c r="AH393" s="128">
        <f t="shared" si="6"/>
        <v>24</v>
      </c>
    </row>
    <row r="394" spans="1:38" ht="16.5" customHeight="1" x14ac:dyDescent="0.3">
      <c r="A394" s="135"/>
      <c r="B394" s="138" t="s">
        <v>34</v>
      </c>
      <c r="C394" s="66"/>
      <c r="D394" s="66"/>
      <c r="E394" s="66"/>
      <c r="F394" s="66"/>
      <c r="G394" s="66"/>
      <c r="H394" s="66"/>
      <c r="I394" s="66"/>
      <c r="J394" s="66"/>
      <c r="K394" s="66">
        <v>1</v>
      </c>
      <c r="L394" s="66">
        <v>1</v>
      </c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128">
        <f t="shared" si="6"/>
        <v>2</v>
      </c>
    </row>
    <row r="395" spans="1:38" ht="16.5" customHeight="1" x14ac:dyDescent="0.3">
      <c r="A395" s="135"/>
      <c r="B395" s="138" t="s">
        <v>36</v>
      </c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>
        <v>1</v>
      </c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128">
        <f t="shared" si="6"/>
        <v>1</v>
      </c>
    </row>
    <row r="396" spans="1:38" ht="21.75" customHeight="1" thickBot="1" x14ac:dyDescent="0.35">
      <c r="A396" s="30">
        <v>4</v>
      </c>
      <c r="B396" s="83"/>
      <c r="C396" s="136">
        <f>SUM(C2:C395)</f>
        <v>105</v>
      </c>
      <c r="D396" s="136">
        <f>SUM(D2:D395)</f>
        <v>39</v>
      </c>
      <c r="E396" s="136">
        <f t="shared" ref="E396:AG396" si="7">SUM(E2:E395)</f>
        <v>40</v>
      </c>
      <c r="F396" s="136">
        <f t="shared" si="7"/>
        <v>39</v>
      </c>
      <c r="G396" s="136">
        <f t="shared" si="7"/>
        <v>25</v>
      </c>
      <c r="H396" s="136">
        <f t="shared" si="7"/>
        <v>105</v>
      </c>
      <c r="I396" s="136">
        <f t="shared" si="7"/>
        <v>55</v>
      </c>
      <c r="J396" s="136">
        <f t="shared" si="7"/>
        <v>113</v>
      </c>
      <c r="K396" s="136">
        <f t="shared" si="7"/>
        <v>42</v>
      </c>
      <c r="L396" s="136">
        <f t="shared" si="7"/>
        <v>87</v>
      </c>
      <c r="M396" s="136">
        <f t="shared" si="7"/>
        <v>37</v>
      </c>
      <c r="N396" s="136">
        <f t="shared" si="7"/>
        <v>8</v>
      </c>
      <c r="O396" s="136">
        <f t="shared" si="7"/>
        <v>108</v>
      </c>
      <c r="P396" s="136">
        <f t="shared" si="7"/>
        <v>21</v>
      </c>
      <c r="Q396" s="136">
        <f t="shared" si="7"/>
        <v>44</v>
      </c>
      <c r="R396" s="136">
        <f t="shared" si="7"/>
        <v>29</v>
      </c>
      <c r="S396" s="136">
        <f t="shared" si="7"/>
        <v>85</v>
      </c>
      <c r="T396" s="136">
        <f t="shared" si="7"/>
        <v>23</v>
      </c>
      <c r="U396" s="136">
        <f t="shared" si="7"/>
        <v>8</v>
      </c>
      <c r="V396" s="136">
        <f t="shared" si="7"/>
        <v>101</v>
      </c>
      <c r="W396" s="136">
        <f t="shared" si="7"/>
        <v>26</v>
      </c>
      <c r="X396" s="136">
        <f t="shared" si="7"/>
        <v>82</v>
      </c>
      <c r="Y396" s="136">
        <f t="shared" si="7"/>
        <v>21</v>
      </c>
      <c r="Z396" s="136">
        <f t="shared" si="7"/>
        <v>96</v>
      </c>
      <c r="AA396" s="136">
        <f t="shared" si="7"/>
        <v>23</v>
      </c>
      <c r="AB396" s="136">
        <f t="shared" si="7"/>
        <v>21</v>
      </c>
      <c r="AC396" s="136">
        <f t="shared" si="7"/>
        <v>77</v>
      </c>
      <c r="AD396" s="136">
        <f t="shared" si="7"/>
        <v>21</v>
      </c>
      <c r="AE396" s="136">
        <f t="shared" si="7"/>
        <v>65</v>
      </c>
      <c r="AF396" s="136">
        <f t="shared" si="7"/>
        <v>76</v>
      </c>
      <c r="AG396" s="136">
        <f t="shared" si="7"/>
        <v>0</v>
      </c>
      <c r="AH396" s="102">
        <f t="shared" si="6"/>
        <v>1622</v>
      </c>
    </row>
    <row r="397" spans="1:38" ht="15" customHeight="1" x14ac:dyDescent="0.3">
      <c r="C397" s="84"/>
      <c r="D397" s="84"/>
      <c r="E397" s="84"/>
      <c r="F397" s="84"/>
      <c r="G397" s="84"/>
      <c r="AE397" s="84" t="s">
        <v>31</v>
      </c>
    </row>
    <row r="398" spans="1:38" ht="15" customHeight="1" x14ac:dyDescent="0.3">
      <c r="C398" s="84"/>
      <c r="D398" s="84"/>
      <c r="E398" s="84"/>
      <c r="F398" s="84"/>
      <c r="G398" s="84"/>
    </row>
    <row r="399" spans="1:38" ht="3" customHeight="1" x14ac:dyDescent="0.3">
      <c r="C399" s="84"/>
      <c r="D399" s="84"/>
      <c r="E399" s="84" t="s">
        <v>31</v>
      </c>
      <c r="F399" s="84"/>
      <c r="G399" s="84"/>
    </row>
    <row r="400" spans="1:38" ht="15" customHeight="1" x14ac:dyDescent="0.3">
      <c r="A400" s="145" t="s">
        <v>465</v>
      </c>
      <c r="B400" s="145"/>
      <c r="C400" s="85">
        <f t="shared" ref="C400:T400" si="8">SUBTOTAL(9,C2:C399)</f>
        <v>210</v>
      </c>
      <c r="D400" s="85">
        <f t="shared" si="8"/>
        <v>78</v>
      </c>
      <c r="E400" s="85">
        <f t="shared" si="8"/>
        <v>80</v>
      </c>
      <c r="F400" s="85">
        <f t="shared" si="8"/>
        <v>78</v>
      </c>
      <c r="G400" s="85">
        <f t="shared" si="8"/>
        <v>50</v>
      </c>
      <c r="H400" s="85">
        <f t="shared" si="8"/>
        <v>210</v>
      </c>
      <c r="I400" s="85">
        <f t="shared" si="8"/>
        <v>110</v>
      </c>
      <c r="J400" s="85">
        <f t="shared" si="8"/>
        <v>226</v>
      </c>
      <c r="K400" s="85">
        <f t="shared" si="8"/>
        <v>84</v>
      </c>
      <c r="L400" s="85">
        <f t="shared" si="8"/>
        <v>174</v>
      </c>
      <c r="M400" s="85">
        <f t="shared" si="8"/>
        <v>74</v>
      </c>
      <c r="N400" s="85">
        <f t="shared" si="8"/>
        <v>16</v>
      </c>
      <c r="O400" s="85">
        <f t="shared" si="8"/>
        <v>216</v>
      </c>
      <c r="P400" s="85">
        <f t="shared" si="8"/>
        <v>42</v>
      </c>
      <c r="Q400" s="85">
        <f t="shared" si="8"/>
        <v>88</v>
      </c>
      <c r="R400" s="85">
        <f t="shared" si="8"/>
        <v>58</v>
      </c>
      <c r="S400" s="85">
        <f t="shared" si="8"/>
        <v>170</v>
      </c>
      <c r="T400" s="85">
        <f t="shared" si="8"/>
        <v>46</v>
      </c>
      <c r="U400" s="85">
        <f>SUBTOTAL(9,U9:U397)</f>
        <v>16</v>
      </c>
      <c r="V400" s="85">
        <f t="shared" ref="V400:AE400" si="9">SUBTOTAL(9,V9:V399)</f>
        <v>199</v>
      </c>
      <c r="W400" s="85">
        <f t="shared" si="9"/>
        <v>52</v>
      </c>
      <c r="X400" s="85">
        <f t="shared" si="9"/>
        <v>164</v>
      </c>
      <c r="Y400" s="85">
        <f t="shared" si="9"/>
        <v>42</v>
      </c>
      <c r="Z400" s="85">
        <f t="shared" si="9"/>
        <v>188</v>
      </c>
      <c r="AA400" s="85">
        <f t="shared" si="9"/>
        <v>46</v>
      </c>
      <c r="AB400" s="85">
        <f t="shared" si="9"/>
        <v>42</v>
      </c>
      <c r="AC400" s="85">
        <f t="shared" si="9"/>
        <v>154</v>
      </c>
      <c r="AD400" s="85">
        <f t="shared" si="9"/>
        <v>42</v>
      </c>
      <c r="AE400" s="85">
        <f t="shared" si="9"/>
        <v>128</v>
      </c>
      <c r="AF400" s="85"/>
      <c r="AI400" s="146" t="s">
        <v>466</v>
      </c>
      <c r="AJ400" s="86" t="s">
        <v>31</v>
      </c>
      <c r="AL400" t="s">
        <v>485</v>
      </c>
    </row>
    <row r="401" spans="1:38" ht="15" customHeight="1" x14ac:dyDescent="0.3">
      <c r="C401" s="84"/>
      <c r="D401" s="84"/>
      <c r="E401" s="84"/>
      <c r="F401" s="84"/>
      <c r="G401" s="84"/>
      <c r="AI401" s="146"/>
      <c r="AJ401" s="86">
        <f>'ACEITE DE MANTTOS ABRIL 2026'!J1280</f>
        <v>474</v>
      </c>
      <c r="AK401" s="147">
        <f>AJ401+AJ402</f>
        <v>2096</v>
      </c>
      <c r="AL401" s="43">
        <f>AK401/1000</f>
        <v>2.0960000000000001</v>
      </c>
    </row>
    <row r="402" spans="1:38" ht="25.2" customHeight="1" thickBot="1" x14ac:dyDescent="0.35">
      <c r="A402" s="148" t="s">
        <v>467</v>
      </c>
      <c r="B402" s="149"/>
      <c r="C402" s="84"/>
      <c r="D402" s="84"/>
      <c r="E402" s="84"/>
      <c r="F402" s="84"/>
      <c r="G402" s="84"/>
      <c r="AI402" s="89" t="s">
        <v>470</v>
      </c>
      <c r="AJ402" s="90">
        <f>SUM(AH2:AH395)</f>
        <v>1622</v>
      </c>
      <c r="AK402" s="147"/>
      <c r="AL402" t="s">
        <v>31</v>
      </c>
    </row>
    <row r="403" spans="1:38" ht="30" customHeight="1" x14ac:dyDescent="0.3">
      <c r="A403" s="87" t="s">
        <v>468</v>
      </c>
      <c r="B403" s="88" t="s">
        <v>469</v>
      </c>
      <c r="C403" s="84"/>
      <c r="D403" s="84"/>
      <c r="E403" s="84"/>
      <c r="F403" s="84"/>
      <c r="G403" s="84"/>
      <c r="R403" s="84" t="s">
        <v>31</v>
      </c>
      <c r="AK403" s="18" t="s">
        <v>31</v>
      </c>
    </row>
    <row r="404" spans="1:38" ht="15" customHeight="1" x14ac:dyDescent="0.3">
      <c r="A404" s="91" t="s">
        <v>471</v>
      </c>
      <c r="B404" s="92" t="s">
        <v>528</v>
      </c>
      <c r="C404" s="84"/>
      <c r="D404" s="84"/>
      <c r="E404" s="84"/>
      <c r="F404" s="84"/>
      <c r="G404" s="84"/>
      <c r="M404" s="84" t="s">
        <v>31</v>
      </c>
    </row>
    <row r="405" spans="1:38" ht="15" customHeight="1" x14ac:dyDescent="0.3">
      <c r="A405" s="91">
        <v>1</v>
      </c>
      <c r="B405" s="92" t="s">
        <v>527</v>
      </c>
      <c r="C405" s="84"/>
      <c r="D405" s="84"/>
      <c r="E405" s="84"/>
      <c r="F405" s="84"/>
      <c r="G405" s="84"/>
    </row>
    <row r="406" spans="1:38" ht="15" customHeight="1" x14ac:dyDescent="0.3">
      <c r="A406" s="91">
        <v>2</v>
      </c>
      <c r="B406" s="92" t="s">
        <v>472</v>
      </c>
      <c r="C406" s="84"/>
      <c r="D406" s="84"/>
      <c r="E406" s="84"/>
      <c r="F406" s="84"/>
      <c r="G406" s="84"/>
      <c r="H406" s="93"/>
      <c r="M406" s="84" t="s">
        <v>31</v>
      </c>
      <c r="N406" s="84" t="s">
        <v>31</v>
      </c>
      <c r="O406" s="84" t="s">
        <v>31</v>
      </c>
      <c r="AA406" s="84" t="s">
        <v>31</v>
      </c>
    </row>
    <row r="407" spans="1:38" ht="15" customHeight="1" x14ac:dyDescent="0.3">
      <c r="A407" s="91">
        <v>3</v>
      </c>
      <c r="B407" s="92" t="s">
        <v>473</v>
      </c>
      <c r="C407" s="84"/>
      <c r="D407" s="84"/>
      <c r="E407" s="84"/>
      <c r="F407" s="84"/>
      <c r="G407" s="84"/>
    </row>
    <row r="408" spans="1:38" ht="15" customHeight="1" x14ac:dyDescent="0.3">
      <c r="A408" s="91">
        <v>4</v>
      </c>
      <c r="B408" s="92" t="s">
        <v>474</v>
      </c>
      <c r="C408" s="84"/>
      <c r="D408" s="84"/>
      <c r="E408" s="94"/>
      <c r="F408" s="84"/>
      <c r="G408" s="84" t="s">
        <v>31</v>
      </c>
      <c r="I408" s="84" t="s">
        <v>31</v>
      </c>
      <c r="O408" s="84" t="s">
        <v>31</v>
      </c>
    </row>
    <row r="409" spans="1:38" ht="15" customHeight="1" x14ac:dyDescent="0.3">
      <c r="A409" s="91">
        <v>5</v>
      </c>
      <c r="B409" s="92" t="s">
        <v>528</v>
      </c>
      <c r="C409" s="84"/>
      <c r="D409" s="84"/>
      <c r="E409" s="84"/>
      <c r="F409" s="84"/>
      <c r="G409" s="84"/>
      <c r="H409" s="84" t="s">
        <v>31</v>
      </c>
    </row>
    <row r="410" spans="1:38" ht="15" thickBot="1" x14ac:dyDescent="0.35">
      <c r="A410" s="95"/>
      <c r="B410" s="96"/>
      <c r="H410" s="84" t="s">
        <v>31</v>
      </c>
      <c r="AB410" s="84" t="s">
        <v>31</v>
      </c>
      <c r="AH410" s="98"/>
    </row>
    <row r="411" spans="1:38" x14ac:dyDescent="0.3">
      <c r="A411" s="97"/>
      <c r="B411" s="97"/>
      <c r="E411" s="97" t="s">
        <v>31</v>
      </c>
      <c r="F411" s="84"/>
      <c r="G411" s="84"/>
      <c r="AF411"/>
      <c r="AG411" s="99" t="s">
        <v>475</v>
      </c>
      <c r="AH411" s="100" t="e">
        <f>AJ401+#REF!</f>
        <v>#REF!</v>
      </c>
    </row>
    <row r="412" spans="1:38" x14ac:dyDescent="0.3">
      <c r="G412" s="97" t="s">
        <v>31</v>
      </c>
    </row>
    <row r="414" spans="1:38" x14ac:dyDescent="0.3">
      <c r="B414" s="18"/>
    </row>
    <row r="419" spans="27:27" x14ac:dyDescent="0.3">
      <c r="AA419" s="101"/>
    </row>
  </sheetData>
  <autoFilter ref="A1:AJ409" xr:uid="{00000000-0009-0000-0000-000001000000}"/>
  <mergeCells count="4">
    <mergeCell ref="A400:B400"/>
    <mergeCell ref="AI400:AI401"/>
    <mergeCell ref="AK401:AK402"/>
    <mergeCell ref="A402:B402"/>
  </mergeCell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B1:C25"/>
  <sheetViews>
    <sheetView showGridLines="0" workbookViewId="0">
      <selection activeCell="E34" sqref="E34"/>
    </sheetView>
  </sheetViews>
  <sheetFormatPr baseColWidth="10" defaultRowHeight="14.4" x14ac:dyDescent="0.3"/>
  <cols>
    <col min="2" max="2" width="13.44140625" customWidth="1"/>
    <col min="3" max="3" width="62.33203125" customWidth="1"/>
    <col min="6" max="6" width="12" customWidth="1"/>
  </cols>
  <sheetData>
    <row r="1" spans="2:3" ht="23.4" x14ac:dyDescent="0.45">
      <c r="B1" s="1" t="s">
        <v>3</v>
      </c>
    </row>
    <row r="3" spans="2:3" x14ac:dyDescent="0.3">
      <c r="B3" s="162" t="s">
        <v>2</v>
      </c>
      <c r="C3" s="163"/>
    </row>
    <row r="4" spans="2:3" x14ac:dyDescent="0.3">
      <c r="B4" s="4" t="s">
        <v>0</v>
      </c>
      <c r="C4" s="5">
        <v>10</v>
      </c>
    </row>
    <row r="5" spans="2:3" x14ac:dyDescent="0.3">
      <c r="B5" s="2" t="s">
        <v>1</v>
      </c>
      <c r="C5" s="3" t="e">
        <f ca="1">Convertirnum(C4)</f>
        <v>#NAME?</v>
      </c>
    </row>
    <row r="7" spans="2:3" x14ac:dyDescent="0.3">
      <c r="B7" s="162" t="s">
        <v>4</v>
      </c>
      <c r="C7" s="163"/>
    </row>
    <row r="8" spans="2:3" x14ac:dyDescent="0.3">
      <c r="B8" s="4" t="s">
        <v>0</v>
      </c>
      <c r="C8" s="5">
        <v>24.6</v>
      </c>
    </row>
    <row r="9" spans="2:3" x14ac:dyDescent="0.3">
      <c r="B9" s="2" t="s">
        <v>1</v>
      </c>
      <c r="C9" s="3" t="e">
        <f ca="1">Convertirnum(C8, TRUE)</f>
        <v>#NAME?</v>
      </c>
    </row>
    <row r="11" spans="2:3" x14ac:dyDescent="0.3">
      <c r="B11" s="162" t="s">
        <v>5</v>
      </c>
      <c r="C11" s="163"/>
    </row>
    <row r="12" spans="2:3" x14ac:dyDescent="0.3">
      <c r="B12" s="4" t="s">
        <v>0</v>
      </c>
      <c r="C12" s="5">
        <v>120.05</v>
      </c>
    </row>
    <row r="13" spans="2:3" x14ac:dyDescent="0.3">
      <c r="B13" s="2" t="s">
        <v>1</v>
      </c>
      <c r="C13" s="3" t="e">
        <f ca="1">UPPER(Convertirnum(C12, TRUE))</f>
        <v>#NAME?</v>
      </c>
    </row>
    <row r="15" spans="2:3" x14ac:dyDescent="0.3">
      <c r="B15" s="162" t="s">
        <v>6</v>
      </c>
      <c r="C15" s="163"/>
    </row>
    <row r="16" spans="2:3" x14ac:dyDescent="0.3">
      <c r="B16" s="4" t="s">
        <v>0</v>
      </c>
      <c r="C16" s="5">
        <v>200.85</v>
      </c>
    </row>
    <row r="17" spans="2:3" x14ac:dyDescent="0.3">
      <c r="B17" s="2" t="s">
        <v>1</v>
      </c>
      <c r="C17" s="3" t="e">
        <f ca="1">CONCATENATE("(", UPPER(Convertirnum(C16)), ")")</f>
        <v>#NAME?</v>
      </c>
    </row>
    <row r="19" spans="2:3" x14ac:dyDescent="0.3">
      <c r="B19" s="162" t="s">
        <v>7</v>
      </c>
      <c r="C19" s="163"/>
    </row>
    <row r="20" spans="2:3" x14ac:dyDescent="0.3">
      <c r="B20" s="4" t="s">
        <v>0</v>
      </c>
      <c r="C20" s="5">
        <v>1534.6</v>
      </c>
    </row>
    <row r="21" spans="2:3" x14ac:dyDescent="0.3">
      <c r="B21" s="2" t="s">
        <v>1</v>
      </c>
      <c r="C21" s="3" t="e">
        <f ca="1">CONCATENATE("(SON ", UPPER(Convertirnum(C20)), " M.N.)")</f>
        <v>#NAME?</v>
      </c>
    </row>
    <row r="23" spans="2:3" x14ac:dyDescent="0.3">
      <c r="B23" s="6" t="s">
        <v>8</v>
      </c>
      <c r="C23" s="6"/>
    </row>
    <row r="24" spans="2:3" x14ac:dyDescent="0.3">
      <c r="B24" s="7" t="s">
        <v>0</v>
      </c>
      <c r="C24" s="10">
        <v>1999999999.99</v>
      </c>
    </row>
    <row r="25" spans="2:3" x14ac:dyDescent="0.3">
      <c r="B25" s="9" t="s">
        <v>1</v>
      </c>
      <c r="C25" s="8" t="e">
        <f ca="1">Convertirnum(C24, TRUE)</f>
        <v>#NAME?</v>
      </c>
    </row>
  </sheetData>
  <mergeCells count="5">
    <mergeCell ref="B3:C3"/>
    <mergeCell ref="B7:C7"/>
    <mergeCell ref="B11:C11"/>
    <mergeCell ref="B15:C15"/>
    <mergeCell ref="B19:C1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ACEITE DE MANTTOS ABRIL 2026</vt:lpstr>
      <vt:lpstr>ACEITE DE RELLENO ABRIL 2026</vt:lpstr>
      <vt:lpstr>Hoja1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soportepjp4@hotmail.com</cp:lastModifiedBy>
  <dcterms:created xsi:type="dcterms:W3CDTF">2012-04-13T18:53:04Z</dcterms:created>
  <dcterms:modified xsi:type="dcterms:W3CDTF">2026-10-22T22:01:06Z</dcterms:modified>
</cp:coreProperties>
</file>