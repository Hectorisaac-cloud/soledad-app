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webextensions/webextension1.xml" ContentType="application/vnd.ms-office.webextension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Z:\1.- Proyecto Soledad\Datafile Soledad\1.- PROYECT SOL\24.- CONTROL DE COMBUSTIBLE\"/>
    </mc:Choice>
  </mc:AlternateContent>
  <xr:revisionPtr revIDLastSave="0" documentId="13_ncr:1_{16D6425B-B55B-4C01-9A02-7F2F0823D0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ro Diario" sheetId="1" r:id="rId1"/>
    <sheet name="Resumen Semanal" sheetId="5" r:id="rId2"/>
    <sheet name="Resumen Mensual" sheetId="2" r:id="rId3"/>
    <sheet name="Graficos" sheetId="3" r:id="rId4"/>
    <sheet name="Listas" sheetId="4" r:id="rId5"/>
  </sheets>
  <definedNames>
    <definedName name="Lista_Combustible">Listas!$B$2:$B$4</definedName>
    <definedName name="Lista_Vehiculos">Listas!$A$2:$A$34</definedName>
    <definedName name="SegmentaciónDeDatos_Fecha">#N/A</definedName>
    <definedName name="SegmentaciónDeDatos_Numero_Economico">#N/A</definedName>
    <definedName name="SegmentaciónDeDatos_Tipo_de_Combustible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53" i="1" l="1"/>
  <c r="G253" i="1"/>
  <c r="A253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C29" i="2"/>
  <c r="D13" i="2"/>
  <c r="C40" i="2"/>
  <c r="C32" i="2"/>
  <c r="C16" i="2"/>
  <c r="C8" i="2"/>
  <c r="C41" i="2"/>
  <c r="B27" i="2"/>
  <c r="D15" i="2"/>
  <c r="C7" i="2"/>
  <c r="D30" i="2"/>
  <c r="C22" i="2"/>
  <c r="C14" i="2"/>
  <c r="D36" i="2"/>
  <c r="C28" i="2"/>
  <c r="B12" i="2"/>
  <c r="C35" i="2"/>
  <c r="D27" i="2"/>
  <c r="C15" i="2"/>
  <c r="B7" i="2"/>
  <c r="C30" i="2"/>
  <c r="C18" i="2"/>
  <c r="C10" i="2"/>
  <c r="C39" i="2"/>
  <c r="C25" i="2"/>
  <c r="B13" i="2"/>
  <c r="C37" i="2"/>
  <c r="C21" i="2"/>
  <c r="C13" i="2"/>
  <c r="B36" i="2"/>
  <c r="C24" i="2"/>
  <c r="C12" i="2"/>
  <c r="C31" i="2"/>
  <c r="C23" i="2"/>
  <c r="B15" i="2"/>
  <c r="D7" i="2"/>
  <c r="C38" i="2"/>
  <c r="B30" i="2"/>
  <c r="D14" i="2"/>
  <c r="C43" i="2"/>
  <c r="C33" i="2"/>
  <c r="C17" i="2"/>
  <c r="C9" i="2"/>
  <c r="C36" i="2"/>
  <c r="C20" i="2"/>
  <c r="D12" i="2"/>
  <c r="C27" i="2"/>
  <c r="C19" i="2"/>
  <c r="C11" i="2"/>
  <c r="C34" i="2"/>
  <c r="C26" i="2"/>
  <c r="B14" i="2"/>
  <c r="C42" i="2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43" i="2"/>
  <c r="A42" i="2"/>
  <c r="G128" i="1" l="1"/>
  <c r="G129" i="1"/>
  <c r="G130" i="1"/>
  <c r="G131" i="1"/>
  <c r="G132" i="1"/>
  <c r="G133" i="1"/>
  <c r="G134" i="1"/>
  <c r="G135" i="1"/>
  <c r="G136" i="1"/>
  <c r="G137" i="1"/>
  <c r="G127" i="1"/>
  <c r="G126" i="1"/>
  <c r="G138" i="1"/>
  <c r="G139" i="1"/>
  <c r="G140" i="1"/>
  <c r="G141" i="1"/>
  <c r="G142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125" i="1"/>
  <c r="A41" i="2" l="1"/>
  <c r="A40" i="2"/>
  <c r="A39" i="2"/>
  <c r="A38" i="2" l="1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F4" i="2"/>
  <c r="J404" i="1"/>
  <c r="F404" i="1"/>
  <c r="K404" i="1" s="1"/>
  <c r="A404" i="1"/>
  <c r="J403" i="1"/>
  <c r="F403" i="1"/>
  <c r="K403" i="1" s="1"/>
  <c r="A403" i="1"/>
  <c r="J402" i="1"/>
  <c r="F402" i="1"/>
  <c r="K402" i="1" s="1"/>
  <c r="A402" i="1"/>
  <c r="J401" i="1"/>
  <c r="F401" i="1"/>
  <c r="K401" i="1" s="1"/>
  <c r="A401" i="1"/>
  <c r="J400" i="1"/>
  <c r="F400" i="1"/>
  <c r="K400" i="1" s="1"/>
  <c r="A400" i="1"/>
  <c r="J399" i="1"/>
  <c r="F399" i="1"/>
  <c r="K399" i="1" s="1"/>
  <c r="A399" i="1"/>
  <c r="J398" i="1"/>
  <c r="F398" i="1"/>
  <c r="K398" i="1" s="1"/>
  <c r="A398" i="1"/>
  <c r="J397" i="1"/>
  <c r="F397" i="1"/>
  <c r="K397" i="1" s="1"/>
  <c r="A397" i="1"/>
  <c r="J396" i="1"/>
  <c r="F396" i="1"/>
  <c r="K396" i="1" s="1"/>
  <c r="A396" i="1"/>
  <c r="J395" i="1"/>
  <c r="F395" i="1"/>
  <c r="K395" i="1" s="1"/>
  <c r="A395" i="1"/>
  <c r="J394" i="1"/>
  <c r="F394" i="1"/>
  <c r="K394" i="1" s="1"/>
  <c r="A394" i="1"/>
  <c r="J393" i="1"/>
  <c r="F393" i="1"/>
  <c r="K393" i="1" s="1"/>
  <c r="A393" i="1"/>
  <c r="J392" i="1"/>
  <c r="F392" i="1"/>
  <c r="K392" i="1" s="1"/>
  <c r="A392" i="1"/>
  <c r="J391" i="1"/>
  <c r="F391" i="1"/>
  <c r="K391" i="1" s="1"/>
  <c r="A391" i="1"/>
  <c r="J390" i="1"/>
  <c r="F390" i="1"/>
  <c r="K390" i="1" s="1"/>
  <c r="A390" i="1"/>
  <c r="J389" i="1"/>
  <c r="F389" i="1"/>
  <c r="K389" i="1" s="1"/>
  <c r="A389" i="1"/>
  <c r="J388" i="1"/>
  <c r="F388" i="1"/>
  <c r="K388" i="1" s="1"/>
  <c r="A388" i="1"/>
  <c r="J387" i="1"/>
  <c r="F387" i="1"/>
  <c r="K387" i="1" s="1"/>
  <c r="A387" i="1"/>
  <c r="J386" i="1"/>
  <c r="F386" i="1"/>
  <c r="K386" i="1" s="1"/>
  <c r="A386" i="1"/>
  <c r="J385" i="1"/>
  <c r="F385" i="1"/>
  <c r="K385" i="1" s="1"/>
  <c r="A385" i="1"/>
  <c r="J384" i="1"/>
  <c r="F384" i="1"/>
  <c r="K384" i="1" s="1"/>
  <c r="A384" i="1"/>
  <c r="J383" i="1"/>
  <c r="F383" i="1"/>
  <c r="K383" i="1" s="1"/>
  <c r="A383" i="1"/>
  <c r="J382" i="1"/>
  <c r="F382" i="1"/>
  <c r="K382" i="1" s="1"/>
  <c r="A382" i="1"/>
  <c r="J381" i="1"/>
  <c r="F381" i="1"/>
  <c r="K381" i="1" s="1"/>
  <c r="A381" i="1"/>
  <c r="J380" i="1"/>
  <c r="F380" i="1"/>
  <c r="K380" i="1" s="1"/>
  <c r="A380" i="1"/>
  <c r="J379" i="1"/>
  <c r="F379" i="1"/>
  <c r="K379" i="1" s="1"/>
  <c r="A379" i="1"/>
  <c r="J378" i="1"/>
  <c r="F378" i="1"/>
  <c r="K378" i="1" s="1"/>
  <c r="A378" i="1"/>
  <c r="J377" i="1"/>
  <c r="F377" i="1"/>
  <c r="K377" i="1" s="1"/>
  <c r="A377" i="1"/>
  <c r="J376" i="1"/>
  <c r="F376" i="1"/>
  <c r="K376" i="1" s="1"/>
  <c r="A376" i="1"/>
  <c r="J375" i="1"/>
  <c r="F375" i="1"/>
  <c r="K375" i="1" s="1"/>
  <c r="A375" i="1"/>
  <c r="J374" i="1"/>
  <c r="F374" i="1"/>
  <c r="K374" i="1" s="1"/>
  <c r="A374" i="1"/>
  <c r="J373" i="1"/>
  <c r="F373" i="1"/>
  <c r="K373" i="1" s="1"/>
  <c r="A373" i="1"/>
  <c r="J372" i="1"/>
  <c r="F372" i="1"/>
  <c r="K372" i="1" s="1"/>
  <c r="A372" i="1"/>
  <c r="J371" i="1"/>
  <c r="F371" i="1"/>
  <c r="K371" i="1" s="1"/>
  <c r="A371" i="1"/>
  <c r="J370" i="1"/>
  <c r="F370" i="1"/>
  <c r="K370" i="1" s="1"/>
  <c r="A370" i="1"/>
  <c r="J369" i="1"/>
  <c r="F369" i="1"/>
  <c r="K369" i="1" s="1"/>
  <c r="A369" i="1"/>
  <c r="J368" i="1"/>
  <c r="F368" i="1"/>
  <c r="K368" i="1" s="1"/>
  <c r="A368" i="1"/>
  <c r="J367" i="1"/>
  <c r="F367" i="1"/>
  <c r="K367" i="1" s="1"/>
  <c r="A367" i="1"/>
  <c r="J366" i="1"/>
  <c r="F366" i="1"/>
  <c r="K366" i="1" s="1"/>
  <c r="A366" i="1"/>
  <c r="J365" i="1"/>
  <c r="F365" i="1"/>
  <c r="K365" i="1" s="1"/>
  <c r="A365" i="1"/>
  <c r="J364" i="1"/>
  <c r="F364" i="1"/>
  <c r="K364" i="1" s="1"/>
  <c r="A364" i="1"/>
  <c r="J363" i="1"/>
  <c r="F363" i="1"/>
  <c r="K363" i="1" s="1"/>
  <c r="A363" i="1"/>
  <c r="J362" i="1"/>
  <c r="F362" i="1"/>
  <c r="K362" i="1" s="1"/>
  <c r="A362" i="1"/>
  <c r="J361" i="1"/>
  <c r="F361" i="1"/>
  <c r="K361" i="1" s="1"/>
  <c r="A361" i="1"/>
  <c r="J360" i="1"/>
  <c r="F360" i="1"/>
  <c r="K360" i="1" s="1"/>
  <c r="A360" i="1"/>
  <c r="J359" i="1"/>
  <c r="F359" i="1"/>
  <c r="K359" i="1" s="1"/>
  <c r="A359" i="1"/>
  <c r="J358" i="1"/>
  <c r="F358" i="1"/>
  <c r="K358" i="1" s="1"/>
  <c r="A358" i="1"/>
  <c r="J357" i="1"/>
  <c r="F357" i="1"/>
  <c r="K357" i="1" s="1"/>
  <c r="A357" i="1"/>
  <c r="J356" i="1"/>
  <c r="F356" i="1"/>
  <c r="K356" i="1" s="1"/>
  <c r="A356" i="1"/>
  <c r="J355" i="1"/>
  <c r="F355" i="1"/>
  <c r="K355" i="1" s="1"/>
  <c r="A355" i="1"/>
  <c r="J354" i="1"/>
  <c r="F354" i="1"/>
  <c r="K354" i="1" s="1"/>
  <c r="A354" i="1"/>
  <c r="J353" i="1"/>
  <c r="F353" i="1"/>
  <c r="K353" i="1" s="1"/>
  <c r="A353" i="1"/>
  <c r="J352" i="1"/>
  <c r="F352" i="1"/>
  <c r="K352" i="1" s="1"/>
  <c r="A352" i="1"/>
  <c r="J351" i="1"/>
  <c r="F351" i="1"/>
  <c r="K351" i="1" s="1"/>
  <c r="A351" i="1"/>
  <c r="J350" i="1"/>
  <c r="F350" i="1"/>
  <c r="K350" i="1" s="1"/>
  <c r="A350" i="1"/>
  <c r="J349" i="1"/>
  <c r="F349" i="1"/>
  <c r="K349" i="1" s="1"/>
  <c r="A349" i="1"/>
  <c r="J348" i="1"/>
  <c r="F348" i="1"/>
  <c r="K348" i="1" s="1"/>
  <c r="A348" i="1"/>
  <c r="J347" i="1"/>
  <c r="F347" i="1"/>
  <c r="K347" i="1" s="1"/>
  <c r="A347" i="1"/>
  <c r="J346" i="1"/>
  <c r="F346" i="1"/>
  <c r="K346" i="1" s="1"/>
  <c r="A346" i="1"/>
  <c r="J345" i="1"/>
  <c r="F345" i="1"/>
  <c r="K345" i="1" s="1"/>
  <c r="A345" i="1"/>
  <c r="J344" i="1"/>
  <c r="F344" i="1"/>
  <c r="K344" i="1" s="1"/>
  <c r="A344" i="1"/>
  <c r="J343" i="1"/>
  <c r="F343" i="1"/>
  <c r="K343" i="1" s="1"/>
  <c r="A343" i="1"/>
  <c r="J342" i="1"/>
  <c r="F342" i="1"/>
  <c r="K342" i="1" s="1"/>
  <c r="A342" i="1"/>
  <c r="J341" i="1"/>
  <c r="F341" i="1"/>
  <c r="K341" i="1" s="1"/>
  <c r="A341" i="1"/>
  <c r="J340" i="1"/>
  <c r="F340" i="1"/>
  <c r="K340" i="1" s="1"/>
  <c r="A340" i="1"/>
  <c r="J339" i="1"/>
  <c r="F339" i="1"/>
  <c r="K339" i="1" s="1"/>
  <c r="A339" i="1"/>
  <c r="J338" i="1"/>
  <c r="F338" i="1"/>
  <c r="K338" i="1" s="1"/>
  <c r="A338" i="1"/>
  <c r="J337" i="1"/>
  <c r="F337" i="1"/>
  <c r="K337" i="1" s="1"/>
  <c r="A337" i="1"/>
  <c r="J336" i="1"/>
  <c r="F336" i="1"/>
  <c r="K336" i="1" s="1"/>
  <c r="A336" i="1"/>
  <c r="J335" i="1"/>
  <c r="F335" i="1"/>
  <c r="K335" i="1" s="1"/>
  <c r="A335" i="1"/>
  <c r="J334" i="1"/>
  <c r="F334" i="1"/>
  <c r="K334" i="1" s="1"/>
  <c r="A334" i="1"/>
  <c r="J333" i="1"/>
  <c r="F333" i="1"/>
  <c r="K333" i="1" s="1"/>
  <c r="A333" i="1"/>
  <c r="J332" i="1"/>
  <c r="F332" i="1"/>
  <c r="K332" i="1" s="1"/>
  <c r="A332" i="1"/>
  <c r="J331" i="1"/>
  <c r="F331" i="1"/>
  <c r="K331" i="1" s="1"/>
  <c r="A331" i="1"/>
  <c r="J330" i="1"/>
  <c r="F330" i="1"/>
  <c r="K330" i="1" s="1"/>
  <c r="A330" i="1"/>
  <c r="J329" i="1"/>
  <c r="F329" i="1"/>
  <c r="K329" i="1" s="1"/>
  <c r="A329" i="1"/>
  <c r="J328" i="1"/>
  <c r="F328" i="1"/>
  <c r="K328" i="1" s="1"/>
  <c r="A328" i="1"/>
  <c r="J327" i="1"/>
  <c r="F327" i="1"/>
  <c r="K327" i="1" s="1"/>
  <c r="A327" i="1"/>
  <c r="J326" i="1"/>
  <c r="F326" i="1"/>
  <c r="K326" i="1" s="1"/>
  <c r="A326" i="1"/>
  <c r="J325" i="1"/>
  <c r="F325" i="1"/>
  <c r="K325" i="1" s="1"/>
  <c r="A325" i="1"/>
  <c r="J324" i="1"/>
  <c r="F324" i="1"/>
  <c r="K324" i="1" s="1"/>
  <c r="A324" i="1"/>
  <c r="J323" i="1"/>
  <c r="F323" i="1"/>
  <c r="K323" i="1" s="1"/>
  <c r="A323" i="1"/>
  <c r="J322" i="1"/>
  <c r="F322" i="1"/>
  <c r="K322" i="1" s="1"/>
  <c r="A322" i="1"/>
  <c r="J321" i="1"/>
  <c r="F321" i="1"/>
  <c r="K321" i="1" s="1"/>
  <c r="A321" i="1"/>
  <c r="J320" i="1"/>
  <c r="F320" i="1"/>
  <c r="K320" i="1" s="1"/>
  <c r="A320" i="1"/>
  <c r="J319" i="1"/>
  <c r="F319" i="1"/>
  <c r="K319" i="1" s="1"/>
  <c r="A319" i="1"/>
  <c r="J318" i="1"/>
  <c r="F318" i="1"/>
  <c r="K318" i="1" s="1"/>
  <c r="A318" i="1"/>
  <c r="J317" i="1"/>
  <c r="F317" i="1"/>
  <c r="K317" i="1" s="1"/>
  <c r="A317" i="1"/>
  <c r="J316" i="1"/>
  <c r="F316" i="1"/>
  <c r="K316" i="1" s="1"/>
  <c r="A316" i="1"/>
  <c r="J315" i="1"/>
  <c r="F315" i="1"/>
  <c r="K315" i="1" s="1"/>
  <c r="A315" i="1"/>
  <c r="J314" i="1"/>
  <c r="F314" i="1"/>
  <c r="K314" i="1" s="1"/>
  <c r="A314" i="1"/>
  <c r="J313" i="1"/>
  <c r="F313" i="1"/>
  <c r="K313" i="1" s="1"/>
  <c r="A313" i="1"/>
  <c r="J312" i="1"/>
  <c r="F312" i="1"/>
  <c r="K312" i="1" s="1"/>
  <c r="A312" i="1"/>
  <c r="J311" i="1"/>
  <c r="F311" i="1"/>
  <c r="K311" i="1" s="1"/>
  <c r="A311" i="1"/>
  <c r="J310" i="1"/>
  <c r="F310" i="1"/>
  <c r="K310" i="1" s="1"/>
  <c r="A310" i="1"/>
  <c r="J309" i="1"/>
  <c r="F309" i="1"/>
  <c r="K309" i="1" s="1"/>
  <c r="A309" i="1"/>
  <c r="J308" i="1"/>
  <c r="F308" i="1"/>
  <c r="K308" i="1" s="1"/>
  <c r="A308" i="1"/>
  <c r="J307" i="1"/>
  <c r="F307" i="1"/>
  <c r="K307" i="1" s="1"/>
  <c r="A307" i="1"/>
  <c r="J306" i="1"/>
  <c r="F306" i="1"/>
  <c r="K306" i="1" s="1"/>
  <c r="A306" i="1"/>
  <c r="J305" i="1"/>
  <c r="F305" i="1"/>
  <c r="K305" i="1" s="1"/>
  <c r="A305" i="1"/>
  <c r="J304" i="1"/>
  <c r="F304" i="1"/>
  <c r="K304" i="1" s="1"/>
  <c r="A304" i="1"/>
  <c r="J303" i="1"/>
  <c r="F303" i="1"/>
  <c r="K303" i="1" s="1"/>
  <c r="A303" i="1"/>
  <c r="J302" i="1"/>
  <c r="F302" i="1"/>
  <c r="K302" i="1" s="1"/>
  <c r="A302" i="1"/>
  <c r="J301" i="1"/>
  <c r="F301" i="1"/>
  <c r="K301" i="1" s="1"/>
  <c r="A301" i="1"/>
  <c r="J300" i="1"/>
  <c r="F300" i="1"/>
  <c r="K300" i="1" s="1"/>
  <c r="A300" i="1"/>
  <c r="J299" i="1"/>
  <c r="F299" i="1"/>
  <c r="K299" i="1" s="1"/>
  <c r="A299" i="1"/>
  <c r="J298" i="1"/>
  <c r="F298" i="1"/>
  <c r="K298" i="1" s="1"/>
  <c r="A298" i="1"/>
  <c r="J297" i="1"/>
  <c r="F297" i="1"/>
  <c r="K297" i="1" s="1"/>
  <c r="A297" i="1"/>
  <c r="J296" i="1"/>
  <c r="F296" i="1"/>
  <c r="K296" i="1" s="1"/>
  <c r="A296" i="1"/>
  <c r="J295" i="1"/>
  <c r="F295" i="1"/>
  <c r="K295" i="1" s="1"/>
  <c r="A295" i="1"/>
  <c r="J294" i="1"/>
  <c r="A294" i="1"/>
  <c r="J293" i="1"/>
  <c r="K293" i="1"/>
  <c r="A293" i="1"/>
  <c r="J292" i="1"/>
  <c r="A292" i="1"/>
  <c r="J291" i="1"/>
  <c r="A291" i="1"/>
  <c r="J290" i="1"/>
  <c r="A290" i="1"/>
  <c r="J289" i="1"/>
  <c r="A289" i="1"/>
  <c r="J288" i="1"/>
  <c r="A288" i="1"/>
  <c r="J287" i="1"/>
  <c r="A287" i="1"/>
  <c r="J286" i="1"/>
  <c r="A286" i="1"/>
  <c r="J285" i="1"/>
  <c r="A285" i="1"/>
  <c r="J284" i="1"/>
  <c r="A284" i="1"/>
  <c r="J283" i="1"/>
  <c r="A283" i="1"/>
  <c r="J282" i="1"/>
  <c r="A282" i="1"/>
  <c r="J281" i="1"/>
  <c r="A281" i="1"/>
  <c r="J280" i="1"/>
  <c r="A280" i="1"/>
  <c r="J279" i="1"/>
  <c r="A279" i="1"/>
  <c r="J278" i="1"/>
  <c r="A278" i="1"/>
  <c r="J277" i="1"/>
  <c r="A277" i="1"/>
  <c r="J276" i="1"/>
  <c r="A276" i="1"/>
  <c r="J275" i="1"/>
  <c r="A275" i="1"/>
  <c r="J274" i="1"/>
  <c r="A274" i="1"/>
  <c r="J273" i="1"/>
  <c r="A273" i="1"/>
  <c r="J272" i="1"/>
  <c r="A272" i="1"/>
  <c r="J271" i="1"/>
  <c r="A271" i="1"/>
  <c r="J270" i="1"/>
  <c r="A270" i="1"/>
  <c r="J269" i="1"/>
  <c r="A269" i="1"/>
  <c r="J268" i="1"/>
  <c r="A268" i="1"/>
  <c r="J267" i="1"/>
  <c r="A267" i="1"/>
  <c r="J266" i="1"/>
  <c r="A266" i="1"/>
  <c r="J265" i="1"/>
  <c r="A265" i="1"/>
  <c r="J264" i="1"/>
  <c r="A264" i="1"/>
  <c r="J263" i="1"/>
  <c r="A263" i="1"/>
  <c r="J262" i="1"/>
  <c r="A262" i="1"/>
  <c r="J261" i="1"/>
  <c r="A261" i="1"/>
  <c r="J260" i="1"/>
  <c r="A260" i="1"/>
  <c r="J259" i="1"/>
  <c r="A259" i="1"/>
  <c r="J258" i="1"/>
  <c r="A258" i="1"/>
  <c r="J257" i="1"/>
  <c r="A257" i="1"/>
  <c r="J256" i="1"/>
  <c r="A256" i="1"/>
  <c r="J255" i="1"/>
  <c r="A255" i="1"/>
  <c r="J254" i="1"/>
  <c r="A254" i="1"/>
  <c r="J252" i="1"/>
  <c r="A252" i="1"/>
  <c r="J251" i="1"/>
  <c r="A251" i="1"/>
  <c r="J250" i="1"/>
  <c r="A250" i="1"/>
  <c r="J249" i="1"/>
  <c r="A249" i="1"/>
  <c r="J248" i="1"/>
  <c r="A248" i="1"/>
  <c r="J247" i="1"/>
  <c r="A247" i="1"/>
  <c r="J246" i="1"/>
  <c r="A246" i="1"/>
  <c r="J245" i="1"/>
  <c r="A245" i="1"/>
  <c r="J244" i="1"/>
  <c r="A244" i="1"/>
  <c r="J243" i="1"/>
  <c r="A243" i="1"/>
  <c r="J242" i="1"/>
  <c r="A242" i="1"/>
  <c r="J241" i="1"/>
  <c r="A241" i="1"/>
  <c r="J240" i="1"/>
  <c r="A240" i="1"/>
  <c r="J239" i="1"/>
  <c r="A239" i="1"/>
  <c r="J238" i="1"/>
  <c r="A238" i="1"/>
  <c r="J237" i="1"/>
  <c r="A237" i="1"/>
  <c r="J236" i="1"/>
  <c r="A236" i="1"/>
  <c r="J235" i="1"/>
  <c r="A235" i="1"/>
  <c r="J234" i="1"/>
  <c r="A234" i="1"/>
  <c r="J233" i="1"/>
  <c r="A233" i="1"/>
  <c r="J232" i="1"/>
  <c r="A232" i="1"/>
  <c r="J231" i="1"/>
  <c r="A231" i="1"/>
  <c r="J230" i="1"/>
  <c r="A230" i="1"/>
  <c r="J229" i="1"/>
  <c r="A229" i="1"/>
  <c r="J228" i="1"/>
  <c r="A228" i="1"/>
  <c r="J227" i="1"/>
  <c r="A227" i="1"/>
  <c r="J226" i="1"/>
  <c r="A226" i="1"/>
  <c r="J225" i="1"/>
  <c r="A225" i="1"/>
  <c r="J224" i="1"/>
  <c r="A224" i="1"/>
  <c r="J223" i="1"/>
  <c r="A223" i="1"/>
  <c r="J222" i="1"/>
  <c r="A222" i="1"/>
  <c r="J221" i="1"/>
  <c r="A221" i="1"/>
  <c r="D221" i="1" s="1"/>
  <c r="J220" i="1"/>
  <c r="A220" i="1"/>
  <c r="J219" i="1"/>
  <c r="A219" i="1"/>
  <c r="J218" i="1"/>
  <c r="A218" i="1"/>
  <c r="J217" i="1"/>
  <c r="A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D43" i="2" s="1"/>
  <c r="A118" i="1"/>
  <c r="J117" i="1"/>
  <c r="D42" i="2" s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D10" i="2" s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D29" i="2" s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D9" i="2" s="1"/>
  <c r="A22" i="1"/>
  <c r="J21" i="1"/>
  <c r="A21" i="1"/>
  <c r="J20" i="1"/>
  <c r="A20" i="1"/>
  <c r="J19" i="1"/>
  <c r="A19" i="1"/>
  <c r="J18" i="1"/>
  <c r="A18" i="1"/>
  <c r="J17" i="1"/>
  <c r="F17" i="1"/>
  <c r="K17" i="1" s="1"/>
  <c r="A17" i="1"/>
  <c r="J16" i="1"/>
  <c r="A16" i="1"/>
  <c r="J15" i="1"/>
  <c r="A15" i="1"/>
  <c r="J14" i="1"/>
  <c r="F14" i="1"/>
  <c r="K14" i="1" s="1"/>
  <c r="A14" i="1"/>
  <c r="J13" i="1"/>
  <c r="F13" i="1"/>
  <c r="K13" i="1" s="1"/>
  <c r="A13" i="1"/>
  <c r="J12" i="1"/>
  <c r="A12" i="1"/>
  <c r="J11" i="1"/>
  <c r="F11" i="1"/>
  <c r="K11" i="1" s="1"/>
  <c r="A11" i="1"/>
  <c r="J10" i="1"/>
  <c r="F10" i="1"/>
  <c r="K10" i="1" s="1"/>
  <c r="A10" i="1"/>
  <c r="J9" i="1"/>
  <c r="F9" i="1"/>
  <c r="K9" i="1" s="1"/>
  <c r="A9" i="1"/>
  <c r="J8" i="1"/>
  <c r="F8" i="1"/>
  <c r="K8" i="1" s="1"/>
  <c r="A8" i="1"/>
  <c r="J7" i="1"/>
  <c r="F7" i="1"/>
  <c r="K7" i="1" s="1"/>
  <c r="A7" i="1"/>
  <c r="J6" i="1"/>
  <c r="F6" i="1"/>
  <c r="K6" i="1" s="1"/>
  <c r="A6" i="1"/>
  <c r="J5" i="1"/>
  <c r="K5" i="1"/>
  <c r="A5" i="1"/>
  <c r="D253" i="1" l="1"/>
  <c r="F253" i="1" s="1"/>
  <c r="K253" i="1" s="1"/>
  <c r="D217" i="1"/>
  <c r="D229" i="1"/>
  <c r="D273" i="1"/>
  <c r="D25" i="1"/>
  <c r="D49" i="1"/>
  <c r="D73" i="1"/>
  <c r="D97" i="1"/>
  <c r="F97" i="1" s="1"/>
  <c r="K97" i="1" s="1"/>
  <c r="D117" i="1"/>
  <c r="D125" i="1"/>
  <c r="D133" i="1"/>
  <c r="D141" i="1"/>
  <c r="D233" i="1"/>
  <c r="D257" i="1"/>
  <c r="D289" i="1"/>
  <c r="D41" i="1"/>
  <c r="F41" i="1" s="1"/>
  <c r="K41" i="1" s="1"/>
  <c r="D65" i="1"/>
  <c r="D85" i="1"/>
  <c r="D109" i="1"/>
  <c r="D121" i="1"/>
  <c r="D129" i="1"/>
  <c r="D137" i="1"/>
  <c r="D145" i="1"/>
  <c r="D149" i="1"/>
  <c r="F149" i="1" s="1"/>
  <c r="D153" i="1"/>
  <c r="D157" i="1"/>
  <c r="F157" i="1" s="1"/>
  <c r="K157" i="1" s="1"/>
  <c r="D161" i="1"/>
  <c r="D165" i="1"/>
  <c r="D169" i="1"/>
  <c r="D173" i="1"/>
  <c r="D35" i="2"/>
  <c r="D11" i="2"/>
  <c r="D40" i="2"/>
  <c r="D22" i="2"/>
  <c r="D37" i="2"/>
  <c r="D8" i="2"/>
  <c r="D218" i="1"/>
  <c r="D222" i="1"/>
  <c r="D226" i="1"/>
  <c r="D230" i="1"/>
  <c r="F230" i="1" s="1"/>
  <c r="K230" i="1" s="1"/>
  <c r="D234" i="1"/>
  <c r="D238" i="1"/>
  <c r="D242" i="1"/>
  <c r="D246" i="1"/>
  <c r="D250" i="1"/>
  <c r="D254" i="1"/>
  <c r="D258" i="1"/>
  <c r="D262" i="1"/>
  <c r="F262" i="1" s="1"/>
  <c r="K262" i="1" s="1"/>
  <c r="D266" i="1"/>
  <c r="D270" i="1"/>
  <c r="D274" i="1"/>
  <c r="D278" i="1"/>
  <c r="D282" i="1"/>
  <c r="F282" i="1" s="1"/>
  <c r="K282" i="1" s="1"/>
  <c r="D286" i="1"/>
  <c r="D290" i="1"/>
  <c r="D241" i="1"/>
  <c r="F241" i="1" s="1"/>
  <c r="K241" i="1" s="1"/>
  <c r="D265" i="1"/>
  <c r="D281" i="1"/>
  <c r="D33" i="1"/>
  <c r="D57" i="1"/>
  <c r="D81" i="1"/>
  <c r="D101" i="1"/>
  <c r="D22" i="1"/>
  <c r="D38" i="1"/>
  <c r="F38" i="1" s="1"/>
  <c r="K38" i="1" s="1"/>
  <c r="D50" i="1"/>
  <c r="D62" i="1"/>
  <c r="D66" i="1"/>
  <c r="D70" i="1"/>
  <c r="D74" i="1"/>
  <c r="D78" i="1"/>
  <c r="D82" i="1"/>
  <c r="D86" i="1"/>
  <c r="F86" i="1" s="1"/>
  <c r="K86" i="1" s="1"/>
  <c r="D90" i="1"/>
  <c r="D94" i="1"/>
  <c r="D98" i="1"/>
  <c r="D102" i="1"/>
  <c r="D106" i="1"/>
  <c r="D110" i="1"/>
  <c r="D114" i="1"/>
  <c r="D118" i="1"/>
  <c r="F118" i="1" s="1"/>
  <c r="B43" i="2" s="1"/>
  <c r="D122" i="1"/>
  <c r="D126" i="1"/>
  <c r="D130" i="1"/>
  <c r="D134" i="1"/>
  <c r="D138" i="1"/>
  <c r="D142" i="1"/>
  <c r="D146" i="1"/>
  <c r="D150" i="1"/>
  <c r="F150" i="1" s="1"/>
  <c r="K150" i="1" s="1"/>
  <c r="D154" i="1"/>
  <c r="D158" i="1"/>
  <c r="F158" i="1" s="1"/>
  <c r="D162" i="1"/>
  <c r="D166" i="1"/>
  <c r="D170" i="1"/>
  <c r="D174" i="1"/>
  <c r="D294" i="1"/>
  <c r="D237" i="1"/>
  <c r="F237" i="1" s="1"/>
  <c r="K237" i="1" s="1"/>
  <c r="D261" i="1"/>
  <c r="D285" i="1"/>
  <c r="D37" i="1"/>
  <c r="D61" i="1"/>
  <c r="D89" i="1"/>
  <c r="D113" i="1"/>
  <c r="D30" i="1"/>
  <c r="D46" i="1"/>
  <c r="F46" i="1" s="1"/>
  <c r="B11" i="2" s="1"/>
  <c r="D12" i="1"/>
  <c r="D15" i="1"/>
  <c r="F15" i="1" s="1"/>
  <c r="K15" i="1" s="1"/>
  <c r="D219" i="1"/>
  <c r="D223" i="1"/>
  <c r="D227" i="1"/>
  <c r="D231" i="1"/>
  <c r="D235" i="1"/>
  <c r="D239" i="1"/>
  <c r="F239" i="1" s="1"/>
  <c r="K239" i="1" s="1"/>
  <c r="D243" i="1"/>
  <c r="D247" i="1"/>
  <c r="F247" i="1" s="1"/>
  <c r="K247" i="1" s="1"/>
  <c r="D251" i="1"/>
  <c r="D255" i="1"/>
  <c r="D259" i="1"/>
  <c r="D263" i="1"/>
  <c r="D267" i="1"/>
  <c r="D271" i="1"/>
  <c r="F271" i="1" s="1"/>
  <c r="K271" i="1" s="1"/>
  <c r="D275" i="1"/>
  <c r="D279" i="1"/>
  <c r="F279" i="1" s="1"/>
  <c r="K279" i="1" s="1"/>
  <c r="D283" i="1"/>
  <c r="D287" i="1"/>
  <c r="D291" i="1"/>
  <c r="D245" i="1"/>
  <c r="D269" i="1"/>
  <c r="D21" i="1"/>
  <c r="F21" i="1" s="1"/>
  <c r="D45" i="1"/>
  <c r="D69" i="1"/>
  <c r="F69" i="1" s="1"/>
  <c r="K69" i="1" s="1"/>
  <c r="D93" i="1"/>
  <c r="D18" i="1"/>
  <c r="D34" i="1"/>
  <c r="D54" i="1"/>
  <c r="D19" i="1"/>
  <c r="D27" i="1"/>
  <c r="F27" i="1" s="1"/>
  <c r="D35" i="1"/>
  <c r="D43" i="1"/>
  <c r="F43" i="1" s="1"/>
  <c r="D51" i="1"/>
  <c r="D59" i="1"/>
  <c r="D67" i="1"/>
  <c r="D75" i="1"/>
  <c r="F75" i="1" s="1"/>
  <c r="K75" i="1" s="1"/>
  <c r="D83" i="1"/>
  <c r="D91" i="1"/>
  <c r="F91" i="1" s="1"/>
  <c r="K91" i="1" s="1"/>
  <c r="D99" i="1"/>
  <c r="D103" i="1"/>
  <c r="F103" i="1" s="1"/>
  <c r="K103" i="1" s="1"/>
  <c r="D107" i="1"/>
  <c r="D111" i="1"/>
  <c r="D115" i="1"/>
  <c r="D119" i="1"/>
  <c r="F119" i="1" s="1"/>
  <c r="K119" i="1" s="1"/>
  <c r="D123" i="1"/>
  <c r="D127" i="1"/>
  <c r="F127" i="1" s="1"/>
  <c r="D131" i="1"/>
  <c r="D135" i="1"/>
  <c r="F135" i="1" s="1"/>
  <c r="K135" i="1" s="1"/>
  <c r="D139" i="1"/>
  <c r="D143" i="1"/>
  <c r="D147" i="1"/>
  <c r="F147" i="1" s="1"/>
  <c r="K147" i="1" s="1"/>
  <c r="D151" i="1"/>
  <c r="F151" i="1" s="1"/>
  <c r="D155" i="1"/>
  <c r="D159" i="1"/>
  <c r="F159" i="1" s="1"/>
  <c r="K159" i="1" s="1"/>
  <c r="D163" i="1"/>
  <c r="D167" i="1"/>
  <c r="F167" i="1" s="1"/>
  <c r="K167" i="1" s="1"/>
  <c r="D171" i="1"/>
  <c r="D175" i="1"/>
  <c r="D225" i="1"/>
  <c r="F225" i="1" s="1"/>
  <c r="K225" i="1" s="1"/>
  <c r="D249" i="1"/>
  <c r="D277" i="1"/>
  <c r="D29" i="1"/>
  <c r="F29" i="1" s="1"/>
  <c r="D53" i="1"/>
  <c r="D77" i="1"/>
  <c r="D105" i="1"/>
  <c r="D26" i="1"/>
  <c r="D42" i="1"/>
  <c r="F42" i="1" s="1"/>
  <c r="K42" i="1" s="1"/>
  <c r="D58" i="1"/>
  <c r="D23" i="1"/>
  <c r="D31" i="1"/>
  <c r="F31" i="1" s="1"/>
  <c r="K31" i="1" s="1"/>
  <c r="D39" i="1"/>
  <c r="D47" i="1"/>
  <c r="F47" i="1" s="1"/>
  <c r="K47" i="1" s="1"/>
  <c r="D55" i="1"/>
  <c r="D63" i="1"/>
  <c r="D71" i="1"/>
  <c r="F71" i="1" s="1"/>
  <c r="K71" i="1" s="1"/>
  <c r="D79" i="1"/>
  <c r="F79" i="1" s="1"/>
  <c r="K79" i="1" s="1"/>
  <c r="D87" i="1"/>
  <c r="D95" i="1"/>
  <c r="F95" i="1" s="1"/>
  <c r="K95" i="1" s="1"/>
  <c r="D16" i="1"/>
  <c r="D220" i="1"/>
  <c r="F220" i="1" s="1"/>
  <c r="K220" i="1" s="1"/>
  <c r="D224" i="1"/>
  <c r="D228" i="1"/>
  <c r="F228" i="1" s="1"/>
  <c r="K228" i="1" s="1"/>
  <c r="D232" i="1"/>
  <c r="F232" i="1" s="1"/>
  <c r="K232" i="1" s="1"/>
  <c r="D236" i="1"/>
  <c r="F236" i="1" s="1"/>
  <c r="K236" i="1" s="1"/>
  <c r="D240" i="1"/>
  <c r="D244" i="1"/>
  <c r="F244" i="1" s="1"/>
  <c r="K244" i="1" s="1"/>
  <c r="D248" i="1"/>
  <c r="D252" i="1"/>
  <c r="F252" i="1" s="1"/>
  <c r="K252" i="1" s="1"/>
  <c r="D256" i="1"/>
  <c r="D260" i="1"/>
  <c r="F260" i="1" s="1"/>
  <c r="K260" i="1" s="1"/>
  <c r="D264" i="1"/>
  <c r="D268" i="1"/>
  <c r="F268" i="1" s="1"/>
  <c r="K268" i="1" s="1"/>
  <c r="D272" i="1"/>
  <c r="D276" i="1"/>
  <c r="F276" i="1" s="1"/>
  <c r="K276" i="1" s="1"/>
  <c r="D280" i="1"/>
  <c r="F280" i="1" s="1"/>
  <c r="K280" i="1" s="1"/>
  <c r="D284" i="1"/>
  <c r="F284" i="1" s="1"/>
  <c r="K284" i="1" s="1"/>
  <c r="D288" i="1"/>
  <c r="D292" i="1"/>
  <c r="F292" i="1" s="1"/>
  <c r="K292" i="1" s="1"/>
  <c r="D203" i="1"/>
  <c r="F203" i="1" s="1"/>
  <c r="K203" i="1" s="1"/>
  <c r="D202" i="1"/>
  <c r="F202" i="1" s="1"/>
  <c r="K202" i="1" s="1"/>
  <c r="D176" i="1"/>
  <c r="D198" i="1"/>
  <c r="F198" i="1" s="1"/>
  <c r="K198" i="1" s="1"/>
  <c r="D181" i="1"/>
  <c r="D184" i="1"/>
  <c r="D210" i="1"/>
  <c r="D179" i="1"/>
  <c r="F179" i="1" s="1"/>
  <c r="K179" i="1" s="1"/>
  <c r="D209" i="1"/>
  <c r="F209" i="1" s="1"/>
  <c r="K209" i="1" s="1"/>
  <c r="D190" i="1"/>
  <c r="F190" i="1" s="1"/>
  <c r="K190" i="1" s="1"/>
  <c r="D208" i="1"/>
  <c r="D212" i="1"/>
  <c r="F212" i="1" s="1"/>
  <c r="K212" i="1" s="1"/>
  <c r="D194" i="1"/>
  <c r="D185" i="1"/>
  <c r="F185" i="1" s="1"/>
  <c r="K185" i="1" s="1"/>
  <c r="D192" i="1"/>
  <c r="D182" i="1"/>
  <c r="F182" i="1" s="1"/>
  <c r="K182" i="1" s="1"/>
  <c r="D214" i="1"/>
  <c r="F214" i="1" s="1"/>
  <c r="K214" i="1" s="1"/>
  <c r="D211" i="1"/>
  <c r="F211" i="1" s="1"/>
  <c r="K211" i="1" s="1"/>
  <c r="D186" i="1"/>
  <c r="D189" i="1"/>
  <c r="F189" i="1" s="1"/>
  <c r="D215" i="1"/>
  <c r="D200" i="1"/>
  <c r="D204" i="1"/>
  <c r="D195" i="1"/>
  <c r="F195" i="1" s="1"/>
  <c r="K195" i="1" s="1"/>
  <c r="D178" i="1"/>
  <c r="F178" i="1" s="1"/>
  <c r="K178" i="1" s="1"/>
  <c r="D205" i="1"/>
  <c r="F205" i="1" s="1"/>
  <c r="K205" i="1" s="1"/>
  <c r="D213" i="1"/>
  <c r="F213" i="1" s="1"/>
  <c r="K213" i="1" s="1"/>
  <c r="D207" i="1"/>
  <c r="F207" i="1" s="1"/>
  <c r="K207" i="1" s="1"/>
  <c r="D206" i="1"/>
  <c r="F206" i="1" s="1"/>
  <c r="K206" i="1" s="1"/>
  <c r="D196" i="1"/>
  <c r="F196" i="1" s="1"/>
  <c r="K196" i="1" s="1"/>
  <c r="D187" i="1"/>
  <c r="D193" i="1"/>
  <c r="F193" i="1" s="1"/>
  <c r="K193" i="1" s="1"/>
  <c r="D188" i="1"/>
  <c r="F188" i="1" s="1"/>
  <c r="K188" i="1" s="1"/>
  <c r="D199" i="1"/>
  <c r="F199" i="1" s="1"/>
  <c r="K199" i="1" s="1"/>
  <c r="D201" i="1"/>
  <c r="F201" i="1" s="1"/>
  <c r="K201" i="1" s="1"/>
  <c r="D191" i="1"/>
  <c r="F191" i="1" s="1"/>
  <c r="K191" i="1" s="1"/>
  <c r="D197" i="1"/>
  <c r="D180" i="1"/>
  <c r="F180" i="1" s="1"/>
  <c r="D216" i="1"/>
  <c r="D177" i="1"/>
  <c r="F177" i="1" s="1"/>
  <c r="K177" i="1" s="1"/>
  <c r="D183" i="1"/>
  <c r="F183" i="1" s="1"/>
  <c r="D20" i="1"/>
  <c r="F20" i="1" s="1"/>
  <c r="K20" i="1" s="1"/>
  <c r="D24" i="1"/>
  <c r="F24" i="1" s="1"/>
  <c r="D28" i="1"/>
  <c r="F28" i="1" s="1"/>
  <c r="K28" i="1" s="1"/>
  <c r="D32" i="1"/>
  <c r="F32" i="1" s="1"/>
  <c r="K32" i="1" s="1"/>
  <c r="D36" i="1"/>
  <c r="F36" i="1" s="1"/>
  <c r="D40" i="1"/>
  <c r="F40" i="1" s="1"/>
  <c r="K40" i="1" s="1"/>
  <c r="D44" i="1"/>
  <c r="F44" i="1" s="1"/>
  <c r="K44" i="1" s="1"/>
  <c r="D48" i="1"/>
  <c r="F48" i="1" s="1"/>
  <c r="K48" i="1" s="1"/>
  <c r="D52" i="1"/>
  <c r="F52" i="1" s="1"/>
  <c r="D56" i="1"/>
  <c r="F56" i="1" s="1"/>
  <c r="K56" i="1" s="1"/>
  <c r="D60" i="1"/>
  <c r="F60" i="1" s="1"/>
  <c r="K60" i="1" s="1"/>
  <c r="D64" i="1"/>
  <c r="F64" i="1" s="1"/>
  <c r="K64" i="1" s="1"/>
  <c r="D68" i="1"/>
  <c r="F68" i="1" s="1"/>
  <c r="K68" i="1" s="1"/>
  <c r="D72" i="1"/>
  <c r="F72" i="1" s="1"/>
  <c r="K72" i="1" s="1"/>
  <c r="D76" i="1"/>
  <c r="F76" i="1" s="1"/>
  <c r="K76" i="1" s="1"/>
  <c r="D80" i="1"/>
  <c r="F80" i="1" s="1"/>
  <c r="K80" i="1" s="1"/>
  <c r="D84" i="1"/>
  <c r="F84" i="1" s="1"/>
  <c r="K84" i="1" s="1"/>
  <c r="D88" i="1"/>
  <c r="F88" i="1" s="1"/>
  <c r="K88" i="1" s="1"/>
  <c r="D92" i="1"/>
  <c r="F92" i="1" s="1"/>
  <c r="K92" i="1" s="1"/>
  <c r="D96" i="1"/>
  <c r="F96" i="1" s="1"/>
  <c r="K96" i="1" s="1"/>
  <c r="D100" i="1"/>
  <c r="F100" i="1" s="1"/>
  <c r="K100" i="1" s="1"/>
  <c r="D104" i="1"/>
  <c r="F104" i="1" s="1"/>
  <c r="K104" i="1" s="1"/>
  <c r="D108" i="1"/>
  <c r="F108" i="1" s="1"/>
  <c r="K108" i="1" s="1"/>
  <c r="D112" i="1"/>
  <c r="F112" i="1" s="1"/>
  <c r="K112" i="1" s="1"/>
  <c r="D116" i="1"/>
  <c r="F116" i="1" s="1"/>
  <c r="K116" i="1" s="1"/>
  <c r="D120" i="1"/>
  <c r="F120" i="1" s="1"/>
  <c r="K120" i="1" s="1"/>
  <c r="D124" i="1"/>
  <c r="F124" i="1" s="1"/>
  <c r="K124" i="1" s="1"/>
  <c r="D128" i="1"/>
  <c r="F128" i="1" s="1"/>
  <c r="D132" i="1"/>
  <c r="F132" i="1" s="1"/>
  <c r="D136" i="1"/>
  <c r="F136" i="1" s="1"/>
  <c r="D140" i="1"/>
  <c r="F140" i="1" s="1"/>
  <c r="K140" i="1" s="1"/>
  <c r="D144" i="1"/>
  <c r="F144" i="1" s="1"/>
  <c r="K144" i="1" s="1"/>
  <c r="D148" i="1"/>
  <c r="F148" i="1" s="1"/>
  <c r="K148" i="1" s="1"/>
  <c r="D152" i="1"/>
  <c r="F152" i="1" s="1"/>
  <c r="D156" i="1"/>
  <c r="F156" i="1" s="1"/>
  <c r="K156" i="1" s="1"/>
  <c r="D160" i="1"/>
  <c r="F160" i="1" s="1"/>
  <c r="K160" i="1" s="1"/>
  <c r="D164" i="1"/>
  <c r="F164" i="1" s="1"/>
  <c r="K164" i="1" s="1"/>
  <c r="D168" i="1"/>
  <c r="F168" i="1" s="1"/>
  <c r="D172" i="1"/>
  <c r="F172" i="1" s="1"/>
  <c r="K172" i="1" s="1"/>
  <c r="D41" i="2"/>
  <c r="D21" i="2"/>
  <c r="D31" i="2"/>
  <c r="D34" i="2"/>
  <c r="D23" i="2"/>
  <c r="D19" i="2"/>
  <c r="D32" i="2"/>
  <c r="D28" i="2"/>
  <c r="D38" i="2"/>
  <c r="D16" i="2"/>
  <c r="D20" i="2"/>
  <c r="D24" i="2"/>
  <c r="D39" i="2"/>
  <c r="D18" i="2"/>
  <c r="D33" i="2"/>
  <c r="D17" i="2"/>
  <c r="D26" i="2"/>
  <c r="D25" i="2"/>
  <c r="F288" i="1"/>
  <c r="K288" i="1" s="1"/>
  <c r="F283" i="1"/>
  <c r="K283" i="1" s="1"/>
  <c r="F291" i="1"/>
  <c r="K291" i="1" s="1"/>
  <c r="F278" i="1"/>
  <c r="K278" i="1" s="1"/>
  <c r="F286" i="1"/>
  <c r="K286" i="1" s="1"/>
  <c r="F294" i="1"/>
  <c r="K294" i="1" s="1"/>
  <c r="F281" i="1"/>
  <c r="K281" i="1" s="1"/>
  <c r="F289" i="1"/>
  <c r="K289" i="1" s="1"/>
  <c r="F287" i="1"/>
  <c r="K287" i="1" s="1"/>
  <c r="F290" i="1"/>
  <c r="K290" i="1" s="1"/>
  <c r="F277" i="1"/>
  <c r="K277" i="1" s="1"/>
  <c r="F285" i="1"/>
  <c r="K285" i="1" s="1"/>
  <c r="F192" i="1"/>
  <c r="K192" i="1" s="1"/>
  <c r="F215" i="1"/>
  <c r="K215" i="1" s="1"/>
  <c r="F210" i="1"/>
  <c r="K210" i="1" s="1"/>
  <c r="F194" i="1"/>
  <c r="K194" i="1" s="1"/>
  <c r="F197" i="1"/>
  <c r="K197" i="1" s="1"/>
  <c r="F216" i="1"/>
  <c r="K216" i="1" s="1"/>
  <c r="F204" i="1"/>
  <c r="K204" i="1" s="1"/>
  <c r="F184" i="1"/>
  <c r="K184" i="1" s="1"/>
  <c r="F208" i="1"/>
  <c r="K208" i="1" s="1"/>
  <c r="F186" i="1"/>
  <c r="K186" i="1" s="1"/>
  <c r="F176" i="1"/>
  <c r="K176" i="1" s="1"/>
  <c r="F200" i="1"/>
  <c r="K200" i="1" s="1"/>
  <c r="F25" i="1"/>
  <c r="F33" i="1"/>
  <c r="K33" i="1" s="1"/>
  <c r="F37" i="1"/>
  <c r="F39" i="1"/>
  <c r="F55" i="1"/>
  <c r="F59" i="1"/>
  <c r="K59" i="1" s="1"/>
  <c r="F63" i="1"/>
  <c r="K63" i="1" s="1"/>
  <c r="F67" i="1"/>
  <c r="K67" i="1" s="1"/>
  <c r="F77" i="1"/>
  <c r="K77" i="1" s="1"/>
  <c r="F81" i="1"/>
  <c r="K81" i="1" s="1"/>
  <c r="F83" i="1"/>
  <c r="K83" i="1" s="1"/>
  <c r="F87" i="1"/>
  <c r="F93" i="1"/>
  <c r="K93" i="1" s="1"/>
  <c r="F99" i="1"/>
  <c r="K99" i="1" s="1"/>
  <c r="F107" i="1"/>
  <c r="K107" i="1" s="1"/>
  <c r="F113" i="1"/>
  <c r="K113" i="1" s="1"/>
  <c r="F117" i="1"/>
  <c r="B42" i="2" s="1"/>
  <c r="F125" i="1"/>
  <c r="F129" i="1"/>
  <c r="F137" i="1"/>
  <c r="F141" i="1"/>
  <c r="K141" i="1" s="1"/>
  <c r="F145" i="1"/>
  <c r="F16" i="1"/>
  <c r="F218" i="1"/>
  <c r="K218" i="1" s="1"/>
  <c r="F226" i="1"/>
  <c r="K226" i="1" s="1"/>
  <c r="F234" i="1"/>
  <c r="K234" i="1" s="1"/>
  <c r="F238" i="1"/>
  <c r="K238" i="1" s="1"/>
  <c r="F240" i="1"/>
  <c r="K240" i="1" s="1"/>
  <c r="F242" i="1"/>
  <c r="K242" i="1" s="1"/>
  <c r="F246" i="1"/>
  <c r="K246" i="1" s="1"/>
  <c r="F249" i="1"/>
  <c r="K249" i="1" s="1"/>
  <c r="F257" i="1"/>
  <c r="K257" i="1" s="1"/>
  <c r="F261" i="1"/>
  <c r="K261" i="1" s="1"/>
  <c r="F265" i="1"/>
  <c r="K265" i="1" s="1"/>
  <c r="F269" i="1"/>
  <c r="K269" i="1" s="1"/>
  <c r="F273" i="1"/>
  <c r="K273" i="1" s="1"/>
  <c r="F82" i="1"/>
  <c r="K82" i="1" s="1"/>
  <c r="F90" i="1"/>
  <c r="K90" i="1" s="1"/>
  <c r="F94" i="1"/>
  <c r="K94" i="1" s="1"/>
  <c r="F98" i="1"/>
  <c r="K98" i="1" s="1"/>
  <c r="F102" i="1"/>
  <c r="K102" i="1" s="1"/>
  <c r="F106" i="1"/>
  <c r="K106" i="1" s="1"/>
  <c r="F110" i="1"/>
  <c r="B10" i="2" s="1"/>
  <c r="F114" i="1"/>
  <c r="K114" i="1" s="1"/>
  <c r="F122" i="1"/>
  <c r="K122" i="1" s="1"/>
  <c r="F126" i="1"/>
  <c r="F130" i="1"/>
  <c r="K130" i="1" s="1"/>
  <c r="F134" i="1"/>
  <c r="F138" i="1"/>
  <c r="F142" i="1"/>
  <c r="F154" i="1"/>
  <c r="K154" i="1" s="1"/>
  <c r="F162" i="1"/>
  <c r="K162" i="1" s="1"/>
  <c r="F166" i="1"/>
  <c r="K166" i="1" s="1"/>
  <c r="F170" i="1"/>
  <c r="K170" i="1" s="1"/>
  <c r="F174" i="1"/>
  <c r="K174" i="1" s="1"/>
  <c r="F248" i="1"/>
  <c r="K248" i="1" s="1"/>
  <c r="F256" i="1"/>
  <c r="K256" i="1" s="1"/>
  <c r="F264" i="1"/>
  <c r="K264" i="1" s="1"/>
  <c r="F272" i="1"/>
  <c r="K272" i="1" s="1"/>
  <c r="F18" i="1"/>
  <c r="F26" i="1"/>
  <c r="F34" i="1"/>
  <c r="F50" i="1"/>
  <c r="F54" i="1"/>
  <c r="K54" i="1" s="1"/>
  <c r="F58" i="1"/>
  <c r="K58" i="1" s="1"/>
  <c r="F62" i="1"/>
  <c r="F66" i="1"/>
  <c r="K66" i="1" s="1"/>
  <c r="F70" i="1"/>
  <c r="F74" i="1"/>
  <c r="K74" i="1" s="1"/>
  <c r="F78" i="1"/>
  <c r="K78" i="1" s="1"/>
  <c r="F12" i="1"/>
  <c r="F217" i="1"/>
  <c r="K217" i="1" s="1"/>
  <c r="F221" i="1"/>
  <c r="K221" i="1" s="1"/>
  <c r="F223" i="1"/>
  <c r="K223" i="1" s="1"/>
  <c r="F227" i="1"/>
  <c r="K227" i="1" s="1"/>
  <c r="F229" i="1"/>
  <c r="K229" i="1" s="1"/>
  <c r="F231" i="1"/>
  <c r="K231" i="1" s="1"/>
  <c r="F233" i="1"/>
  <c r="K233" i="1" s="1"/>
  <c r="F235" i="1"/>
  <c r="K235" i="1" s="1"/>
  <c r="F243" i="1"/>
  <c r="K243" i="1" s="1"/>
  <c r="F245" i="1"/>
  <c r="K245" i="1" s="1"/>
  <c r="F251" i="1"/>
  <c r="K251" i="1" s="1"/>
  <c r="F255" i="1"/>
  <c r="K255" i="1" s="1"/>
  <c r="F259" i="1"/>
  <c r="K259" i="1" s="1"/>
  <c r="F263" i="1"/>
  <c r="K263" i="1" s="1"/>
  <c r="F267" i="1"/>
  <c r="K267" i="1" s="1"/>
  <c r="F275" i="1"/>
  <c r="K275" i="1" s="1"/>
  <c r="F22" i="1"/>
  <c r="F30" i="1"/>
  <c r="K30" i="1" s="1"/>
  <c r="F19" i="1"/>
  <c r="F23" i="1"/>
  <c r="B17" i="2" s="1"/>
  <c r="F35" i="1"/>
  <c r="F45" i="1"/>
  <c r="K45" i="1" s="1"/>
  <c r="F49" i="1"/>
  <c r="K49" i="1" s="1"/>
  <c r="F53" i="1"/>
  <c r="K53" i="1" s="1"/>
  <c r="F57" i="1"/>
  <c r="K57" i="1" s="1"/>
  <c r="F61" i="1"/>
  <c r="F65" i="1"/>
  <c r="K65" i="1" s="1"/>
  <c r="F73" i="1"/>
  <c r="K73" i="1" s="1"/>
  <c r="F85" i="1"/>
  <c r="K85" i="1" s="1"/>
  <c r="F89" i="1"/>
  <c r="K89" i="1" s="1"/>
  <c r="F101" i="1"/>
  <c r="K101" i="1" s="1"/>
  <c r="F105" i="1"/>
  <c r="K105" i="1" s="1"/>
  <c r="F109" i="1"/>
  <c r="K109" i="1" s="1"/>
  <c r="F111" i="1"/>
  <c r="K111" i="1" s="1"/>
  <c r="F115" i="1"/>
  <c r="K115" i="1" s="1"/>
  <c r="F121" i="1"/>
  <c r="K121" i="1" s="1"/>
  <c r="F123" i="1"/>
  <c r="K123" i="1" s="1"/>
  <c r="F139" i="1"/>
  <c r="K139" i="1" s="1"/>
  <c r="F143" i="1"/>
  <c r="F153" i="1"/>
  <c r="K153" i="1" s="1"/>
  <c r="F155" i="1"/>
  <c r="F161" i="1"/>
  <c r="K161" i="1" s="1"/>
  <c r="F163" i="1"/>
  <c r="K163" i="1" s="1"/>
  <c r="F165" i="1"/>
  <c r="F169" i="1"/>
  <c r="K169" i="1" s="1"/>
  <c r="F171" i="1"/>
  <c r="K171" i="1" s="1"/>
  <c r="F173" i="1"/>
  <c r="K173" i="1" s="1"/>
  <c r="F175" i="1"/>
  <c r="K175" i="1" s="1"/>
  <c r="F250" i="1"/>
  <c r="K250" i="1" s="1"/>
  <c r="F254" i="1"/>
  <c r="K254" i="1" s="1"/>
  <c r="F258" i="1"/>
  <c r="K258" i="1" s="1"/>
  <c r="F266" i="1"/>
  <c r="K266" i="1" s="1"/>
  <c r="F270" i="1"/>
  <c r="K270" i="1" s="1"/>
  <c r="F274" i="1"/>
  <c r="K274" i="1" s="1"/>
  <c r="F131" i="1"/>
  <c r="F224" i="1"/>
  <c r="K224" i="1" s="1"/>
  <c r="F219" i="1"/>
  <c r="K219" i="1" s="1"/>
  <c r="F222" i="1"/>
  <c r="K222" i="1" s="1"/>
  <c r="F51" i="1"/>
  <c r="K51" i="1" s="1"/>
  <c r="F181" i="1"/>
  <c r="K181" i="1" s="1"/>
  <c r="F187" i="1"/>
  <c r="K187" i="1" s="1"/>
  <c r="F146" i="1"/>
  <c r="F133" i="1"/>
  <c r="H4" i="2"/>
  <c r="B9" i="2" l="1"/>
  <c r="B40" i="2"/>
  <c r="B8" i="2"/>
  <c r="B38" i="2"/>
  <c r="B29" i="2"/>
  <c r="B41" i="2"/>
  <c r="B23" i="2"/>
  <c r="B24" i="2"/>
  <c r="B16" i="2"/>
  <c r="B34" i="2"/>
  <c r="B28" i="2"/>
  <c r="B37" i="2"/>
  <c r="B21" i="2"/>
  <c r="B35" i="2"/>
  <c r="B20" i="2"/>
  <c r="B22" i="2"/>
  <c r="B19" i="2"/>
  <c r="B25" i="2"/>
  <c r="B26" i="2"/>
  <c r="B32" i="2"/>
  <c r="B18" i="2"/>
  <c r="B31" i="2"/>
  <c r="B33" i="2"/>
  <c r="B39" i="2"/>
  <c r="K55" i="1"/>
  <c r="K37" i="1"/>
  <c r="K43" i="1"/>
  <c r="K50" i="1"/>
  <c r="K39" i="1"/>
  <c r="K29" i="1"/>
  <c r="K35" i="1"/>
  <c r="K46" i="1"/>
  <c r="K36" i="1"/>
  <c r="K23" i="1"/>
  <c r="K118" i="1"/>
  <c r="K52" i="1"/>
  <c r="K19" i="1"/>
  <c r="K87" i="1"/>
  <c r="K24" i="1"/>
  <c r="K21" i="1"/>
  <c r="K27" i="1"/>
  <c r="K62" i="1"/>
  <c r="K12" i="1"/>
  <c r="K34" i="1"/>
  <c r="K117" i="1"/>
  <c r="K26" i="1"/>
  <c r="K110" i="1"/>
  <c r="K70" i="1"/>
  <c r="K22" i="1"/>
  <c r="K16" i="1"/>
  <c r="K25" i="1"/>
  <c r="K61" i="1"/>
  <c r="K18" i="1"/>
  <c r="K165" i="1"/>
  <c r="K189" i="1"/>
  <c r="K183" i="1"/>
  <c r="K168" i="1"/>
  <c r="K143" i="1"/>
  <c r="K158" i="1"/>
  <c r="K180" i="1"/>
  <c r="K145" i="1"/>
  <c r="K146" i="1"/>
  <c r="K127" i="1"/>
  <c r="K149" i="1"/>
  <c r="K126" i="1"/>
  <c r="K151" i="1"/>
  <c r="K125" i="1"/>
  <c r="K137" i="1"/>
  <c r="K134" i="1"/>
  <c r="K142" i="1"/>
  <c r="K138" i="1"/>
  <c r="K155" i="1"/>
  <c r="K129" i="1"/>
  <c r="K128" i="1"/>
  <c r="K132" i="1"/>
  <c r="K136" i="1"/>
  <c r="K152" i="1"/>
  <c r="K131" i="1"/>
  <c r="K133" i="1"/>
  <c r="E12" i="2" l="1"/>
  <c r="E35" i="2"/>
  <c r="E19" i="2"/>
  <c r="E30" i="2"/>
  <c r="E40" i="2"/>
  <c r="E41" i="2"/>
  <c r="E24" i="2"/>
  <c r="E25" i="2"/>
  <c r="E9" i="2"/>
  <c r="E36" i="2"/>
  <c r="E15" i="2"/>
  <c r="E21" i="2"/>
  <c r="E10" i="2"/>
  <c r="E31" i="2"/>
  <c r="E14" i="2"/>
  <c r="E32" i="2"/>
  <c r="E7" i="2"/>
  <c r="E34" i="2"/>
  <c r="E13" i="2"/>
  <c r="E28" i="2"/>
  <c r="E18" i="2"/>
  <c r="E43" i="2"/>
  <c r="E38" i="2"/>
  <c r="E29" i="2"/>
  <c r="E27" i="2"/>
  <c r="E33" i="2"/>
  <c r="E11" i="2"/>
  <c r="E22" i="2"/>
  <c r="E16" i="2"/>
  <c r="E8" i="2"/>
  <c r="E37" i="2"/>
  <c r="E20" i="2"/>
  <c r="E39" i="2"/>
  <c r="E26" i="2"/>
  <c r="E23" i="2"/>
  <c r="D46" i="2"/>
  <c r="C46" i="2"/>
  <c r="E42" i="2"/>
  <c r="B46" i="2"/>
  <c r="E17" i="2"/>
  <c r="E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Logistico Soledad</author>
    <author>soportepjp4@hotmail.com</author>
  </authors>
  <commentList>
    <comment ref="D4" authorId="0" shapeId="0" xr:uid="{00000000-0006-0000-0000-000001000000}">
      <text>
        <r>
          <rPr>
            <sz val="10"/>
            <rFont val="Arial"/>
            <family val="2"/>
          </rPr>
          <t>Se autocompleta con el ultimo Kilometraje Actual (Final) registrado para ese mismo vehiculo. Solo captura manual la PRIMERA vez que aparece cada vehiculo (celda en azul); despues queda en automatico.</t>
        </r>
      </text>
    </comment>
    <comment ref="C14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Logistico Soledad:</t>
        </r>
        <r>
          <rPr>
            <sz val="9"/>
            <color indexed="81"/>
            <rFont val="Tahoma"/>
            <family val="2"/>
          </rPr>
          <t xml:space="preserve">
GENERADOR
</t>
        </r>
      </text>
    </comment>
    <comment ref="C14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Logistico Soledad:</t>
        </r>
        <r>
          <rPr>
            <sz val="9"/>
            <color indexed="81"/>
            <rFont val="Tahoma"/>
            <family val="2"/>
          </rPr>
          <t xml:space="preserve">
GENERADOR
</t>
        </r>
      </text>
    </comment>
    <comment ref="C164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soportepjp4@hotmail.com:</t>
        </r>
        <r>
          <rPr>
            <sz val="9"/>
            <color indexed="81"/>
            <rFont val="Tahoma"/>
            <family val="2"/>
          </rPr>
          <t xml:space="preserve">
LIMPIEZA GENERAL
</t>
        </r>
      </text>
    </comment>
    <comment ref="C206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soportepjp4@hotmail.com:</t>
        </r>
        <r>
          <rPr>
            <sz val="9"/>
            <color indexed="81"/>
            <rFont val="Tahoma"/>
            <family val="2"/>
          </rPr>
          <t xml:space="preserve">
BOMBA 1
</t>
        </r>
      </text>
    </comment>
    <comment ref="C275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soportepjp4@hotmail.com:</t>
        </r>
        <r>
          <rPr>
            <sz val="9"/>
            <color indexed="81"/>
            <rFont val="Tahoma"/>
            <family val="2"/>
          </rPr>
          <t xml:space="preserve">
MECA-STAFF</t>
        </r>
      </text>
    </comment>
    <comment ref="E301" authorId="2" shapeId="0" xr:uid="{22C0AA70-4EA9-4E21-9D2E-3F898512FB04}">
      <text>
        <r>
          <rPr>
            <b/>
            <sz val="9"/>
            <color indexed="81"/>
            <rFont val="Tahoma"/>
            <charset val="1"/>
          </rPr>
          <t>soportepjp4@hotmail.com:</t>
        </r>
        <r>
          <rPr>
            <sz val="9"/>
            <color indexed="81"/>
            <rFont val="Tahoma"/>
            <charset val="1"/>
          </rPr>
          <t xml:space="preserve">
HORAS ACUMULADAS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Captura el numero de mes: 1=Enero ... 12=Diciembre</t>
        </r>
      </text>
    </comment>
  </commentList>
</comments>
</file>

<file path=xl/sharedStrings.xml><?xml version="1.0" encoding="utf-8"?>
<sst xmlns="http://schemas.openxmlformats.org/spreadsheetml/2006/main" count="571" uniqueCount="75">
  <si>
    <t>CONTROL DE COMBUSTIBLE Y RENDIMIENTO DE FLOTA - REGISTRO DIARIO</t>
  </si>
  <si>
    <t>Captura cada carga de combustible. Las columnas en AZUL se llenan a mano; las columnas en NEGRO se calculan solas. Flota: 32 vehiculos.</t>
  </si>
  <si>
    <t>Item</t>
  </si>
  <si>
    <t>Fecha</t>
  </si>
  <si>
    <t>Numero Economico</t>
  </si>
  <si>
    <t>Kilometraje Inicial</t>
  </si>
  <si>
    <t>Kilometraje Actual (Final)</t>
  </si>
  <si>
    <t>Kilometraje Recorrido</t>
  </si>
  <si>
    <t>Tipo de Combustible</t>
  </si>
  <si>
    <t>Litros Cargados</t>
  </si>
  <si>
    <t>Precio por Litro</t>
  </si>
  <si>
    <t>Total Pesos</t>
  </si>
  <si>
    <t>Rendimiento (km/l)</t>
  </si>
  <si>
    <t>Gasolina</t>
  </si>
  <si>
    <t>Diesel</t>
  </si>
  <si>
    <t>RESUMEN MENSUAL POR VEHICULO</t>
  </si>
  <si>
    <t>Cambia el Mes y el Ano en las celdas amarillas; el resumen se recalcula solo.</t>
  </si>
  <si>
    <t>Mes (1-12):</t>
  </si>
  <si>
    <t>Ano:</t>
  </si>
  <si>
    <t>Inicio periodo:</t>
  </si>
  <si>
    <t>Fin periodo:</t>
  </si>
  <si>
    <t>Total KM Recorridos</t>
  </si>
  <si>
    <t>Total Litros Cargados</t>
  </si>
  <si>
    <t>Gasto Total ($)</t>
  </si>
  <si>
    <t>Rendimiento Promedio Real (km/l)</t>
  </si>
  <si>
    <t>TOTAL FLOTA</t>
  </si>
  <si>
    <t>COMPARATIVO DE RENDIMIENTO POR VEHICULO</t>
  </si>
  <si>
    <t>Estos graficos se alimentan automaticamente de la hoja Resumen Mensual.</t>
  </si>
  <si>
    <t>Numero_Economico</t>
  </si>
  <si>
    <t>Tipo_Combustible</t>
  </si>
  <si>
    <t>U-272</t>
  </si>
  <si>
    <t>U-274</t>
  </si>
  <si>
    <t>U-293</t>
  </si>
  <si>
    <t>U-337</t>
  </si>
  <si>
    <t>U-338</t>
  </si>
  <si>
    <t>U-434</t>
  </si>
  <si>
    <t>U-460</t>
  </si>
  <si>
    <t>U-468</t>
  </si>
  <si>
    <t>U-477</t>
  </si>
  <si>
    <t>U-545</t>
  </si>
  <si>
    <t>U-549</t>
  </si>
  <si>
    <t>U-551</t>
  </si>
  <si>
    <t>U-554</t>
  </si>
  <si>
    <t>U-559</t>
  </si>
  <si>
    <t>U-560</t>
  </si>
  <si>
    <t>U-562</t>
  </si>
  <si>
    <t>U-566</t>
  </si>
  <si>
    <t>U-576</t>
  </si>
  <si>
    <t>U-579</t>
  </si>
  <si>
    <t>U-581</t>
  </si>
  <si>
    <t>U-586</t>
  </si>
  <si>
    <t>U-588</t>
  </si>
  <si>
    <t>U-589</t>
  </si>
  <si>
    <t>U-591</t>
  </si>
  <si>
    <t>U-592</t>
  </si>
  <si>
    <t>U-593</t>
  </si>
  <si>
    <t>U-595</t>
  </si>
  <si>
    <t>U-598</t>
  </si>
  <si>
    <t>U-614</t>
  </si>
  <si>
    <t>U-640</t>
  </si>
  <si>
    <t>U-674</t>
  </si>
  <si>
    <t>U-675</t>
  </si>
  <si>
    <t>Maq. Soldar</t>
  </si>
  <si>
    <t>Celaje</t>
  </si>
  <si>
    <t>otros</t>
  </si>
  <si>
    <t>Etiquetas de fila</t>
  </si>
  <si>
    <t>Total general</t>
  </si>
  <si>
    <t>Etiquetas de columna</t>
  </si>
  <si>
    <t>Suma de Total Pesos</t>
  </si>
  <si>
    <t>Tipo de Combustible Asignado</t>
  </si>
  <si>
    <t xml:space="preserve">Gasolina </t>
  </si>
  <si>
    <t>Bateria Soledad Norte 1</t>
  </si>
  <si>
    <t>Bateria Soledad Sur 2</t>
  </si>
  <si>
    <t>U-260</t>
  </si>
  <si>
    <t>29/09/2026 - 05/10/2026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</si>
</sst>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"/>
  </numFmts>
  <fonts count="15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5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/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1" fillId="0" borderId="0" xfId="0" applyFont="1"/>
    <xf numFmtId="0" fontId="2" fillId="0" borderId="0" xfId="0" applyFont="1"/>
  </cellXfs>
  <cellStyles count="2">
    <cellStyle name="Moneda" xfId="1" builtinId="4"/>
    <cellStyle name="Normal" xfId="0" builtinId="0"/>
  </cellStyles>
  <dxfs count="4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Rendimiento Promedio (km/l) por Vehiculo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Mensual'!$E$6</c:f>
              <c:strCache>
                <c:ptCount val="1"/>
                <c:pt idx="0">
                  <c:v>Rendimiento Promedio Real (km/l)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Mensual'!$A$7:$A$38</c:f>
              <c:strCache>
                <c:ptCount val="32"/>
                <c:pt idx="0">
                  <c:v>U-260</c:v>
                </c:pt>
                <c:pt idx="1">
                  <c:v>U-274</c:v>
                </c:pt>
                <c:pt idx="2">
                  <c:v>U-293</c:v>
                </c:pt>
                <c:pt idx="3">
                  <c:v>U-337</c:v>
                </c:pt>
                <c:pt idx="4">
                  <c:v>U-338</c:v>
                </c:pt>
                <c:pt idx="5">
                  <c:v>U-434</c:v>
                </c:pt>
                <c:pt idx="6">
                  <c:v>U-460</c:v>
                </c:pt>
                <c:pt idx="7">
                  <c:v>U-468</c:v>
                </c:pt>
                <c:pt idx="8">
                  <c:v>U-477</c:v>
                </c:pt>
                <c:pt idx="9">
                  <c:v>U-545</c:v>
                </c:pt>
                <c:pt idx="10">
                  <c:v>U-549</c:v>
                </c:pt>
                <c:pt idx="11">
                  <c:v>U-551</c:v>
                </c:pt>
                <c:pt idx="12">
                  <c:v>U-554</c:v>
                </c:pt>
                <c:pt idx="13">
                  <c:v>U-559</c:v>
                </c:pt>
                <c:pt idx="14">
                  <c:v>U-560</c:v>
                </c:pt>
                <c:pt idx="15">
                  <c:v>U-562</c:v>
                </c:pt>
                <c:pt idx="16">
                  <c:v>U-566</c:v>
                </c:pt>
                <c:pt idx="17">
                  <c:v>U-576</c:v>
                </c:pt>
                <c:pt idx="18">
                  <c:v>U-579</c:v>
                </c:pt>
                <c:pt idx="19">
                  <c:v>U-581</c:v>
                </c:pt>
                <c:pt idx="20">
                  <c:v>U-586</c:v>
                </c:pt>
                <c:pt idx="21">
                  <c:v>U-588</c:v>
                </c:pt>
                <c:pt idx="22">
                  <c:v>U-589</c:v>
                </c:pt>
                <c:pt idx="23">
                  <c:v>U-591</c:v>
                </c:pt>
                <c:pt idx="24">
                  <c:v>U-592</c:v>
                </c:pt>
                <c:pt idx="25">
                  <c:v>U-593</c:v>
                </c:pt>
                <c:pt idx="26">
                  <c:v>U-595</c:v>
                </c:pt>
                <c:pt idx="27">
                  <c:v>U-598</c:v>
                </c:pt>
                <c:pt idx="28">
                  <c:v>U-614</c:v>
                </c:pt>
                <c:pt idx="29">
                  <c:v>U-640</c:v>
                </c:pt>
                <c:pt idx="30">
                  <c:v>U-674</c:v>
                </c:pt>
                <c:pt idx="31">
                  <c:v>U-675</c:v>
                </c:pt>
              </c:strCache>
            </c:strRef>
          </c:cat>
          <c:val>
            <c:numRef>
              <c:f>'Resumen Mensual'!$E$7:$E$38</c:f>
              <c:numCache>
                <c:formatCode>0.00</c:formatCode>
                <c:ptCount val="32"/>
                <c:pt idx="0">
                  <c:v>0</c:v>
                </c:pt>
                <c:pt idx="1">
                  <c:v>1.1353503514920267</c:v>
                </c:pt>
                <c:pt idx="2">
                  <c:v>4.1901879764883896</c:v>
                </c:pt>
                <c:pt idx="3">
                  <c:v>0</c:v>
                </c:pt>
                <c:pt idx="4">
                  <c:v>706.15743382371193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1308.6652894133156</c:v>
                </c:pt>
                <c:pt idx="10">
                  <c:v>2460.7418305536717</c:v>
                </c:pt>
                <c:pt idx="11">
                  <c:v>3.9717456127486916</c:v>
                </c:pt>
                <c:pt idx="12">
                  <c:v>4.073506300677793</c:v>
                </c:pt>
                <c:pt idx="13">
                  <c:v>6.5050969814763393</c:v>
                </c:pt>
                <c:pt idx="14">
                  <c:v>711.41323443795579</c:v>
                </c:pt>
                <c:pt idx="15">
                  <c:v>3.921315780218749</c:v>
                </c:pt>
                <c:pt idx="16">
                  <c:v>3.0730636563185953</c:v>
                </c:pt>
                <c:pt idx="17">
                  <c:v>341.77736430325302</c:v>
                </c:pt>
                <c:pt idx="18">
                  <c:v>3.8386259843117028</c:v>
                </c:pt>
                <c:pt idx="19">
                  <c:v>2396.4524844355692</c:v>
                </c:pt>
                <c:pt idx="20">
                  <c:v>0</c:v>
                </c:pt>
                <c:pt idx="21">
                  <c:v>4.3441530102778252</c:v>
                </c:pt>
                <c:pt idx="22">
                  <c:v>2.8068679439692312</c:v>
                </c:pt>
                <c:pt idx="23">
                  <c:v>0</c:v>
                </c:pt>
                <c:pt idx="24">
                  <c:v>600.84975522834168</c:v>
                </c:pt>
                <c:pt idx="25">
                  <c:v>3.9558785122824265</c:v>
                </c:pt>
                <c:pt idx="26">
                  <c:v>4.0634889362278503</c:v>
                </c:pt>
                <c:pt idx="27">
                  <c:v>1064.1770738305702</c:v>
                </c:pt>
                <c:pt idx="28">
                  <c:v>248.50287351137408</c:v>
                </c:pt>
                <c:pt idx="29">
                  <c:v>0</c:v>
                </c:pt>
                <c:pt idx="30">
                  <c:v>10.265343884099051</c:v>
                </c:pt>
                <c:pt idx="31">
                  <c:v>9.5813824848377092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7-444D-8D7B-9F4D5894A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69923"/>
        <c:axId val="16764251"/>
      </c:barChart>
      <c:catAx>
        <c:axId val="302699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Numero Economico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6764251"/>
        <c:crosses val="autoZero"/>
        <c:auto val="1"/>
        <c:lblAlgn val="ctr"/>
        <c:lblOffset val="100"/>
        <c:noMultiLvlLbl val="0"/>
      </c:catAx>
      <c:valAx>
        <c:axId val="16764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km/l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02699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Gasto Total en Combustible ($) por Vehiculo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Mensual'!$D$6</c:f>
              <c:strCache>
                <c:ptCount val="1"/>
                <c:pt idx="0">
                  <c:v>Gasto Total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Mensual'!$A$7:$A$38</c:f>
              <c:strCache>
                <c:ptCount val="32"/>
                <c:pt idx="0">
                  <c:v>U-260</c:v>
                </c:pt>
                <c:pt idx="1">
                  <c:v>U-274</c:v>
                </c:pt>
                <c:pt idx="2">
                  <c:v>U-293</c:v>
                </c:pt>
                <c:pt idx="3">
                  <c:v>U-337</c:v>
                </c:pt>
                <c:pt idx="4">
                  <c:v>U-338</c:v>
                </c:pt>
                <c:pt idx="5">
                  <c:v>U-434</c:v>
                </c:pt>
                <c:pt idx="6">
                  <c:v>U-460</c:v>
                </c:pt>
                <c:pt idx="7">
                  <c:v>U-468</c:v>
                </c:pt>
                <c:pt idx="8">
                  <c:v>U-477</c:v>
                </c:pt>
                <c:pt idx="9">
                  <c:v>U-545</c:v>
                </c:pt>
                <c:pt idx="10">
                  <c:v>U-549</c:v>
                </c:pt>
                <c:pt idx="11">
                  <c:v>U-551</c:v>
                </c:pt>
                <c:pt idx="12">
                  <c:v>U-554</c:v>
                </c:pt>
                <c:pt idx="13">
                  <c:v>U-559</c:v>
                </c:pt>
                <c:pt idx="14">
                  <c:v>U-560</c:v>
                </c:pt>
                <c:pt idx="15">
                  <c:v>U-562</c:v>
                </c:pt>
                <c:pt idx="16">
                  <c:v>U-566</c:v>
                </c:pt>
                <c:pt idx="17">
                  <c:v>U-576</c:v>
                </c:pt>
                <c:pt idx="18">
                  <c:v>U-579</c:v>
                </c:pt>
                <c:pt idx="19">
                  <c:v>U-581</c:v>
                </c:pt>
                <c:pt idx="20">
                  <c:v>U-586</c:v>
                </c:pt>
                <c:pt idx="21">
                  <c:v>U-588</c:v>
                </c:pt>
                <c:pt idx="22">
                  <c:v>U-589</c:v>
                </c:pt>
                <c:pt idx="23">
                  <c:v>U-591</c:v>
                </c:pt>
                <c:pt idx="24">
                  <c:v>U-592</c:v>
                </c:pt>
                <c:pt idx="25">
                  <c:v>U-593</c:v>
                </c:pt>
                <c:pt idx="26">
                  <c:v>U-595</c:v>
                </c:pt>
                <c:pt idx="27">
                  <c:v>U-598</c:v>
                </c:pt>
                <c:pt idx="28">
                  <c:v>U-614</c:v>
                </c:pt>
                <c:pt idx="29">
                  <c:v>U-640</c:v>
                </c:pt>
                <c:pt idx="30">
                  <c:v>U-674</c:v>
                </c:pt>
                <c:pt idx="31">
                  <c:v>U-675</c:v>
                </c:pt>
              </c:strCache>
            </c:strRef>
          </c:cat>
          <c:val>
            <c:numRef>
              <c:f>'Resumen Mensual'!$D$7:$D$38</c:f>
              <c:numCache>
                <c:formatCode>\$#,##0.00</c:formatCode>
                <c:ptCount val="32"/>
                <c:pt idx="0">
                  <c:v>0</c:v>
                </c:pt>
                <c:pt idx="1">
                  <c:v>5208.0840000000007</c:v>
                </c:pt>
                <c:pt idx="2">
                  <c:v>1648.1933600000002</c:v>
                </c:pt>
                <c:pt idx="3">
                  <c:v>3938.0580000000004</c:v>
                </c:pt>
                <c:pt idx="4">
                  <c:v>6530.058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4260.6540000000005</c:v>
                </c:pt>
                <c:pt idx="10">
                  <c:v>2349.027</c:v>
                </c:pt>
                <c:pt idx="11">
                  <c:v>6628.0680000000002</c:v>
                </c:pt>
                <c:pt idx="12">
                  <c:v>5600.826</c:v>
                </c:pt>
                <c:pt idx="13">
                  <c:v>5445.576</c:v>
                </c:pt>
                <c:pt idx="14">
                  <c:v>10527.489</c:v>
                </c:pt>
                <c:pt idx="15">
                  <c:v>4606.3620000000001</c:v>
                </c:pt>
                <c:pt idx="16">
                  <c:v>2153.9298074999997</c:v>
                </c:pt>
                <c:pt idx="17">
                  <c:v>7861.79743856</c:v>
                </c:pt>
                <c:pt idx="18">
                  <c:v>3160.9956400000001</c:v>
                </c:pt>
                <c:pt idx="19">
                  <c:v>3299.6111000000001</c:v>
                </c:pt>
                <c:pt idx="20">
                  <c:v>0</c:v>
                </c:pt>
                <c:pt idx="21">
                  <c:v>5989.2687800000003</c:v>
                </c:pt>
                <c:pt idx="22">
                  <c:v>2699.69238</c:v>
                </c:pt>
                <c:pt idx="23">
                  <c:v>0</c:v>
                </c:pt>
                <c:pt idx="24">
                  <c:v>10313.502359999999</c:v>
                </c:pt>
                <c:pt idx="25">
                  <c:v>3121.8602799999999</c:v>
                </c:pt>
                <c:pt idx="26">
                  <c:v>1947.4397800000002</c:v>
                </c:pt>
                <c:pt idx="27">
                  <c:v>6098.3964143999992</c:v>
                </c:pt>
                <c:pt idx="28">
                  <c:v>17438.3935174</c:v>
                </c:pt>
                <c:pt idx="29">
                  <c:v>0</c:v>
                </c:pt>
                <c:pt idx="30">
                  <c:v>2436.4639200000001</c:v>
                </c:pt>
                <c:pt idx="31">
                  <c:v>5466.8519999999999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7-4365-A8B3-6E0DEBEC8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35862"/>
        <c:axId val="15350765"/>
      </c:barChart>
      <c:catAx>
        <c:axId val="71235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Numero Economico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5350765"/>
        <c:crosses val="autoZero"/>
        <c:auto val="1"/>
        <c:lblAlgn val="ctr"/>
        <c:lblOffset val="100"/>
        <c:noMultiLvlLbl val="0"/>
      </c:catAx>
      <c:valAx>
        <c:axId val="15350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Pesos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1235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Total de Kilometros Recorridos por Vehiculo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Mensual'!$B$6</c:f>
              <c:strCache>
                <c:ptCount val="1"/>
                <c:pt idx="0">
                  <c:v>Total KM Recorridos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Mensual'!$A$7:$A$38</c:f>
              <c:strCache>
                <c:ptCount val="32"/>
                <c:pt idx="0">
                  <c:v>U-260</c:v>
                </c:pt>
                <c:pt idx="1">
                  <c:v>U-274</c:v>
                </c:pt>
                <c:pt idx="2">
                  <c:v>U-293</c:v>
                </c:pt>
                <c:pt idx="3">
                  <c:v>U-337</c:v>
                </c:pt>
                <c:pt idx="4">
                  <c:v>U-338</c:v>
                </c:pt>
                <c:pt idx="5">
                  <c:v>U-434</c:v>
                </c:pt>
                <c:pt idx="6">
                  <c:v>U-460</c:v>
                </c:pt>
                <c:pt idx="7">
                  <c:v>U-468</c:v>
                </c:pt>
                <c:pt idx="8">
                  <c:v>U-477</c:v>
                </c:pt>
                <c:pt idx="9">
                  <c:v>U-545</c:v>
                </c:pt>
                <c:pt idx="10">
                  <c:v>U-549</c:v>
                </c:pt>
                <c:pt idx="11">
                  <c:v>U-551</c:v>
                </c:pt>
                <c:pt idx="12">
                  <c:v>U-554</c:v>
                </c:pt>
                <c:pt idx="13">
                  <c:v>U-559</c:v>
                </c:pt>
                <c:pt idx="14">
                  <c:v>U-560</c:v>
                </c:pt>
                <c:pt idx="15">
                  <c:v>U-562</c:v>
                </c:pt>
                <c:pt idx="16">
                  <c:v>U-566</c:v>
                </c:pt>
                <c:pt idx="17">
                  <c:v>U-576</c:v>
                </c:pt>
                <c:pt idx="18">
                  <c:v>U-579</c:v>
                </c:pt>
                <c:pt idx="19">
                  <c:v>U-581</c:v>
                </c:pt>
                <c:pt idx="20">
                  <c:v>U-586</c:v>
                </c:pt>
                <c:pt idx="21">
                  <c:v>U-588</c:v>
                </c:pt>
                <c:pt idx="22">
                  <c:v>U-589</c:v>
                </c:pt>
                <c:pt idx="23">
                  <c:v>U-591</c:v>
                </c:pt>
                <c:pt idx="24">
                  <c:v>U-592</c:v>
                </c:pt>
                <c:pt idx="25">
                  <c:v>U-593</c:v>
                </c:pt>
                <c:pt idx="26">
                  <c:v>U-595</c:v>
                </c:pt>
                <c:pt idx="27">
                  <c:v>U-598</c:v>
                </c:pt>
                <c:pt idx="28">
                  <c:v>U-614</c:v>
                </c:pt>
                <c:pt idx="29">
                  <c:v>U-640</c:v>
                </c:pt>
                <c:pt idx="30">
                  <c:v>U-674</c:v>
                </c:pt>
                <c:pt idx="31">
                  <c:v>U-675</c:v>
                </c:pt>
              </c:strCache>
            </c:strRef>
          </c:cat>
          <c:val>
            <c:numRef>
              <c:f>'Resumen Mensual'!$B$7:$B$38</c:f>
              <c:numCache>
                <c:formatCode>General</c:formatCode>
                <c:ptCount val="32"/>
                <c:pt idx="0">
                  <c:v>0</c:v>
                </c:pt>
                <c:pt idx="1">
                  <c:v>219</c:v>
                </c:pt>
                <c:pt idx="2">
                  <c:v>288</c:v>
                </c:pt>
                <c:pt idx="3">
                  <c:v>0</c:v>
                </c:pt>
                <c:pt idx="4">
                  <c:v>170787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206510</c:v>
                </c:pt>
                <c:pt idx="10">
                  <c:v>214087</c:v>
                </c:pt>
                <c:pt idx="11">
                  <c:v>975</c:v>
                </c:pt>
                <c:pt idx="12">
                  <c:v>845</c:v>
                </c:pt>
                <c:pt idx="13">
                  <c:v>1312</c:v>
                </c:pt>
                <c:pt idx="14">
                  <c:v>277385</c:v>
                </c:pt>
                <c:pt idx="15">
                  <c:v>669</c:v>
                </c:pt>
                <c:pt idx="16">
                  <c:v>245</c:v>
                </c:pt>
                <c:pt idx="17">
                  <c:v>112050</c:v>
                </c:pt>
                <c:pt idx="18">
                  <c:v>506</c:v>
                </c:pt>
                <c:pt idx="19">
                  <c:v>306015</c:v>
                </c:pt>
                <c:pt idx="20">
                  <c:v>0</c:v>
                </c:pt>
                <c:pt idx="21">
                  <c:v>1085</c:v>
                </c:pt>
                <c:pt idx="22">
                  <c:v>316</c:v>
                </c:pt>
                <c:pt idx="23">
                  <c:v>0</c:v>
                </c:pt>
                <c:pt idx="24">
                  <c:v>250874</c:v>
                </c:pt>
                <c:pt idx="25">
                  <c:v>515</c:v>
                </c:pt>
                <c:pt idx="26">
                  <c:v>330</c:v>
                </c:pt>
                <c:pt idx="27">
                  <c:v>270633</c:v>
                </c:pt>
                <c:pt idx="28">
                  <c:v>179058</c:v>
                </c:pt>
                <c:pt idx="29">
                  <c:v>0</c:v>
                </c:pt>
                <c:pt idx="30">
                  <c:v>1043</c:v>
                </c:pt>
                <c:pt idx="31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E-464E-B9CE-8861E9C4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11854"/>
        <c:axId val="5113686"/>
      </c:barChart>
      <c:catAx>
        <c:axId val="65211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Numero Economico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113686"/>
        <c:crosses val="autoZero"/>
        <c:auto val="1"/>
        <c:lblAlgn val="ctr"/>
        <c:lblOffset val="100"/>
        <c:noMultiLvlLbl val="0"/>
      </c:catAx>
      <c:valAx>
        <c:axId val="5113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Kilometros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5211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80</xdr:row>
      <xdr:rowOff>33337</xdr:rowOff>
    </xdr:from>
    <xdr:to>
      <xdr:col>15</xdr:col>
      <xdr:colOff>209550</xdr:colOff>
      <xdr:row>91</xdr:row>
      <xdr:rowOff>33337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Complemento 3" title="Mini Calendar and Date Picker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4" name="Complemento 3" title="Mini Calendar and Date Picker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2</xdr:row>
      <xdr:rowOff>0</xdr:rowOff>
    </xdr:from>
    <xdr:to>
      <xdr:col>9</xdr:col>
      <xdr:colOff>485775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25" y="381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628650</xdr:colOff>
      <xdr:row>2</xdr:row>
      <xdr:rowOff>9525</xdr:rowOff>
    </xdr:from>
    <xdr:to>
      <xdr:col>12</xdr:col>
      <xdr:colOff>171450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umero Economico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Econom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352425</xdr:colOff>
      <xdr:row>2</xdr:row>
      <xdr:rowOff>28575</xdr:rowOff>
    </xdr:from>
    <xdr:to>
      <xdr:col>14</xdr:col>
      <xdr:colOff>657225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 de Combustible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Combusti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7075" y="4095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14</xdr:col>
      <xdr:colOff>78480</xdr:colOff>
      <xdr:row>23</xdr:row>
      <xdr:rowOff>90000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14</xdr:col>
      <xdr:colOff>78480</xdr:colOff>
      <xdr:row>43</xdr:row>
      <xdr:rowOff>90000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130680</xdr:rowOff>
    </xdr:from>
    <xdr:to>
      <xdr:col>14</xdr:col>
      <xdr:colOff>78480</xdr:colOff>
      <xdr:row>63</xdr:row>
      <xdr:rowOff>90000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de Windows" refreshedDate="46302.372346180557" createdVersion="6" refreshedVersion="8" minRefreshableVersion="3" recordCount="481" xr:uid="{00000000-000A-0000-FFFF-FFFF00000000}">
  <cacheSource type="worksheet">
    <worksheetSource name="TablaRegistro"/>
  </cacheSource>
  <cacheFields count="11">
    <cacheField name="Item" numFmtId="0">
      <sharedItems containsString="0" containsBlank="1" containsNumber="1" containsInteger="1" minValue="1" maxValue="400"/>
    </cacheField>
    <cacheField name="Fecha" numFmtId="0">
      <sharedItems containsNonDate="0" containsDate="1" containsString="0" containsBlank="1" minDate="2026-08-03T00:00:00" maxDate="2026-10-07T00:00:00" count="47"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8T00:00:00"/>
        <d v="2026-09-29T00:00:00"/>
        <d v="2026-09-30T00:00:00"/>
        <d v="2026-10-01T00:00:00"/>
        <d v="2026-10-02T00:00:00"/>
        <d v="2026-10-05T00:00:00"/>
        <d v="2026-10-06T00:00:00"/>
        <m/>
      </sharedItems>
      <fieldGroup base="1">
        <rangePr autoStart="0" autoEnd="0" groupBy="days" startDate="2026-08-04T00:00:00" endDate="2027-01-04T00:00:00" groupInterval="7"/>
        <groupItems count="24">
          <s v="&lt;04/08/2026 o (en blanco)"/>
          <s v="04/08/2026 - 10/08/2026"/>
          <s v="11/08/2026 - 17/08/2026"/>
          <s v="18/08/2026 - 24/08/2026"/>
          <s v="25/08/2026 - 31/08/2026"/>
          <s v="01/09/2026 - 07/09/2026"/>
          <s v="08/09/2026 - 14/09/2026"/>
          <s v="15/09/2026 - 21/09/2026"/>
          <s v="22/09/2026 - 28/09/2026"/>
          <s v="29/09/2026 - 05/10/2026"/>
          <s v="06/10/2026 - 12/10/2026"/>
          <s v="13/10/2026 - 19/10/2026"/>
          <s v="20/10/2026 - 26/10/2026"/>
          <s v="27/10/2026 - 02/11/2026"/>
          <s v="03/11/2026 - 09/11/2026"/>
          <s v="10/11/2026 - 16/11/2026"/>
          <s v="17/11/2026 - 23/11/2026"/>
          <s v="24/11/2026 - 30/11/2026"/>
          <s v="01/12/2026 - 07/12/2026"/>
          <s v="08/12/2026 - 14/12/2026"/>
          <s v="15/12/2026 - 21/12/2026"/>
          <s v="22/12/2026 - 28/12/2026"/>
          <s v="29/12/2026 - 04/01/2027"/>
          <s v="&gt;04/01/2027"/>
        </groupItems>
      </fieldGroup>
    </cacheField>
    <cacheField name="Numero Economico" numFmtId="0">
      <sharedItems containsBlank="1" count="38">
        <s v="U-549"/>
        <s v="U-560"/>
        <s v="U-576"/>
        <s v="U-614"/>
        <s v="U-581"/>
        <s v="Maq. Soldar"/>
        <s v="U-592"/>
        <s v="U-545"/>
        <s v="U-598"/>
        <s v="U-338"/>
        <s v="U-554"/>
        <s v="Celaje"/>
        <s v="U-293"/>
        <s v="U-551"/>
        <s v="U-562"/>
        <s v="U-588"/>
        <s v="U-674"/>
        <s v="U-589"/>
        <s v="U-595"/>
        <s v="U-675"/>
        <s v="otros"/>
        <s v="U-559"/>
        <s v="U-593"/>
        <s v="U-274"/>
        <s v="U-566"/>
        <s v="U-579"/>
        <s v="U-337"/>
        <s v="Bateria Soledad Norte 1"/>
        <s v="Bateria Soledad Sur 2"/>
        <s v="U-591"/>
        <s v="U-640"/>
        <s v="U-260"/>
        <m/>
        <s v="Bateria Soledad 1" u="1"/>
        <s v="GENERADOR" u="1"/>
        <s v="Bateria Soledad 2" u="1"/>
        <s v="Bomba 1" u="1"/>
        <s v="Bomba 2" u="1"/>
      </sharedItems>
    </cacheField>
    <cacheField name="Kilometraje Inicial" numFmtId="0">
      <sharedItems containsBlank="1" containsMixedTypes="1" containsNumber="1" minValue="0" maxValue="531517"/>
    </cacheField>
    <cacheField name="Kilometraje Actual (Final)" numFmtId="0">
      <sharedItems containsString="0" containsBlank="1" containsNumber="1" minValue="0" maxValue="531659"/>
    </cacheField>
    <cacheField name="Kilometraje Recorrido" numFmtId="0">
      <sharedItems containsString="0" containsBlank="1" containsNumber="1" minValue="-3598" maxValue="305289"/>
    </cacheField>
    <cacheField name="Tipo de Combustible" numFmtId="0">
      <sharedItems containsBlank="1" count="5">
        <s v="Diesel"/>
        <s v="Gasolina"/>
        <s v="Gasolina "/>
        <s v=""/>
        <m/>
      </sharedItems>
    </cacheField>
    <cacheField name="Litros Cargados" numFmtId="0">
      <sharedItems containsString="0" containsBlank="1" containsNumber="1" minValue="3" maxValue="145.85400000000001"/>
    </cacheField>
    <cacheField name="Precio por Litro" numFmtId="0">
      <sharedItems containsString="0" containsBlank="1" containsNumber="1" minValue="23.979900000000001" maxValue="100"/>
    </cacheField>
    <cacheField name="Total Pesos" numFmtId="0">
      <sharedItems containsString="0" containsBlank="1" containsNumber="1" minValue="0" maxValue="5000"/>
    </cacheField>
    <cacheField name="Rendimiento (km/l)" numFmtId="0">
      <sharedItems containsString="0" containsBlank="1" containsNumber="1" minValue="-114.82734409906172" maxValue="8097.6366674624014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n v="1"/>
    <x v="0"/>
    <x v="0"/>
    <n v="0"/>
    <n v="213702"/>
    <n v="213702"/>
    <x v="0"/>
    <n v="30.053999999999998"/>
    <n v="27"/>
    <n v="811.45799999999997"/>
    <n v="7110.600918346976"/>
  </r>
  <r>
    <n v="2"/>
    <x v="0"/>
    <x v="1"/>
    <n v="0"/>
    <n v="275208"/>
    <n v="275208"/>
    <x v="0"/>
    <n v="44.006999999999998"/>
    <n v="27"/>
    <n v="1188.1889999999999"/>
    <n v="6253.7323607607887"/>
  </r>
  <r>
    <n v="3"/>
    <x v="0"/>
    <x v="2"/>
    <n v="0"/>
    <n v="111444"/>
    <n v="111444"/>
    <x v="1"/>
    <n v="86.406999999999996"/>
    <n v="23.98"/>
    <n v="2072.0398599999999"/>
    <n v="1289.7566169407571"/>
  </r>
  <r>
    <n v="4"/>
    <x v="0"/>
    <x v="3"/>
    <n v="0"/>
    <n v="174669"/>
    <n v="174669"/>
    <x v="1"/>
    <n v="45.055999999999997"/>
    <n v="23.98"/>
    <n v="1080.4428800000001"/>
    <n v="3876.708984375"/>
  </r>
  <r>
    <n v="5"/>
    <x v="0"/>
    <x v="4"/>
    <n v="0"/>
    <n v="305289"/>
    <n v="305289"/>
    <x v="1"/>
    <n v="37.701000000000001"/>
    <n v="23.98"/>
    <n v="904.06997999999999"/>
    <n v="8097.6366674624014"/>
  </r>
  <r>
    <n v="6"/>
    <x v="0"/>
    <x v="5"/>
    <n v="0"/>
    <n v="3538"/>
    <n v="3538"/>
    <x v="0"/>
    <n v="26.451000000000001"/>
    <n v="27"/>
    <n v="714.17700000000002"/>
    <n v="133.75675777853388"/>
  </r>
  <r>
    <n v="7"/>
    <x v="1"/>
    <x v="6"/>
    <n v="0"/>
    <n v="248349"/>
    <n v="248349"/>
    <x v="1"/>
    <n v="42.845999999999997"/>
    <n v="23.98"/>
    <n v="1027.4470799999999"/>
    <n v="5796.3170424310329"/>
  </r>
  <r>
    <n v="8"/>
    <x v="1"/>
    <x v="3"/>
    <n v="174669"/>
    <n v="174849"/>
    <n v="180"/>
    <x v="1"/>
    <n v="38.173000000000002"/>
    <n v="23.98"/>
    <n v="915.38854000000003"/>
    <n v="4.7153747413093026"/>
  </r>
  <r>
    <n v="9"/>
    <x v="2"/>
    <x v="7"/>
    <n v="0"/>
    <n v="205752"/>
    <n v="205752"/>
    <x v="0"/>
    <n v="47.726999999999997"/>
    <n v="27"/>
    <n v="1288.6289999999999"/>
    <n v="4311.0189201081148"/>
  </r>
  <r>
    <n v="10"/>
    <x v="2"/>
    <x v="8"/>
    <n v="0"/>
    <n v="268947"/>
    <n v="268947"/>
    <x v="1"/>
    <n v="53.456000000000003"/>
    <n v="23.979900000000001"/>
    <n v="1281.8695344"/>
    <n v="5031.1845255911403"/>
  </r>
  <r>
    <n v="11"/>
    <x v="2"/>
    <x v="3"/>
    <n v="174849"/>
    <n v="175127"/>
    <n v="278"/>
    <x v="1"/>
    <n v="35.426000000000002"/>
    <n v="23.979900000000001"/>
    <n v="849.51193740000008"/>
    <n v="7.8473437588212045"/>
  </r>
  <r>
    <n v="12"/>
    <x v="2"/>
    <x v="4"/>
    <n v="305289"/>
    <n v="305660"/>
    <n v="371"/>
    <x v="1"/>
    <n v="47.497"/>
    <n v="28.98"/>
    <n v="1376.46306"/>
    <n v="7.8110196433458956"/>
  </r>
  <r>
    <n v="13"/>
    <x v="3"/>
    <x v="9"/>
    <n v="0"/>
    <n v="170451"/>
    <n v="170451"/>
    <x v="0"/>
    <n v="119.851"/>
    <n v="27"/>
    <n v="3235.9769999999999"/>
    <n v="1422.1908870180475"/>
  </r>
  <r>
    <n v="14"/>
    <x v="3"/>
    <x v="10"/>
    <n v="206519"/>
    <n v="206519"/>
    <n v="0"/>
    <x v="0"/>
    <n v="28.402999999999999"/>
    <n v="27"/>
    <n v="766.88099999999997"/>
    <n v="0"/>
  </r>
  <r>
    <n v="15"/>
    <x v="3"/>
    <x v="1"/>
    <n v="275208"/>
    <n v="275514"/>
    <n v="306"/>
    <x v="0"/>
    <n v="48.448999999999998"/>
    <n v="27"/>
    <n v="1308.123"/>
    <n v="6.3159198332266921"/>
  </r>
  <r>
    <n v="16"/>
    <x v="3"/>
    <x v="3"/>
    <n v="175127"/>
    <n v="175357"/>
    <n v="230"/>
    <x v="1"/>
    <n v="37.261000000000003"/>
    <n v="23.98"/>
    <n v="893.51878000000011"/>
    <n v="6.1726738412817683"/>
  </r>
  <r>
    <n v="17"/>
    <x v="3"/>
    <x v="11"/>
    <n v="0"/>
    <m/>
    <n v="0"/>
    <x v="1"/>
    <n v="3"/>
    <n v="23.98"/>
    <n v="71.94"/>
    <n v="0"/>
  </r>
  <r>
    <n v="18"/>
    <x v="4"/>
    <x v="12"/>
    <n v="530546"/>
    <n v="530546"/>
    <n v="0"/>
    <x v="1"/>
    <n v="25.143000000000001"/>
    <n v="23.98"/>
    <n v="602.92914000000007"/>
    <n v="0"/>
  </r>
  <r>
    <n v="19"/>
    <x v="4"/>
    <x v="0"/>
    <n v="213702"/>
    <n v="214087"/>
    <n v="385"/>
    <x v="0"/>
    <n v="56.947000000000003"/>
    <n v="27"/>
    <n v="1537.569"/>
    <n v="6.760672203979138"/>
  </r>
  <r>
    <n v="20"/>
    <x v="4"/>
    <x v="13"/>
    <n v="183057"/>
    <n v="183057"/>
    <n v="0"/>
    <x v="0"/>
    <n v="58.140999999999998"/>
    <n v="27"/>
    <n v="1569.807"/>
    <n v="0"/>
  </r>
  <r>
    <n v="21"/>
    <x v="4"/>
    <x v="14"/>
    <n v="205992"/>
    <n v="205992"/>
    <n v="0"/>
    <x v="0"/>
    <n v="55.234999999999999"/>
    <n v="27"/>
    <n v="1491.345"/>
    <n v="0"/>
  </r>
  <r>
    <n v="22"/>
    <x v="4"/>
    <x v="15"/>
    <n v="309157"/>
    <n v="309157"/>
    <n v="0"/>
    <x v="1"/>
    <n v="64.489999999999995"/>
    <n v="23.98"/>
    <n v="1546.4702"/>
    <n v="0"/>
  </r>
  <r>
    <n v="23"/>
    <x v="4"/>
    <x v="6"/>
    <n v="248349"/>
    <n v="248743"/>
    <n v="394"/>
    <x v="1"/>
    <n v="60.216999999999999"/>
    <n v="28.98"/>
    <n v="1745.0886599999999"/>
    <n v="6.5430028065164327"/>
  </r>
  <r>
    <n v="24"/>
    <x v="4"/>
    <x v="3"/>
    <n v="175357"/>
    <n v="175565"/>
    <n v="208"/>
    <x v="1"/>
    <n v="31.936"/>
    <n v="28.98"/>
    <n v="925.50527999999997"/>
    <n v="6.513026052104208"/>
  </r>
  <r>
    <n v="25"/>
    <x v="4"/>
    <x v="16"/>
    <n v="4509"/>
    <n v="4509"/>
    <n v="0"/>
    <x v="1"/>
    <n v="39.204999999999998"/>
    <n v="23.98"/>
    <n v="940.13589999999999"/>
    <n v="0"/>
  </r>
  <r>
    <n v="26"/>
    <x v="4"/>
    <x v="4"/>
    <n v="305660"/>
    <n v="306015"/>
    <n v="355"/>
    <x v="1"/>
    <n v="42.497"/>
    <n v="23.98"/>
    <n v="1019.0780600000001"/>
    <n v="8.3535308374708794"/>
  </r>
  <r>
    <n v="27"/>
    <x v="5"/>
    <x v="13"/>
    <n v="183057"/>
    <n v="183316"/>
    <n v="259"/>
    <x v="0"/>
    <n v="41.954999999999998"/>
    <n v="27"/>
    <n v="1132.7849999999999"/>
    <n v="6.1732808961983077"/>
  </r>
  <r>
    <n v="28"/>
    <x v="5"/>
    <x v="10"/>
    <n v="206519"/>
    <n v="206699"/>
    <n v="180"/>
    <x v="0"/>
    <n v="33.938000000000002"/>
    <n v="27"/>
    <n v="916.32600000000002"/>
    <n v="5.3037892627732921"/>
  </r>
  <r>
    <n v="29"/>
    <x v="5"/>
    <x v="1"/>
    <n v="275514"/>
    <n v="275697"/>
    <n v="183"/>
    <x v="0"/>
    <n v="31.164999999999999"/>
    <n v="27"/>
    <n v="841.45499999999993"/>
    <n v="5.8719717631958934"/>
  </r>
  <r>
    <n v="30"/>
    <x v="5"/>
    <x v="2"/>
    <n v="111444"/>
    <n v="111662"/>
    <n v="218"/>
    <x v="1"/>
    <n v="77.436000000000007"/>
    <n v="23.98096"/>
    <n v="1856.9896185600001"/>
    <n v="2.8152280593005834"/>
  </r>
  <r>
    <n v="31"/>
    <x v="5"/>
    <x v="17"/>
    <n v="219512"/>
    <n v="219512"/>
    <n v="0"/>
    <x v="1"/>
    <n v="71.135999999999996"/>
    <n v="23.98"/>
    <n v="1705.8412799999999"/>
    <n v="0"/>
  </r>
  <r>
    <n v="32"/>
    <x v="5"/>
    <x v="18"/>
    <n v="292537"/>
    <n v="292537"/>
    <n v="0"/>
    <x v="1"/>
    <n v="41.627000000000002"/>
    <n v="23.98"/>
    <n v="998.21546000000012"/>
    <n v="0"/>
  </r>
  <r>
    <n v="33"/>
    <x v="5"/>
    <x v="8"/>
    <n v="268947"/>
    <n v="269257"/>
    <n v="310"/>
    <x v="1"/>
    <n v="37.262999999999998"/>
    <n v="23.98"/>
    <n v="893.56673999999998"/>
    <n v="8.3192442905831534"/>
  </r>
  <r>
    <n v="34"/>
    <x v="5"/>
    <x v="3"/>
    <n v="175565"/>
    <n v="175783"/>
    <n v="218"/>
    <x v="1"/>
    <n v="32.908999999999999"/>
    <n v="23.98"/>
    <n v="789.15782000000002"/>
    <n v="6.6243276915129599"/>
  </r>
  <r>
    <n v="35"/>
    <x v="5"/>
    <x v="5"/>
    <n v="3538"/>
    <n v="3587"/>
    <n v="49"/>
    <x v="0"/>
    <n v="18.527999999999999"/>
    <n v="27"/>
    <n v="500.25599999999997"/>
    <n v="2.6446459412780658"/>
  </r>
  <r>
    <n v="36"/>
    <x v="6"/>
    <x v="15"/>
    <n v="309157"/>
    <n v="309352"/>
    <n v="195"/>
    <x v="1"/>
    <n v="32.33"/>
    <n v="23.98"/>
    <n v="775.27339999999992"/>
    <n v="6.0315496442932268"/>
  </r>
  <r>
    <n v="37"/>
    <x v="6"/>
    <x v="6"/>
    <n v="248743"/>
    <n v="249055"/>
    <n v="312"/>
    <x v="1"/>
    <n v="45.256"/>
    <n v="23.98"/>
    <n v="1085.2388800000001"/>
    <n v="6.8941134877143364"/>
  </r>
  <r>
    <n v="38"/>
    <x v="6"/>
    <x v="3"/>
    <n v="175783"/>
    <n v="176000"/>
    <n v="217"/>
    <x v="1"/>
    <n v="32.42"/>
    <n v="23.98"/>
    <n v="777.4316"/>
    <n v="6.6933991363355947"/>
  </r>
  <r>
    <n v="39"/>
    <x v="6"/>
    <x v="19"/>
    <n v="1142"/>
    <n v="1142"/>
    <n v="0"/>
    <x v="0"/>
    <n v="41.33"/>
    <n v="27"/>
    <n v="1115.9099999999999"/>
    <n v="0"/>
  </r>
  <r>
    <n v="40"/>
    <x v="6"/>
    <x v="11"/>
    <n v="0"/>
    <m/>
    <n v="0"/>
    <x v="1"/>
    <n v="4"/>
    <n v="23.98"/>
    <n v="95.92"/>
    <n v="0"/>
  </r>
  <r>
    <n v="41"/>
    <x v="7"/>
    <x v="3"/>
    <n v="176000"/>
    <n v="176217"/>
    <n v="217"/>
    <x v="1"/>
    <n v="30.815000000000001"/>
    <n v="23.98"/>
    <n v="738.94370000000004"/>
    <n v="7.0420249878306018"/>
  </r>
  <r>
    <n v="42"/>
    <x v="8"/>
    <x v="9"/>
    <n v="170451"/>
    <n v="170787"/>
    <n v="336"/>
    <x v="0"/>
    <n v="122.003"/>
    <n v="27"/>
    <n v="3294.0810000000001"/>
    <n v="2.7540306385908542"/>
  </r>
  <r>
    <n v="43"/>
    <x v="8"/>
    <x v="13"/>
    <n v="183316"/>
    <n v="183600"/>
    <n v="284"/>
    <x v="0"/>
    <n v="50.948999999999998"/>
    <n v="27"/>
    <n v="1375.623"/>
    <n v="5.5742016526330254"/>
  </r>
  <r>
    <n v="44"/>
    <x v="8"/>
    <x v="3"/>
    <n v="176217"/>
    <n v="176416"/>
    <n v="199"/>
    <x v="1"/>
    <n v="29.061"/>
    <n v="23.98"/>
    <n v="696.88278000000003"/>
    <n v="6.8476652558411617"/>
  </r>
  <r>
    <n v="45"/>
    <x v="8"/>
    <x v="8"/>
    <n v="269257"/>
    <n v="269602"/>
    <n v="345"/>
    <x v="1"/>
    <n v="39.67"/>
    <n v="23.98"/>
    <n v="951.28660000000002"/>
    <n v="8.6967481724224847"/>
  </r>
  <r>
    <n v="46"/>
    <x v="8"/>
    <x v="20"/>
    <n v="0"/>
    <m/>
    <n v="0"/>
    <x v="1"/>
    <n v="3"/>
    <n v="23.98"/>
    <n v="71.94"/>
    <n v="0"/>
  </r>
  <r>
    <n v="47"/>
    <x v="9"/>
    <x v="10"/>
    <n v="206699"/>
    <n v="206846"/>
    <n v="147"/>
    <x v="0"/>
    <n v="35.962000000000003"/>
    <n v="27"/>
    <n v="970.97400000000005"/>
    <n v="4.0876480729659077"/>
  </r>
  <r>
    <n v="48"/>
    <x v="9"/>
    <x v="21"/>
    <n v="230369"/>
    <n v="230369"/>
    <n v="0"/>
    <x v="0"/>
    <n v="46.610999999999997"/>
    <n v="27"/>
    <n v="1258.4969999999998"/>
    <n v="0"/>
  </r>
  <r>
    <n v="49"/>
    <x v="9"/>
    <x v="15"/>
    <n v="309352"/>
    <n v="309636"/>
    <n v="284"/>
    <x v="1"/>
    <n v="50.359000000000002"/>
    <n v="23.98"/>
    <n v="1207.6088200000002"/>
    <n v="5.6395083301892415"/>
  </r>
  <r>
    <n v="50"/>
    <x v="9"/>
    <x v="6"/>
    <n v="249055"/>
    <n v="249485"/>
    <n v="430"/>
    <x v="1"/>
    <n v="65.897999999999996"/>
    <n v="23.98"/>
    <n v="1580.2340399999998"/>
    <n v="6.5252359707426635"/>
  </r>
  <r>
    <n v="51"/>
    <x v="9"/>
    <x v="22"/>
    <n v="217381"/>
    <n v="217381"/>
    <n v="0"/>
    <x v="1"/>
    <n v="42.276000000000003"/>
    <n v="23.98"/>
    <n v="1013.7784800000001"/>
    <n v="0"/>
  </r>
  <r>
    <n v="52"/>
    <x v="9"/>
    <x v="3"/>
    <n v="176416"/>
    <n v="176613"/>
    <n v="197"/>
    <x v="1"/>
    <n v="28.484000000000002"/>
    <n v="23.98"/>
    <n v="683.04632000000004"/>
    <n v="6.9161634601881756"/>
  </r>
  <r>
    <n v="53"/>
    <x v="9"/>
    <x v="19"/>
    <n v="1142"/>
    <n v="1633"/>
    <n v="491"/>
    <x v="0"/>
    <n v="43.58"/>
    <n v="27"/>
    <n v="1176.6599999999999"/>
    <n v="11.266636071592474"/>
  </r>
  <r>
    <n v="54"/>
    <x v="9"/>
    <x v="20"/>
    <n v="0"/>
    <m/>
    <n v="0"/>
    <x v="1"/>
    <n v="3"/>
    <n v="23.98"/>
    <n v="71.94"/>
    <n v="0"/>
  </r>
  <r>
    <n v="55"/>
    <x v="9"/>
    <x v="20"/>
    <n v="0"/>
    <m/>
    <n v="0"/>
    <x v="1"/>
    <n v="5"/>
    <n v="23.98"/>
    <n v="119.9"/>
    <n v="0"/>
  </r>
  <r>
    <n v="56"/>
    <x v="9"/>
    <x v="20"/>
    <n v="0"/>
    <m/>
    <n v="0"/>
    <x v="1"/>
    <n v="3.9420000000000002"/>
    <n v="27"/>
    <n v="106.434"/>
    <n v="0"/>
  </r>
  <r>
    <n v="57"/>
    <x v="10"/>
    <x v="23"/>
    <n v="121095"/>
    <n v="121095"/>
    <n v="0"/>
    <x v="0"/>
    <n v="113.28400000000001"/>
    <n v="27"/>
    <n v="3058.6680000000001"/>
    <n v="0"/>
  </r>
  <r>
    <n v="58"/>
    <x v="10"/>
    <x v="7"/>
    <n v="205752"/>
    <n v="206147"/>
    <n v="395"/>
    <x v="0"/>
    <n v="54.293999999999997"/>
    <n v="27"/>
    <n v="1465.9379999999999"/>
    <n v="7.2752053633919038"/>
  </r>
  <r>
    <n v="59"/>
    <x v="10"/>
    <x v="21"/>
    <n v="230369"/>
    <n v="230682"/>
    <n v="313"/>
    <x v="0"/>
    <n v="39.402000000000001"/>
    <n v="27"/>
    <n v="1063.854"/>
    <n v="7.9437592000406072"/>
  </r>
  <r>
    <n v="60"/>
    <x v="10"/>
    <x v="1"/>
    <n v="275697"/>
    <n v="275904"/>
    <n v="207"/>
    <x v="0"/>
    <n v="49.975000000000001"/>
    <n v="27"/>
    <n v="1349.325"/>
    <n v="4.142071035517759"/>
  </r>
  <r>
    <n v="61"/>
    <x v="10"/>
    <x v="14"/>
    <n v="205992"/>
    <n v="206319"/>
    <n v="327"/>
    <x v="0"/>
    <n v="51.319000000000003"/>
    <n v="27"/>
    <n v="1385.6130000000001"/>
    <n v="6.3719090395370133"/>
  </r>
  <r>
    <n v="62"/>
    <x v="10"/>
    <x v="2"/>
    <n v="111662"/>
    <n v="111879"/>
    <n v="217"/>
    <x v="0"/>
    <n v="80.376999999999995"/>
    <n v="23.98"/>
    <n v="1927.44046"/>
    <n v="2.6997772994762186"/>
  </r>
  <r>
    <n v="63"/>
    <x v="10"/>
    <x v="3"/>
    <n v="176613"/>
    <n v="176940"/>
    <n v="327"/>
    <x v="1"/>
    <n v="36.743000000000002"/>
    <n v="23.98"/>
    <n v="881.09714000000008"/>
    <n v="8.8996543559317409"/>
  </r>
  <r>
    <n v="64"/>
    <x v="10"/>
    <x v="5"/>
    <n v="3587"/>
    <n v="3574"/>
    <n v="-13"/>
    <x v="0"/>
    <n v="15.744"/>
    <n v="27"/>
    <n v="425.08799999999997"/>
    <n v="-0.82571138211382111"/>
  </r>
  <r>
    <n v="65"/>
    <x v="11"/>
    <x v="10"/>
    <n v="206846"/>
    <n v="206996"/>
    <n v="150"/>
    <x v="0"/>
    <n v="33.331000000000003"/>
    <n v="27"/>
    <n v="899.93700000000013"/>
    <n v="4.5003150220515433"/>
  </r>
  <r>
    <n v="66"/>
    <x v="11"/>
    <x v="24"/>
    <n v="200867"/>
    <n v="200867"/>
    <n v="0"/>
    <x v="0"/>
    <n v="48.58"/>
    <n v="27"/>
    <n v="1311.6599999999999"/>
    <n v="0"/>
  </r>
  <r>
    <n v="67"/>
    <x v="11"/>
    <x v="6"/>
    <n v="249485"/>
    <n v="249767"/>
    <n v="282"/>
    <x v="1"/>
    <n v="37.585999999999999"/>
    <n v="23.98"/>
    <n v="901.31227999999999"/>
    <n v="7.5027935933592298"/>
  </r>
  <r>
    <n v="68"/>
    <x v="11"/>
    <x v="8"/>
    <n v="269602"/>
    <n v="269905"/>
    <n v="303"/>
    <x v="1"/>
    <n v="35.792999999999999"/>
    <n v="23.98"/>
    <n v="858.31614000000002"/>
    <n v="8.4653423853826162"/>
  </r>
  <r>
    <n v="69"/>
    <x v="11"/>
    <x v="3"/>
    <n v="176940"/>
    <n v="177065"/>
    <n v="125"/>
    <x v="1"/>
    <n v="34.755000000000003"/>
    <n v="23.98"/>
    <n v="833.42490000000009"/>
    <n v="3.5966048050640191"/>
  </r>
  <r>
    <n v="70"/>
    <x v="12"/>
    <x v="18"/>
    <n v="292537"/>
    <n v="292867"/>
    <n v="330"/>
    <x v="1"/>
    <n v="39.584000000000003"/>
    <n v="23.98"/>
    <n v="949.22432000000015"/>
    <n v="8.3367016976556183"/>
  </r>
  <r>
    <n v="71"/>
    <x v="12"/>
    <x v="3"/>
    <n v="177065"/>
    <n v="177290"/>
    <n v="225"/>
    <x v="1"/>
    <n v="32.704999999999998"/>
    <n v="23.98"/>
    <n v="784.26589999999999"/>
    <n v="6.8796820058095092"/>
  </r>
  <r>
    <n v="72"/>
    <x v="12"/>
    <x v="19"/>
    <n v="1633"/>
    <n v="2141"/>
    <n v="508"/>
    <x v="0"/>
    <n v="41.728000000000002"/>
    <n v="27"/>
    <n v="1126.6559999999999"/>
    <n v="12.174079754601227"/>
  </r>
  <r>
    <n v="73"/>
    <x v="13"/>
    <x v="1"/>
    <n v="275904"/>
    <n v="276250"/>
    <n v="346"/>
    <x v="0"/>
    <n v="52.720999999999997"/>
    <n v="27"/>
    <n v="1423.4669999999999"/>
    <n v="6.5628497183285601"/>
  </r>
  <r>
    <n v="74"/>
    <x v="13"/>
    <x v="15"/>
    <n v="309636"/>
    <n v="309866"/>
    <n v="230"/>
    <x v="1"/>
    <n v="40.365000000000002"/>
    <n v="23.98"/>
    <n v="967.95270000000005"/>
    <n v="5.6980056980056979"/>
  </r>
  <r>
    <n v="75"/>
    <x v="13"/>
    <x v="17"/>
    <n v="219512"/>
    <n v="219828"/>
    <n v="316"/>
    <x v="1"/>
    <n v="41.445"/>
    <n v="23.98"/>
    <n v="993.85109999999997"/>
    <n v="7.6245626734226084"/>
  </r>
  <r>
    <n v="76"/>
    <x v="13"/>
    <x v="22"/>
    <n v="217381"/>
    <n v="217596"/>
    <n v="215"/>
    <x v="1"/>
    <n v="35.701999999999998"/>
    <n v="23.98"/>
    <n v="856.13396"/>
    <n v="6.0220715926278645"/>
  </r>
  <r>
    <n v="77"/>
    <x v="13"/>
    <x v="3"/>
    <n v="177290"/>
    <n v="177498"/>
    <n v="208"/>
    <x v="1"/>
    <n v="32.012"/>
    <n v="23.98"/>
    <n v="767.64776000000006"/>
    <n v="6.4975634137198552"/>
  </r>
  <r>
    <n v="78"/>
    <x v="13"/>
    <x v="20"/>
    <n v="0"/>
    <m/>
    <n v="0"/>
    <x v="1"/>
    <n v="9.2430000000000003"/>
    <n v="23.98"/>
    <n v="221.64714000000001"/>
    <n v="0"/>
  </r>
  <r>
    <n v="79"/>
    <x v="14"/>
    <x v="13"/>
    <n v="183600"/>
    <n v="183864"/>
    <n v="264"/>
    <x v="0"/>
    <n v="55.662999999999997"/>
    <n v="27"/>
    <n v="1502.9009999999998"/>
    <n v="4.742827371862818"/>
  </r>
  <r>
    <n v="80"/>
    <x v="14"/>
    <x v="21"/>
    <n v="230682"/>
    <n v="231012"/>
    <n v="330"/>
    <x v="0"/>
    <n v="38.912999999999997"/>
    <n v="27"/>
    <n v="1050.6509999999998"/>
    <n v="8.4804564027445846"/>
  </r>
  <r>
    <n v="81"/>
    <x v="14"/>
    <x v="6"/>
    <n v="249767"/>
    <n v="250208"/>
    <n v="441"/>
    <x v="1"/>
    <n v="63.23"/>
    <n v="23.98"/>
    <n v="1516.2554"/>
    <n v="6.9745374031314249"/>
  </r>
  <r>
    <n v="82"/>
    <x v="14"/>
    <x v="3"/>
    <n v="177498"/>
    <n v="177708"/>
    <n v="210"/>
    <x v="1"/>
    <n v="32.561999999999998"/>
    <n v="23.98"/>
    <n v="780.83675999999991"/>
    <n v="6.4492353049566988"/>
  </r>
  <r>
    <n v="83"/>
    <x v="14"/>
    <x v="25"/>
    <n v="291020"/>
    <n v="291020"/>
    <n v="0"/>
    <x v="1"/>
    <n v="40.585999999999999"/>
    <n v="23.98"/>
    <n v="973.25227999999993"/>
    <n v="0"/>
  </r>
  <r>
    <n v="84"/>
    <x v="15"/>
    <x v="23"/>
    <n v="121095"/>
    <n v="121314"/>
    <n v="219"/>
    <x v="0"/>
    <n v="79.608000000000004"/>
    <n v="27"/>
    <n v="2149.4160000000002"/>
    <n v="2.7509798010250224"/>
  </r>
  <r>
    <n v="85"/>
    <x v="15"/>
    <x v="10"/>
    <n v="206996"/>
    <n v="207156"/>
    <n v="160"/>
    <x v="0"/>
    <n v="31.867999999999999"/>
    <n v="27"/>
    <n v="860.43599999999992"/>
    <n v="5.02071043052592"/>
  </r>
  <r>
    <n v="86"/>
    <x v="15"/>
    <x v="21"/>
    <n v="231012"/>
    <n v="231282"/>
    <n v="270"/>
    <x v="0"/>
    <n v="31.111999999999998"/>
    <n v="27"/>
    <n v="840.024"/>
    <n v="8.6783234764721016"/>
  </r>
  <r>
    <n v="87"/>
    <x v="15"/>
    <x v="1"/>
    <n v="276250"/>
    <n v="276592"/>
    <n v="342"/>
    <x v="0"/>
    <n v="46.962000000000003"/>
    <n v="27"/>
    <n v="1267.9740000000002"/>
    <n v="7.2824837102338051"/>
  </r>
  <r>
    <n v="88"/>
    <x v="15"/>
    <x v="14"/>
    <n v="206319"/>
    <n v="206472"/>
    <n v="153"/>
    <x v="0"/>
    <n v="31.818000000000001"/>
    <n v="27"/>
    <n v="859.08600000000001"/>
    <n v="4.8085989062794638"/>
  </r>
  <r>
    <n v="89"/>
    <x v="15"/>
    <x v="24"/>
    <n v="200867"/>
    <n v="201112"/>
    <n v="245"/>
    <x v="0"/>
    <n v="31.145"/>
    <n v="27.043500000000002"/>
    <n v="842.26980750000007"/>
    <n v="7.8664312088617754"/>
  </r>
  <r>
    <n v="90"/>
    <x v="15"/>
    <x v="8"/>
    <n v="269905"/>
    <n v="270319"/>
    <n v="414"/>
    <x v="1"/>
    <n v="50.347000000000001"/>
    <n v="23.98"/>
    <n v="1207.32106"/>
    <n v="8.2229328460484243"/>
  </r>
  <r>
    <n v="91"/>
    <x v="15"/>
    <x v="3"/>
    <n v="177708"/>
    <n v="177943"/>
    <n v="235"/>
    <x v="1"/>
    <n v="36.152000000000001"/>
    <n v="23.98"/>
    <n v="866.92496000000006"/>
    <n v="6.5003319318433279"/>
  </r>
  <r>
    <n v="92"/>
    <x v="15"/>
    <x v="16"/>
    <n v="4509"/>
    <n v="5552"/>
    <n v="1043"/>
    <x v="1"/>
    <n v="62.399000000000001"/>
    <n v="23.98"/>
    <n v="1496.3280200000002"/>
    <n v="16.715011458516962"/>
  </r>
  <r>
    <n v="93"/>
    <x v="15"/>
    <x v="19"/>
    <n v="2141"/>
    <n v="2611"/>
    <n v="470"/>
    <x v="0"/>
    <n v="37.479999999999997"/>
    <n v="27"/>
    <n v="1011.9599999999999"/>
    <n v="12.540021344717184"/>
  </r>
  <r>
    <n v="94"/>
    <x v="16"/>
    <x v="6"/>
    <n v="250208"/>
    <n v="250475"/>
    <n v="267"/>
    <x v="1"/>
    <n v="46.56"/>
    <n v="23.98"/>
    <n v="1116.5088000000001"/>
    <n v="5.7345360824742269"/>
  </r>
  <r>
    <n v="95"/>
    <x v="16"/>
    <x v="3"/>
    <n v="177943"/>
    <n v="178175"/>
    <n v="232"/>
    <x v="1"/>
    <n v="35.524000000000001"/>
    <n v="23.98"/>
    <n v="851.86552000000006"/>
    <n v="6.5307960815223511"/>
  </r>
  <r>
    <n v="96"/>
    <x v="17"/>
    <x v="3"/>
    <n v="178175"/>
    <n v="178406"/>
    <n v="231"/>
    <x v="1"/>
    <n v="36.935000000000002"/>
    <n v="23.98"/>
    <n v="885.70130000000006"/>
    <n v="6.2542304047651278"/>
  </r>
  <r>
    <n v="97"/>
    <x v="17"/>
    <x v="25"/>
    <n v="291020"/>
    <n v="291249"/>
    <n v="229"/>
    <x v="1"/>
    <n v="45.197000000000003"/>
    <n v="23.98"/>
    <n v="1083.8240600000001"/>
    <n v="5.0667079673429649"/>
  </r>
  <r>
    <n v="98"/>
    <x v="18"/>
    <x v="12"/>
    <n v="530546"/>
    <n v="530834"/>
    <n v="288"/>
    <x v="1"/>
    <n v="43.588999999999999"/>
    <n v="23.98"/>
    <n v="1045.26422"/>
    <n v="6.6071715341026405"/>
  </r>
  <r>
    <n v="99"/>
    <x v="18"/>
    <x v="7"/>
    <n v="206147"/>
    <n v="206510"/>
    <n v="363"/>
    <x v="0"/>
    <n v="55.780999999999999"/>
    <n v="27"/>
    <n v="1506.087"/>
    <n v="6.5075921908893708"/>
  </r>
  <r>
    <n v="100"/>
    <x v="18"/>
    <x v="13"/>
    <n v="183864"/>
    <n v="184032"/>
    <n v="168"/>
    <x v="0"/>
    <n v="38.776000000000003"/>
    <n v="27"/>
    <n v="1046.952"/>
    <n v="4.3325768516608205"/>
  </r>
  <r>
    <n v="101"/>
    <x v="18"/>
    <x v="1"/>
    <n v="276592"/>
    <n v="276931"/>
    <n v="339"/>
    <x v="0"/>
    <n v="51.41"/>
    <n v="27"/>
    <n v="1388.07"/>
    <n v="6.5940478506127214"/>
  </r>
  <r>
    <n v="102"/>
    <x v="18"/>
    <x v="15"/>
    <n v="309866"/>
    <n v="310242"/>
    <n v="376"/>
    <x v="1"/>
    <n v="62.216999999999999"/>
    <n v="23.98"/>
    <n v="1491.9636599999999"/>
    <n v="6.0433643537939794"/>
  </r>
  <r>
    <n v="103"/>
    <x v="18"/>
    <x v="8"/>
    <n v="270319"/>
    <n v="270633"/>
    <n v="314"/>
    <x v="1"/>
    <n v="37.783000000000001"/>
    <n v="23.98"/>
    <n v="906.03634"/>
    <n v="8.3106158854511278"/>
  </r>
  <r>
    <n v="104"/>
    <x v="18"/>
    <x v="3"/>
    <n v="178406"/>
    <n v="178617"/>
    <n v="211"/>
    <x v="1"/>
    <n v="33.235999999999997"/>
    <n v="23.98"/>
    <n v="796.99928"/>
    <n v="6.3485377301721027"/>
  </r>
  <r>
    <n v="105"/>
    <x v="18"/>
    <x v="19"/>
    <n v="2611"/>
    <n v="3082"/>
    <n v="471"/>
    <x v="0"/>
    <n v="38.357999999999997"/>
    <n v="27"/>
    <n v="1035.6659999999999"/>
    <n v="12.279055216643204"/>
  </r>
  <r>
    <n v="106"/>
    <x v="18"/>
    <x v="26"/>
    <n v="54569"/>
    <n v="54569"/>
    <n v="0"/>
    <x v="0"/>
    <n v="145.85400000000001"/>
    <n v="27"/>
    <n v="3938.0580000000004"/>
    <n v="0"/>
  </r>
  <r>
    <n v="107"/>
    <x v="19"/>
    <x v="10"/>
    <n v="207156"/>
    <n v="207364"/>
    <n v="208"/>
    <x v="0"/>
    <n v="43.936"/>
    <n v="27"/>
    <n v="1186.2719999999999"/>
    <n v="4.7341587764020394"/>
  </r>
  <r>
    <n v="108"/>
    <x v="19"/>
    <x v="21"/>
    <n v="231282"/>
    <n v="231681"/>
    <n v="399"/>
    <x v="0"/>
    <n v="45.65"/>
    <n v="27"/>
    <n v="1232.55"/>
    <n v="8.740416210295729"/>
  </r>
  <r>
    <n v="109"/>
    <x v="19"/>
    <x v="2"/>
    <n v="111879"/>
    <n v="112050"/>
    <n v="171"/>
    <x v="1"/>
    <n v="83.625"/>
    <n v="23.98"/>
    <n v="2005.3275000000001"/>
    <n v="2.0448430493273544"/>
  </r>
  <r>
    <n v="110"/>
    <x v="19"/>
    <x v="6"/>
    <n v="250475"/>
    <n v="250874"/>
    <n v="399"/>
    <x v="1"/>
    <n v="55.939"/>
    <n v="23.98"/>
    <n v="1341.41722"/>
    <n v="7.1327696240547738"/>
  </r>
  <r>
    <n v="111"/>
    <x v="19"/>
    <x v="3"/>
    <n v="178617"/>
    <n v="178828"/>
    <n v="211"/>
    <x v="1"/>
    <n v="32.755000000000003"/>
    <n v="23.98"/>
    <n v="785.46490000000006"/>
    <n v="6.441764616089146"/>
  </r>
  <r>
    <n v="112"/>
    <x v="19"/>
    <x v="5"/>
    <n v="3574"/>
    <n v="3598"/>
    <n v="24"/>
    <x v="0"/>
    <n v="47.637999999999998"/>
    <n v="27"/>
    <n v="1286.2259999999999"/>
    <n v="0.50379948780385408"/>
  </r>
  <r>
    <n v="113"/>
    <x v="19"/>
    <x v="27"/>
    <n v="0"/>
    <n v="0"/>
    <n v="0"/>
    <x v="1"/>
    <n v="50"/>
    <n v="100"/>
    <n v="5000"/>
    <n v="0"/>
  </r>
  <r>
    <n v="114"/>
    <x v="19"/>
    <x v="28"/>
    <n v="0"/>
    <n v="0"/>
    <n v="0"/>
    <x v="1"/>
    <n v="50"/>
    <n v="100"/>
    <n v="5000"/>
    <n v="0"/>
  </r>
  <r>
    <n v="115"/>
    <x v="20"/>
    <x v="1"/>
    <n v="276931"/>
    <n v="277385"/>
    <n v="454"/>
    <x v="0"/>
    <n v="65.218000000000004"/>
    <n v="27"/>
    <n v="1760.8860000000002"/>
    <n v="6.9612683614952919"/>
  </r>
  <r>
    <n v="116"/>
    <x v="20"/>
    <x v="14"/>
    <n v="206472"/>
    <n v="206661"/>
    <n v="189"/>
    <x v="0"/>
    <n v="32.234000000000002"/>
    <n v="27"/>
    <n v="870.3180000000001"/>
    <n v="5.8633740770614873"/>
  </r>
  <r>
    <n v="117"/>
    <x v="20"/>
    <x v="22"/>
    <n v="217596"/>
    <n v="217896"/>
    <n v="300"/>
    <x v="1"/>
    <n v="52.207999999999998"/>
    <n v="23.98"/>
    <n v="1251.94784"/>
    <n v="5.7462457860864236"/>
  </r>
  <r>
    <n v="118"/>
    <x v="20"/>
    <x v="3"/>
    <n v="178828"/>
    <n v="179058"/>
    <n v="230"/>
    <x v="1"/>
    <n v="35.627000000000002"/>
    <n v="23.98"/>
    <n v="854.33546000000013"/>
    <n v="6.455777921239509"/>
  </r>
  <r>
    <n v="119"/>
    <x v="20"/>
    <x v="25"/>
    <n v="291249"/>
    <n v="291526"/>
    <n v="277"/>
    <x v="1"/>
    <n v="46.034999999999997"/>
    <n v="23.98"/>
    <n v="1103.9193"/>
    <n v="6.0171608558705341"/>
  </r>
  <r>
    <n v="120"/>
    <x v="20"/>
    <x v="20"/>
    <n v="0"/>
    <m/>
    <n v="0"/>
    <x v="1"/>
    <n v="10"/>
    <n v="23.98"/>
    <n v="239.8"/>
    <n v="0"/>
  </r>
  <r>
    <n v="121"/>
    <x v="21"/>
    <x v="23"/>
    <n v="121314"/>
    <n v="121600"/>
    <n v="286"/>
    <x v="0"/>
    <n v="110.00700000000001"/>
    <n v="27"/>
    <n v="2970.1890000000003"/>
    <n v="2.5998345559828011"/>
  </r>
  <r>
    <n v="122"/>
    <x v="21"/>
    <x v="6"/>
    <n v="250874"/>
    <n v="251148"/>
    <n v="274"/>
    <x v="2"/>
    <n v="39.927"/>
    <n v="23.98"/>
    <n v="957.44946000000004"/>
    <n v="6.8625241064943525"/>
  </r>
  <r>
    <n v="123"/>
    <x v="21"/>
    <x v="3"/>
    <n v="179058"/>
    <n v="179290"/>
    <n v="232"/>
    <x v="2"/>
    <n v="36.396000000000001"/>
    <n v="23.98"/>
    <n v="872.77607999999998"/>
    <n v="6.374326849104297"/>
  </r>
  <r>
    <n v="124"/>
    <x v="22"/>
    <x v="0"/>
    <n v="214087"/>
    <n v="214325"/>
    <n v="238"/>
    <x v="0"/>
    <n v="39.945999999999998"/>
    <n v="27"/>
    <n v="1078.5419999999999"/>
    <n v="5.9580433585340211"/>
  </r>
  <r>
    <n v="125"/>
    <x v="22"/>
    <x v="8"/>
    <n v="270633"/>
    <n v="271045"/>
    <n v="412"/>
    <x v="2"/>
    <n v="49.170999999999999"/>
    <n v="23.98"/>
    <n v="1179.12058"/>
    <n v="8.3789225356409265"/>
  </r>
  <r>
    <n v="126"/>
    <x v="22"/>
    <x v="3"/>
    <n v="179290"/>
    <n v="179522"/>
    <n v="232"/>
    <x v="2"/>
    <n v="37.484999999999999"/>
    <n v="23.98"/>
    <n v="898.89030000000002"/>
    <n v="6.1891423235961049"/>
  </r>
  <r>
    <n v="127"/>
    <x v="22"/>
    <x v="19"/>
    <n v="3082"/>
    <n v="3811.1"/>
    <n v="729.09999999999991"/>
    <x v="0"/>
    <n v="55.134"/>
    <n v="27"/>
    <n v="1488.6179999999999"/>
    <n v="13.224144810824535"/>
  </r>
  <r>
    <n v="128"/>
    <x v="23"/>
    <x v="12"/>
    <n v="530834"/>
    <n v="531046"/>
    <n v="212"/>
    <x v="2"/>
    <n v="32.186999999999998"/>
    <n v="23.98"/>
    <n v="771.84425999999996"/>
    <n v="6.5865100817100073"/>
  </r>
  <r>
    <n v="129"/>
    <x v="23"/>
    <x v="10"/>
    <n v="207364"/>
    <n v="207641"/>
    <n v="277"/>
    <x v="0"/>
    <n v="57.006"/>
    <n v="27"/>
    <n v="1539.162"/>
    <n v="4.8591376346349504"/>
  </r>
  <r>
    <n v="130"/>
    <x v="23"/>
    <x v="17"/>
    <n v="219828"/>
    <n v="220150"/>
    <n v="322"/>
    <x v="2"/>
    <n v="51.454000000000001"/>
    <n v="23.98"/>
    <n v="1233.8669199999999"/>
    <n v="6.2580168694367782"/>
  </r>
  <r>
    <n v="131"/>
    <x v="23"/>
    <x v="3"/>
    <n v="179522"/>
    <n v="179730"/>
    <n v="208"/>
    <x v="2"/>
    <n v="32.292000000000002"/>
    <n v="23.98"/>
    <n v="774.36216000000002"/>
    <n v="6.4412238325281796"/>
  </r>
  <r>
    <n v="132"/>
    <x v="23"/>
    <x v="25"/>
    <n v="291526"/>
    <n v="291720"/>
    <n v="194"/>
    <x v="2"/>
    <n v="37.350999999999999"/>
    <n v="23.98"/>
    <n v="895.67697999999996"/>
    <n v="5.1939707102888812"/>
  </r>
  <r>
    <n v="133"/>
    <x v="24"/>
    <x v="7"/>
    <n v="206510"/>
    <n v="206828"/>
    <n v="318"/>
    <x v="0"/>
    <n v="41.85"/>
    <n v="27"/>
    <n v="1129.95"/>
    <n v="7.5985663082437274"/>
  </r>
  <r>
    <n v="134"/>
    <x v="24"/>
    <x v="14"/>
    <n v="206661"/>
    <n v="206872"/>
    <n v="211"/>
    <x v="0"/>
    <n v="33.19"/>
    <n v="27"/>
    <n v="896.12999999999988"/>
    <n v="6.357336547152757"/>
  </r>
  <r>
    <n v="135"/>
    <x v="24"/>
    <x v="6"/>
    <n v="251148"/>
    <n v="251554"/>
    <n v="406"/>
    <x v="2"/>
    <n v="57.438000000000002"/>
    <n v="23.98"/>
    <n v="1377.3632400000001"/>
    <n v="7.0684912427312927"/>
  </r>
  <r>
    <n v="136"/>
    <x v="24"/>
    <x v="3"/>
    <n v="179730"/>
    <n v="179938"/>
    <n v="208"/>
    <x v="2"/>
    <n v="33.286999999999999"/>
    <n v="23.98"/>
    <n v="798.22226000000001"/>
    <n v="6.2486856730855891"/>
  </r>
  <r>
    <n v="137"/>
    <x v="24"/>
    <x v="19"/>
    <n v="3811.1"/>
    <n v="4129.8"/>
    <n v="318.70000000000027"/>
    <x v="0"/>
    <n v="34.543999999999997"/>
    <n v="27"/>
    <n v="932.68799999999987"/>
    <n v="9.2259147753589712"/>
  </r>
  <r>
    <n v="138"/>
    <x v="24"/>
    <x v="4"/>
    <n v="306015"/>
    <n v="306264"/>
    <n v="249"/>
    <x v="2"/>
    <n v="35.075000000000003"/>
    <n v="23.98"/>
    <n v="841.09850000000006"/>
    <n v="7.0990734141126151"/>
  </r>
  <r>
    <n v="139"/>
    <x v="24"/>
    <x v="20"/>
    <n v="0"/>
    <m/>
    <n v="0"/>
    <x v="1"/>
    <n v="20"/>
    <n v="23.98"/>
    <n v="479.6"/>
    <n v="0"/>
  </r>
  <r>
    <n v="140"/>
    <x v="24"/>
    <x v="20"/>
    <n v="0"/>
    <m/>
    <n v="0"/>
    <x v="1"/>
    <n v="31.2"/>
    <n v="23.98"/>
    <n v="748.17600000000004"/>
    <n v="0"/>
  </r>
  <r>
    <n v="141"/>
    <x v="24"/>
    <x v="27"/>
    <n v="0"/>
    <m/>
    <n v="0"/>
    <x v="2"/>
    <n v="50"/>
    <n v="100"/>
    <n v="5000"/>
    <n v="0"/>
  </r>
  <r>
    <n v="142"/>
    <x v="24"/>
    <x v="28"/>
    <n v="0"/>
    <m/>
    <n v="0"/>
    <x v="2"/>
    <n v="50"/>
    <n v="100"/>
    <n v="5000"/>
    <n v="0"/>
  </r>
  <r>
    <n v="143"/>
    <x v="25"/>
    <x v="23"/>
    <n v="121600"/>
    <n v="121686"/>
    <n v="86"/>
    <x v="0"/>
    <n v="45"/>
    <n v="27"/>
    <n v="1215"/>
    <n v="1.9111111111111112"/>
  </r>
  <r>
    <n v="144"/>
    <x v="25"/>
    <x v="0"/>
    <n v="214325"/>
    <n v="214550"/>
    <n v="225"/>
    <x v="0"/>
    <n v="32.405999999999999"/>
    <n v="27"/>
    <n v="874.96199999999999"/>
    <n v="6.9431586743195703"/>
  </r>
  <r>
    <n v="145"/>
    <x v="25"/>
    <x v="13"/>
    <n v="184032"/>
    <n v="184202"/>
    <n v="170"/>
    <x v="0"/>
    <n v="40.011000000000003"/>
    <n v="27"/>
    <n v="1080.297"/>
    <n v="4.2488315713178872"/>
  </r>
  <r>
    <n v="146"/>
    <x v="25"/>
    <x v="10"/>
    <n v="207641"/>
    <n v="207942"/>
    <n v="301"/>
    <x v="0"/>
    <n v="50.588999999999999"/>
    <n v="27"/>
    <n v="1365.903"/>
    <n v="5.9499100594991008"/>
  </r>
  <r>
    <n v="147"/>
    <x v="25"/>
    <x v="1"/>
    <n v="277385"/>
    <n v="277798"/>
    <n v="413"/>
    <x v="0"/>
    <n v="65.433999999999997"/>
    <n v="27"/>
    <n v="1766.7179999999998"/>
    <n v="6.3117033957881228"/>
  </r>
  <r>
    <n v="148"/>
    <x v="25"/>
    <x v="2"/>
    <n v="112050"/>
    <n v="112258"/>
    <n v="208"/>
    <x v="1"/>
    <n v="83.625"/>
    <n v="23.98"/>
    <n v="2005.3275000000001"/>
    <n v="2.4872944693572494"/>
  </r>
  <r>
    <n v="149"/>
    <x v="25"/>
    <x v="8"/>
    <n v="271045"/>
    <n v="271537"/>
    <n v="492"/>
    <x v="2"/>
    <n v="32.055999999999997"/>
    <n v="23.98"/>
    <n v="768.70287999999994"/>
    <n v="15.34814075368106"/>
  </r>
  <r>
    <n v="150"/>
    <x v="25"/>
    <x v="3"/>
    <n v="179938"/>
    <n v="180175"/>
    <n v="237"/>
    <x v="2"/>
    <n v="38.255000000000003"/>
    <n v="23.98"/>
    <n v="917.35490000000004"/>
    <n v="6.1952685923408701"/>
  </r>
  <r>
    <n v="151"/>
    <x v="25"/>
    <x v="5"/>
    <n v="3598"/>
    <m/>
    <n v="-3598"/>
    <x v="0"/>
    <n v="31.334"/>
    <n v="27"/>
    <n v="846.01800000000003"/>
    <n v="-114.82734409906172"/>
  </r>
  <r>
    <n v="152"/>
    <x v="26"/>
    <x v="14"/>
    <n v="206872"/>
    <n v="207081"/>
    <n v="209"/>
    <x v="0"/>
    <n v="30.489000000000001"/>
    <n v="27"/>
    <n v="823.20299999999997"/>
    <n v="6.854931286693561"/>
  </r>
  <r>
    <n v="153"/>
    <x v="26"/>
    <x v="6"/>
    <n v="251554"/>
    <n v="251818"/>
    <n v="264"/>
    <x v="2"/>
    <n v="38.253999999999998"/>
    <n v="23.98"/>
    <n v="917.33091999999999"/>
    <n v="6.9012390861086423"/>
  </r>
  <r>
    <n v="154"/>
    <x v="26"/>
    <x v="18"/>
    <n v="292867"/>
    <n v="293119"/>
    <n v="252"/>
    <x v="2"/>
    <n v="47.451000000000001"/>
    <n v="23.98"/>
    <n v="1137.8749800000001"/>
    <n v="5.3107416071315674"/>
  </r>
  <r>
    <n v="155"/>
    <x v="26"/>
    <x v="3"/>
    <n v="180175"/>
    <n v="180399"/>
    <n v="224"/>
    <x v="2"/>
    <n v="33.954000000000001"/>
    <n v="23.98"/>
    <n v="814.21692000000007"/>
    <n v="6.5971608646992985"/>
  </r>
  <r>
    <n v="156"/>
    <x v="26"/>
    <x v="19"/>
    <n v="4129.8"/>
    <n v="4525"/>
    <n v="395.19999999999982"/>
    <x v="0"/>
    <n v="34.735999999999997"/>
    <n v="27"/>
    <n v="937.87199999999996"/>
    <n v="11.377245508982032"/>
  </r>
  <r>
    <n v="157"/>
    <x v="26"/>
    <x v="25"/>
    <n v="291720"/>
    <n v="291986"/>
    <n v="266"/>
    <x v="2"/>
    <n v="42.613"/>
    <n v="23.98"/>
    <n v="1021.85974"/>
    <n v="6.2422265505831556"/>
  </r>
  <r>
    <n v="158"/>
    <x v="27"/>
    <x v="12"/>
    <n v="531046"/>
    <n v="531203"/>
    <n v="157"/>
    <x v="2"/>
    <n v="23.353000000000002"/>
    <n v="23.98"/>
    <n v="560.00494000000003"/>
    <n v="6.7229049800882112"/>
  </r>
  <r>
    <n v="159"/>
    <x v="27"/>
    <x v="3"/>
    <n v="180399"/>
    <n v="180626"/>
    <n v="227"/>
    <x v="2"/>
    <n v="34.581000000000003"/>
    <n v="23.98"/>
    <n v="829.25238000000013"/>
    <n v="6.5642983141031195"/>
  </r>
  <r>
    <n v="160"/>
    <x v="27"/>
    <x v="20"/>
    <n v="0"/>
    <m/>
    <n v="0"/>
    <x v="1"/>
    <n v="10"/>
    <n v="23.98"/>
    <n v="239.8"/>
    <n v="0"/>
  </r>
  <r>
    <n v="161"/>
    <x v="28"/>
    <x v="22"/>
    <n v="217896"/>
    <n v="218167"/>
    <n v="271"/>
    <x v="2"/>
    <n v="47.250999999999998"/>
    <n v="23.98"/>
    <n v="1133.07898"/>
    <n v="5.7353283528390939"/>
  </r>
  <r>
    <n v="162"/>
    <x v="28"/>
    <x v="8"/>
    <n v="271537"/>
    <n v="271853"/>
    <n v="316"/>
    <x v="2"/>
    <n v="38.232999999999997"/>
    <n v="23.98"/>
    <n v="916.82733999999994"/>
    <n v="8.2651112912928628"/>
  </r>
  <r>
    <n v="163"/>
    <x v="28"/>
    <x v="3"/>
    <n v="180626"/>
    <n v="180853"/>
    <n v="227"/>
    <x v="2"/>
    <n v="32.715000000000003"/>
    <n v="23.98"/>
    <n v="784.50570000000005"/>
    <n v="6.9387131285343111"/>
  </r>
  <r>
    <n v="164"/>
    <x v="28"/>
    <x v="16"/>
    <n v="5552"/>
    <n v="5908"/>
    <n v="356"/>
    <x v="2"/>
    <n v="48.078000000000003"/>
    <n v="23.98"/>
    <n v="1152.9104400000001"/>
    <n v="7.4046341361953489"/>
  </r>
  <r>
    <n v="165"/>
    <x v="29"/>
    <x v="7"/>
    <n v="206828"/>
    <n v="207040"/>
    <n v="212"/>
    <x v="0"/>
    <n v="33.396000000000001"/>
    <n v="27"/>
    <n v="901.69200000000001"/>
    <n v="6.3480656366031862"/>
  </r>
  <r>
    <n v="166"/>
    <x v="29"/>
    <x v="13"/>
    <n v="184202"/>
    <n v="184552"/>
    <n v="350"/>
    <x v="0"/>
    <n v="47.762"/>
    <n v="27"/>
    <n v="1289.5740000000001"/>
    <n v="7.328001339977388"/>
  </r>
  <r>
    <n v="167"/>
    <x v="29"/>
    <x v="10"/>
    <n v="207942"/>
    <n v="208195"/>
    <n v="253"/>
    <x v="0"/>
    <n v="47.356999999999999"/>
    <n v="27"/>
    <n v="1278.6389999999999"/>
    <n v="5.3423992229237491"/>
  </r>
  <r>
    <n v="168"/>
    <x v="29"/>
    <x v="1"/>
    <n v="277798"/>
    <n v="278160"/>
    <n v="362"/>
    <x v="0"/>
    <n v="53.594999999999999"/>
    <n v="27"/>
    <n v="1447.0650000000001"/>
    <n v="6.7543614143110364"/>
  </r>
  <r>
    <n v="169"/>
    <x v="29"/>
    <x v="6"/>
    <n v="251818"/>
    <n v="252262"/>
    <n v="444"/>
    <x v="2"/>
    <n v="61.241"/>
    <n v="23.98"/>
    <n v="1468.55918"/>
    <n v="7.250044904557404"/>
  </r>
  <r>
    <n v="170"/>
    <x v="29"/>
    <x v="3"/>
    <n v="180853"/>
    <n v="181061"/>
    <n v="208"/>
    <x v="2"/>
    <n v="31.853999999999999"/>
    <n v="23.98"/>
    <n v="763.85892000000001"/>
    <n v="6.5297921768066809"/>
  </r>
  <r>
    <n v="171"/>
    <x v="29"/>
    <x v="19"/>
    <n v="4525"/>
    <n v="5008"/>
    <n v="483"/>
    <x v="0"/>
    <n v="39.003999999999998"/>
    <n v="27"/>
    <n v="1053.1079999999999"/>
    <n v="12.383345297918163"/>
  </r>
  <r>
    <n v="172"/>
    <x v="29"/>
    <x v="25"/>
    <n v="291986"/>
    <n v="292251"/>
    <n v="265"/>
    <x v="2"/>
    <n v="43.472999999999999"/>
    <n v="23.98"/>
    <n v="1042.48254"/>
    <n v="6.0957375842476944"/>
  </r>
  <r>
    <n v="173"/>
    <x v="29"/>
    <x v="27"/>
    <n v="0"/>
    <m/>
    <n v="0"/>
    <x v="2"/>
    <n v="50"/>
    <n v="100"/>
    <n v="5000"/>
    <n v="0"/>
  </r>
  <r>
    <n v="174"/>
    <x v="29"/>
    <x v="28"/>
    <n v="0"/>
    <m/>
    <n v="0"/>
    <x v="2"/>
    <n v="50"/>
    <n v="100"/>
    <n v="5000"/>
    <n v="0"/>
  </r>
  <r>
    <n v="175"/>
    <x v="30"/>
    <x v="12"/>
    <n v="531203"/>
    <n v="531364"/>
    <n v="161"/>
    <x v="2"/>
    <n v="24.710999999999999"/>
    <n v="23.98"/>
    <n v="592.56977999999992"/>
    <n v="6.5153170652745747"/>
  </r>
  <r>
    <n v="176"/>
    <x v="30"/>
    <x v="21"/>
    <n v="231681"/>
    <n v="232003"/>
    <n v="322"/>
    <x v="0"/>
    <n v="38.24"/>
    <n v="27"/>
    <n v="1032.48"/>
    <n v="8.4205020920502083"/>
  </r>
  <r>
    <n v="177"/>
    <x v="30"/>
    <x v="1"/>
    <n v="278160"/>
    <n v="278368"/>
    <n v="208"/>
    <x v="0"/>
    <n v="32.625"/>
    <n v="27"/>
    <n v="880.875"/>
    <n v="6.3754789272030647"/>
  </r>
  <r>
    <n v="178"/>
    <x v="30"/>
    <x v="14"/>
    <n v="207081"/>
    <n v="207382"/>
    <n v="301"/>
    <x v="0"/>
    <n v="33.335000000000001"/>
    <n v="27"/>
    <n v="900.04500000000007"/>
    <n v="9.0295485225738705"/>
  </r>
  <r>
    <n v="179"/>
    <x v="30"/>
    <x v="24"/>
    <n v="201112"/>
    <n v="201252"/>
    <n v="140"/>
    <x v="0"/>
    <n v="38.076999999999998"/>
    <n v="27"/>
    <n v="1028.079"/>
    <n v="3.676760248969194"/>
  </r>
  <r>
    <n v="180"/>
    <x v="30"/>
    <x v="17"/>
    <n v="220150"/>
    <n v="220606"/>
    <n v="456"/>
    <x v="2"/>
    <n v="54.936999999999998"/>
    <n v="23.98"/>
    <n v="1317.3892599999999"/>
    <n v="8.3004168411089072"/>
  </r>
  <r>
    <n v="181"/>
    <x v="30"/>
    <x v="18"/>
    <n v="293119"/>
    <n v="293434"/>
    <n v="315"/>
    <x v="2"/>
    <n v="48.213000000000001"/>
    <n v="23.98"/>
    <n v="1156.1477400000001"/>
    <n v="6.5335075602016053"/>
  </r>
  <r>
    <n v="182"/>
    <x v="30"/>
    <x v="3"/>
    <n v="181061"/>
    <n v="181288"/>
    <n v="227"/>
    <x v="2"/>
    <n v="33.761000000000003"/>
    <n v="23.98"/>
    <n v="809.58878000000004"/>
    <n v="6.7237344865377207"/>
  </r>
  <r>
    <n v="183"/>
    <x v="31"/>
    <x v="0"/>
    <n v="214550"/>
    <n v="214858"/>
    <n v="308"/>
    <x v="0"/>
    <n v="41.825000000000003"/>
    <n v="27"/>
    <n v="1129.2750000000001"/>
    <n v="7.3640167364016733"/>
  </r>
  <r>
    <n v="184"/>
    <x v="31"/>
    <x v="13"/>
    <n v="184552"/>
    <n v="184777"/>
    <n v="225"/>
    <x v="0"/>
    <n v="28.056000000000001"/>
    <n v="27"/>
    <n v="757.51200000000006"/>
    <n v="8.0196749358426"/>
  </r>
  <r>
    <n v="185"/>
    <x v="31"/>
    <x v="29"/>
    <n v="225807"/>
    <n v="225807"/>
    <n v="0"/>
    <x v="2"/>
    <n v="41.238999999999997"/>
    <n v="28.98"/>
    <n v="1195.1062199999999"/>
    <n v="0"/>
  </r>
  <r>
    <n v="186"/>
    <x v="31"/>
    <x v="6"/>
    <n v="252262"/>
    <n v="252553"/>
    <n v="291"/>
    <x v="2"/>
    <n v="38.087000000000003"/>
    <n v="23.98"/>
    <n v="913.32626000000005"/>
    <n v="7.6404022369837472"/>
  </r>
  <r>
    <n v="187"/>
    <x v="31"/>
    <x v="3"/>
    <n v="181288"/>
    <n v="181515"/>
    <n v="227"/>
    <x v="2"/>
    <n v="35.582000000000001"/>
    <n v="23.98"/>
    <n v="853.25636000000009"/>
    <n v="6.3796301500758812"/>
  </r>
  <r>
    <n v="188"/>
    <x v="32"/>
    <x v="23"/>
    <n v="121686"/>
    <n v="121877"/>
    <n v="191"/>
    <x v="0"/>
    <n v="76.003"/>
    <n v="27"/>
    <n v="2052.0810000000001"/>
    <n v="2.513058695051511"/>
  </r>
  <r>
    <n v="189"/>
    <x v="32"/>
    <x v="25"/>
    <n v="292251"/>
    <n v="292525"/>
    <n v="274"/>
    <x v="2"/>
    <n v="44.908999999999999"/>
    <n v="23.98"/>
    <n v="1076.9178199999999"/>
    <n v="6.101226925560578"/>
  </r>
  <r>
    <n v="190"/>
    <x v="32"/>
    <x v="4"/>
    <n v="306264"/>
    <n v="306750"/>
    <n v="486"/>
    <x v="2"/>
    <n v="56.981000000000002"/>
    <n v="23.98"/>
    <n v="1366.4043800000002"/>
    <n v="8.5291588424211575"/>
  </r>
  <r>
    <n v="191"/>
    <x v="32"/>
    <x v="3"/>
    <n v="181515"/>
    <n v="181723"/>
    <n v="208"/>
    <x v="2"/>
    <n v="31.850999999999999"/>
    <n v="23.98"/>
    <n v="763.78697999999997"/>
    <n v="6.5304072085648803"/>
  </r>
  <r>
    <n v="192"/>
    <x v="33"/>
    <x v="12"/>
    <n v="531364"/>
    <n v="531517"/>
    <n v="153"/>
    <x v="2"/>
    <n v="23.03"/>
    <n v="23.98"/>
    <n v="552.25940000000003"/>
    <n v="6.643508467216674"/>
  </r>
  <r>
    <n v="193"/>
    <x v="33"/>
    <x v="0"/>
    <n v="214858"/>
    <n v="215069"/>
    <n v="211"/>
    <x v="0"/>
    <n v="26.100999999999999"/>
    <n v="27"/>
    <n v="704.72699999999998"/>
    <n v="8.0839814566491714"/>
  </r>
  <r>
    <n v="194"/>
    <x v="33"/>
    <x v="10"/>
    <n v="208195"/>
    <n v="208372"/>
    <n v="177"/>
    <x v="0"/>
    <n v="33.779000000000003"/>
    <n v="27"/>
    <n v="912.03300000000013"/>
    <n v="5.2399419757837702"/>
  </r>
  <r>
    <n v="195"/>
    <x v="33"/>
    <x v="1"/>
    <n v="278368"/>
    <n v="278640"/>
    <n v="272"/>
    <x v="0"/>
    <n v="41.991"/>
    <n v="27"/>
    <n v="1133.7570000000001"/>
    <n v="6.4775785287323471"/>
  </r>
  <r>
    <n v="196"/>
    <x v="33"/>
    <x v="2"/>
    <n v="112258"/>
    <n v="112423"/>
    <n v="165"/>
    <x v="1"/>
    <n v="71.043000000000006"/>
    <n v="23.98"/>
    <n v="1703.6111400000002"/>
    <n v="2.3225370550230142"/>
  </r>
  <r>
    <n v="197"/>
    <x v="33"/>
    <x v="29"/>
    <n v="225807"/>
    <n v="226002"/>
    <n v="195"/>
    <x v="2"/>
    <n v="25.120999999999999"/>
    <n v="23.98"/>
    <n v="602.40157999999997"/>
    <n v="7.7624298395764502"/>
  </r>
  <r>
    <n v="198"/>
    <x v="33"/>
    <x v="6"/>
    <n v="252553"/>
    <n v="252786"/>
    <n v="233"/>
    <x v="2"/>
    <n v="35.645000000000003"/>
    <n v="23.98"/>
    <n v="854.76710000000014"/>
    <n v="6.5366811614532185"/>
  </r>
  <r>
    <n v="199"/>
    <x v="33"/>
    <x v="3"/>
    <n v="181723"/>
    <n v="181930"/>
    <n v="207"/>
    <x v="2"/>
    <n v="30.765000000000001"/>
    <n v="23.98"/>
    <n v="737.74470000000008"/>
    <n v="6.728425158459288"/>
  </r>
  <r>
    <n v="200"/>
    <x v="33"/>
    <x v="19"/>
    <n v="5008"/>
    <n v="5668.8"/>
    <n v="660.80000000000018"/>
    <x v="0"/>
    <n v="53.689"/>
    <n v="27"/>
    <n v="1449.6030000000001"/>
    <n v="12.307921548175607"/>
  </r>
  <r>
    <n v="201"/>
    <x v="33"/>
    <x v="5"/>
    <n v="0"/>
    <n v="3630.2"/>
    <n v="3630.2"/>
    <x v="0"/>
    <n v="38.06"/>
    <n v="27"/>
    <n v="1027.6200000000001"/>
    <n v="95.380977404098786"/>
  </r>
  <r>
    <n v="202"/>
    <x v="33"/>
    <x v="27"/>
    <n v="0"/>
    <m/>
    <n v="0"/>
    <x v="2"/>
    <n v="50"/>
    <n v="100"/>
    <n v="5000"/>
    <n v="0"/>
  </r>
  <r>
    <n v="203"/>
    <x v="33"/>
    <x v="28"/>
    <n v="0"/>
    <m/>
    <n v="0"/>
    <x v="2"/>
    <n v="50"/>
    <n v="100"/>
    <n v="5000"/>
    <n v="0"/>
  </r>
  <r>
    <n v="204"/>
    <x v="34"/>
    <x v="1"/>
    <n v="278640"/>
    <n v="278988"/>
    <n v="348"/>
    <x v="0"/>
    <n v="50.003999999999998"/>
    <n v="27"/>
    <n v="1350.1079999999999"/>
    <n v="6.9594432445404371"/>
  </r>
  <r>
    <n v="205"/>
    <x v="34"/>
    <x v="17"/>
    <n v="220606"/>
    <n v="220912"/>
    <n v="306"/>
    <x v="2"/>
    <n v="44.319000000000003"/>
    <n v="23.98"/>
    <n v="1062.76962"/>
    <n v="6.9044879171461444"/>
  </r>
  <r>
    <n v="206"/>
    <x v="34"/>
    <x v="8"/>
    <n v="271853"/>
    <n v="272177"/>
    <n v="324"/>
    <x v="2"/>
    <n v="41.23"/>
    <n v="23.98"/>
    <n v="988.69539999999995"/>
    <n v="7.8583555663351934"/>
  </r>
  <r>
    <n v="207"/>
    <x v="34"/>
    <x v="3"/>
    <n v="181930"/>
    <n v="182133"/>
    <n v="203"/>
    <x v="2"/>
    <n v="31.483000000000001"/>
    <n v="23.98"/>
    <n v="754.96234000000004"/>
    <n v="6.4479242765937173"/>
  </r>
  <r>
    <n v="208"/>
    <x v="35"/>
    <x v="7"/>
    <n v="207040"/>
    <n v="207419"/>
    <n v="379"/>
    <x v="0"/>
    <n v="53.103000000000002"/>
    <n v="27"/>
    <n v="1433.7809999999999"/>
    <n v="7.1370732350338022"/>
  </r>
  <r>
    <n v="209"/>
    <x v="35"/>
    <x v="0"/>
    <n v="215069"/>
    <n v="215362"/>
    <n v="293"/>
    <x v="0"/>
    <n v="44.734999999999999"/>
    <n v="27"/>
    <n v="1207.845"/>
    <n v="6.5496814574717783"/>
  </r>
  <r>
    <n v="210"/>
    <x v="35"/>
    <x v="6"/>
    <n v="252786"/>
    <n v="253147"/>
    <n v="361"/>
    <x v="2"/>
    <n v="48.521000000000001"/>
    <n v="23.98"/>
    <n v="1163.53358"/>
    <n v="7.4400774922198636"/>
  </r>
  <r>
    <n v="211"/>
    <x v="35"/>
    <x v="22"/>
    <n v="218167"/>
    <n v="218364"/>
    <n v="197"/>
    <x v="2"/>
    <n v="34.229999999999997"/>
    <n v="23.98"/>
    <n v="820.83539999999994"/>
    <n v="5.7551855097867373"/>
  </r>
  <r>
    <n v="212"/>
    <x v="35"/>
    <x v="3"/>
    <n v="182133"/>
    <n v="182331"/>
    <n v="198"/>
    <x v="2"/>
    <n v="30.673999999999999"/>
    <n v="23.98"/>
    <n v="735.56251999999995"/>
    <n v="6.4549781573971439"/>
  </r>
  <r>
    <n v="213"/>
    <x v="36"/>
    <x v="23"/>
    <n v="121877"/>
    <n v="121960"/>
    <n v="83"/>
    <x v="0"/>
    <n v="64.153000000000006"/>
    <n v="27"/>
    <n v="1732.1310000000001"/>
    <n v="1.2937820522812651"/>
  </r>
  <r>
    <n v="214"/>
    <x v="36"/>
    <x v="8"/>
    <n v="272177"/>
    <n v="272387"/>
    <n v="210"/>
    <x v="2"/>
    <n v="27.465"/>
    <n v="23.98"/>
    <n v="658.61069999999995"/>
    <n v="7.6460950300382304"/>
  </r>
  <r>
    <n v="215"/>
    <x v="36"/>
    <x v="3"/>
    <n v="182331"/>
    <n v="182530"/>
    <n v="199"/>
    <x v="2"/>
    <n v="29.635999999999999"/>
    <n v="23.98"/>
    <n v="710.67128000000002"/>
    <n v="6.7148063166419218"/>
  </r>
  <r>
    <n v="216"/>
    <x v="36"/>
    <x v="16"/>
    <n v="5908"/>
    <n v="6289.2"/>
    <n v="381.19999999999982"/>
    <x v="2"/>
    <n v="48.097000000000001"/>
    <n v="23.98"/>
    <n v="1153.3660600000001"/>
    <n v="7.9256502484562406"/>
  </r>
  <r>
    <n v="217"/>
    <x v="36"/>
    <x v="19"/>
    <n v="5668.8"/>
    <n v="6177.5"/>
    <n v="508.69999999999982"/>
    <x v="0"/>
    <n v="44.509"/>
    <n v="27"/>
    <n v="1201.7429999999999"/>
    <n v="11.42914916084387"/>
  </r>
  <r>
    <n v="218"/>
    <x v="37"/>
    <x v="12"/>
    <n v="531517"/>
    <n v="531659"/>
    <n v="142"/>
    <x v="2"/>
    <n v="21.771000000000001"/>
    <n v="23.98"/>
    <n v="522.06858"/>
    <n v="6.5224381057369891"/>
  </r>
  <r>
    <n v="219"/>
    <x v="37"/>
    <x v="10"/>
    <n v="208372"/>
    <n v="208577"/>
    <n v="205"/>
    <x v="0"/>
    <n v="47.375999999999998"/>
    <n v="27"/>
    <n v="1279.152"/>
    <n v="4.3270854441067206"/>
  </r>
  <r>
    <n v="220"/>
    <x v="37"/>
    <x v="1"/>
    <n v="278988"/>
    <n v="279315"/>
    <n v="327"/>
    <x v="0"/>
    <n v="45.606999999999999"/>
    <n v="27"/>
    <n v="1231.3889999999999"/>
    <n v="7.1699519810555401"/>
  </r>
  <r>
    <n v="221"/>
    <x v="37"/>
    <x v="14"/>
    <n v="207382"/>
    <n v="207736"/>
    <n v="354"/>
    <x v="0"/>
    <n v="44.426000000000002"/>
    <n v="27"/>
    <n v="1199.502"/>
    <n v="7.9683068473416467"/>
  </r>
  <r>
    <n v="222"/>
    <x v="37"/>
    <x v="6"/>
    <n v="253147"/>
    <n v="253567"/>
    <n v="420"/>
    <x v="2"/>
    <n v="57.706000000000003"/>
    <n v="23.98"/>
    <n v="1383.78988"/>
    <n v="7.2782726232974033"/>
  </r>
  <r>
    <n v="223"/>
    <x v="37"/>
    <x v="3"/>
    <n v="182530"/>
    <n v="182730"/>
    <n v="200"/>
    <x v="2"/>
    <n v="31.399000000000001"/>
    <n v="23.98"/>
    <n v="752.94802000000004"/>
    <n v="6.3696296060384086"/>
  </r>
  <r>
    <n v="224"/>
    <x v="38"/>
    <x v="0"/>
    <n v="215362"/>
    <n v="215677"/>
    <n v="315"/>
    <x v="0"/>
    <n v="44.174999999999997"/>
    <n v="27"/>
    <n v="1192.7249999999999"/>
    <n v="7.1307300509337868"/>
  </r>
  <r>
    <n v="225"/>
    <x v="38"/>
    <x v="21"/>
    <n v="232003"/>
    <n v="232188"/>
    <n v="185"/>
    <x v="0"/>
    <n v="20.402999999999999"/>
    <n v="27"/>
    <n v="550.88099999999997"/>
    <n v="9.0672940253884242"/>
  </r>
  <r>
    <n v="226"/>
    <x v="38"/>
    <x v="4"/>
    <n v="306750"/>
    <n v="306998"/>
    <n v="248"/>
    <x v="2"/>
    <n v="31.547999999999998"/>
    <n v="23.98"/>
    <n v="756.52103999999997"/>
    <n v="7.8610371497400786"/>
  </r>
  <r>
    <n v="227"/>
    <x v="38"/>
    <x v="3"/>
    <n v="182730"/>
    <n v="182930"/>
    <n v="200"/>
    <x v="2"/>
    <n v="31.378"/>
    <n v="23.98"/>
    <n v="752.44443999999999"/>
    <n v="6.3738925361718399"/>
  </r>
  <r>
    <n v="228"/>
    <x v="38"/>
    <x v="27"/>
    <n v="0"/>
    <m/>
    <n v="0"/>
    <x v="2"/>
    <n v="50"/>
    <n v="100"/>
    <n v="5000"/>
    <n v="0"/>
  </r>
  <r>
    <n v="229"/>
    <x v="38"/>
    <x v="28"/>
    <n v="0"/>
    <m/>
    <n v="0"/>
    <x v="2"/>
    <n v="50"/>
    <n v="100"/>
    <n v="5000"/>
    <n v="0"/>
  </r>
  <r>
    <n v="230"/>
    <x v="39"/>
    <x v="23"/>
    <n v="121960"/>
    <n v="122225"/>
    <n v="265"/>
    <x v="0"/>
    <n v="92.906999999999996"/>
    <n v="27"/>
    <n v="2508.489"/>
    <n v="2.8523146802716695"/>
  </r>
  <r>
    <n v="231"/>
    <x v="39"/>
    <x v="0"/>
    <n v="215677"/>
    <n v="215927"/>
    <n v="250"/>
    <x v="0"/>
    <n v="41.439"/>
    <n v="27"/>
    <n v="1118.8530000000001"/>
    <n v="6.0329641159294383"/>
  </r>
  <r>
    <n v="232"/>
    <x v="39"/>
    <x v="13"/>
    <n v="184777"/>
    <n v="185195"/>
    <n v="418"/>
    <x v="0"/>
    <n v="55.155999999999999"/>
    <n v="27"/>
    <n v="1489.212"/>
    <n v="7.5785046051200231"/>
  </r>
  <r>
    <n v="233"/>
    <x v="39"/>
    <x v="10"/>
    <n v="208577"/>
    <n v="208821"/>
    <n v="244"/>
    <x v="0"/>
    <n v="39.012"/>
    <n v="27"/>
    <n v="1053.3240000000001"/>
    <n v="6.2544857992412588"/>
  </r>
  <r>
    <n v="234"/>
    <x v="39"/>
    <x v="2"/>
    <n v="112423"/>
    <n v="112556"/>
    <n v="133"/>
    <x v="1"/>
    <n v="51.878"/>
    <n v="23.98"/>
    <n v="1244.0344400000001"/>
    <n v="2.5637071591040517"/>
  </r>
  <r>
    <n v="235"/>
    <x v="39"/>
    <x v="22"/>
    <n v="218364"/>
    <n v="218556"/>
    <n v="192"/>
    <x v="2"/>
    <n v="31.218"/>
    <n v="23.98"/>
    <n v="748.60764000000006"/>
    <n v="6.1502979050547761"/>
  </r>
  <r>
    <n v="236"/>
    <x v="39"/>
    <x v="8"/>
    <n v="272387"/>
    <n v="272700"/>
    <n v="313"/>
    <x v="2"/>
    <n v="38.591999999999999"/>
    <n v="23.98"/>
    <n v="925.43615999999997"/>
    <n v="8.1104892205638475"/>
  </r>
  <r>
    <n v="237"/>
    <x v="39"/>
    <x v="3"/>
    <n v="182930"/>
    <n v="183128"/>
    <n v="198"/>
    <x v="2"/>
    <n v="29.661000000000001"/>
    <n v="23.98"/>
    <n v="711.27078000000006"/>
    <n v="6.6754323859613631"/>
  </r>
  <r>
    <n v="238"/>
    <x v="39"/>
    <x v="5"/>
    <n v="3630.2"/>
    <n v="3647.1"/>
    <n v="16.900000000000091"/>
    <x v="0"/>
    <n v="37.412999999999997"/>
    <n v="27"/>
    <n v="1010.151"/>
    <n v="0.45171464464223915"/>
  </r>
  <r>
    <n v="239"/>
    <x v="40"/>
    <x v="1"/>
    <n v="279315"/>
    <n v="279640"/>
    <n v="325"/>
    <x v="0"/>
    <n v="44.582000000000001"/>
    <n v="27"/>
    <n v="1203.7139999999999"/>
    <n v="7.2899376429949303"/>
  </r>
  <r>
    <n v="240"/>
    <x v="40"/>
    <x v="6"/>
    <n v="253567"/>
    <n v="253960"/>
    <n v="393"/>
    <x v="2"/>
    <n v="55.503999999999998"/>
    <n v="23.98"/>
    <n v="1330.9859200000001"/>
    <n v="7.0805707696742584"/>
  </r>
  <r>
    <n v="241"/>
    <x v="40"/>
    <x v="3"/>
    <n v="183128"/>
    <n v="183327"/>
    <n v="199"/>
    <x v="2"/>
    <n v="30.933"/>
    <n v="23.98"/>
    <n v="741.77333999999996"/>
    <n v="6.4332589790838259"/>
  </r>
  <r>
    <n v="242"/>
    <x v="40"/>
    <x v="19"/>
    <n v="6177.5"/>
    <n v="6803.2"/>
    <n v="625.69999999999982"/>
    <x v="0"/>
    <n v="54.241"/>
    <n v="27"/>
    <n v="1464.5070000000001"/>
    <n v="11.535554285503583"/>
  </r>
  <r>
    <n v="243"/>
    <x v="41"/>
    <x v="7"/>
    <n v="207419"/>
    <n v="207746"/>
    <n v="327"/>
    <x v="0"/>
    <n v="50.378"/>
    <n v="27"/>
    <n v="1360.2059999999999"/>
    <n v="6.4909285799356864"/>
  </r>
  <r>
    <n v="244"/>
    <x v="41"/>
    <x v="0"/>
    <n v="215927"/>
    <n v="216126"/>
    <n v="199"/>
    <x v="0"/>
    <n v="31.105"/>
    <n v="27"/>
    <n v="839.83500000000004"/>
    <n v="6.3976852596045655"/>
  </r>
  <r>
    <n v="245"/>
    <x v="41"/>
    <x v="3"/>
    <n v="183327"/>
    <n v="183527"/>
    <n v="200"/>
    <x v="2"/>
    <n v="30.175000000000001"/>
    <n v="23.98"/>
    <n v="723.59649999999999"/>
    <n v="6.6280033140016572"/>
  </r>
  <r>
    <n v="246"/>
    <x v="42"/>
    <x v="23"/>
    <n v="122225"/>
    <n v="122503"/>
    <n v="278"/>
    <x v="0"/>
    <n v="101.41"/>
    <n v="27"/>
    <n v="2738.0699999999997"/>
    <n v="2.7413470071985011"/>
  </r>
  <r>
    <n v="247"/>
    <x v="42"/>
    <x v="1"/>
    <n v="279640"/>
    <n v="279883"/>
    <n v="243"/>
    <x v="0"/>
    <n v="34.685000000000002"/>
    <n v="27"/>
    <n v="936.49500000000012"/>
    <n v="7.0059103358800634"/>
  </r>
  <r>
    <n v="248"/>
    <x v="42"/>
    <x v="22"/>
    <n v="218556"/>
    <n v="218786"/>
    <n v="230"/>
    <x v="2"/>
    <n v="37.463000000000001"/>
    <n v="23.98"/>
    <n v="898.36274000000003"/>
    <n v="6.1393908656541116"/>
  </r>
  <r>
    <n v="249"/>
    <x v="42"/>
    <x v="30"/>
    <n v="183725"/>
    <n v="183725"/>
    <n v="0"/>
    <x v="2"/>
    <n v="33.100999999999999"/>
    <n v="23.98"/>
    <n v="793.76197999999999"/>
    <n v="0"/>
  </r>
  <r>
    <n v="250"/>
    <x v="43"/>
    <x v="10"/>
    <n v="208821"/>
    <n v="209014"/>
    <n v="193"/>
    <x v="0"/>
    <n v="40.789000000000001"/>
    <n v="27"/>
    <n v="1101.3030000000001"/>
    <n v="4.7316678516266641"/>
  </r>
  <r>
    <n v="251"/>
    <x v="43"/>
    <x v="14"/>
    <n v="207736"/>
    <n v="208016"/>
    <n v="280"/>
    <x v="0"/>
    <n v="35.308"/>
    <n v="27"/>
    <n v="953.31600000000003"/>
    <n v="7.9302141157811263"/>
  </r>
  <r>
    <n v="252"/>
    <x v="43"/>
    <x v="29"/>
    <n v="226002"/>
    <n v="226224"/>
    <n v="222"/>
    <x v="2"/>
    <n v="45.243000000000002"/>
    <n v="28.98"/>
    <n v="1311.1421400000002"/>
    <n v="4.9068364166832437"/>
  </r>
  <r>
    <n v="253"/>
    <x v="43"/>
    <x v="6"/>
    <n v="253960"/>
    <n v="254313"/>
    <n v="353"/>
    <x v="2"/>
    <n v="56.798999999999999"/>
    <n v="28.98"/>
    <n v="1646.03502"/>
    <n v="6.2148981496153102"/>
  </r>
  <r>
    <n v="254"/>
    <x v="43"/>
    <x v="8"/>
    <n v="272700"/>
    <n v="273133"/>
    <n v="433"/>
    <x v="2"/>
    <n v="55.962000000000003"/>
    <n v="28.98"/>
    <n v="1621.7787600000001"/>
    <n v="7.7373932311211178"/>
  </r>
  <r>
    <n v="255"/>
    <x v="43"/>
    <x v="3"/>
    <n v="183527"/>
    <n v="183925"/>
    <n v="398"/>
    <x v="2"/>
    <n v="33.090000000000003"/>
    <n v="23.98"/>
    <n v="793.49820000000011"/>
    <n v="12.027802961619823"/>
  </r>
  <r>
    <n v="256"/>
    <x v="43"/>
    <x v="31"/>
    <n v="261016"/>
    <n v="261016"/>
    <n v="0"/>
    <x v="2"/>
    <n v="50.390999999999998"/>
    <n v="28.98"/>
    <n v="1460.3311799999999"/>
    <n v="0"/>
  </r>
  <r>
    <n v="257"/>
    <x v="43"/>
    <x v="19"/>
    <n v="6803.2"/>
    <n v="7278"/>
    <n v="474.80000000000018"/>
    <x v="0"/>
    <n v="39.334000000000003"/>
    <n v="27"/>
    <n v="1062.018"/>
    <n v="12.070981847765296"/>
  </r>
  <r>
    <n v="258"/>
    <x v="43"/>
    <x v="27"/>
    <n v="0"/>
    <m/>
    <n v="0"/>
    <x v="2"/>
    <n v="50"/>
    <n v="100"/>
    <n v="5000"/>
    <n v="0"/>
  </r>
  <r>
    <n v="259"/>
    <x v="43"/>
    <x v="28"/>
    <n v="0"/>
    <m/>
    <n v="0"/>
    <x v="2"/>
    <n v="50"/>
    <n v="100"/>
    <n v="5000"/>
    <n v="0"/>
  </r>
  <r>
    <n v="260"/>
    <x v="44"/>
    <x v="3"/>
    <n v="183925"/>
    <n v="184124"/>
    <n v="199"/>
    <x v="2"/>
    <n v="29.093"/>
    <n v="23.98"/>
    <n v="697.65013999999996"/>
    <n v="6.8401333654143608"/>
  </r>
  <r>
    <n v="261"/>
    <x v="45"/>
    <x v="23"/>
    <n v="122503"/>
    <n v="122707"/>
    <n v="204"/>
    <x v="0"/>
    <n v="82.837999999999994"/>
    <n v="27"/>
    <n v="2236.6259999999997"/>
    <n v="2.462637919795263"/>
  </r>
  <r>
    <n v="262"/>
    <x v="45"/>
    <x v="21"/>
    <n v="232188"/>
    <n v="232472"/>
    <n v="284"/>
    <x v="0"/>
    <n v="32.552"/>
    <n v="27"/>
    <n v="878.904"/>
    <n v="8.7245023347259778"/>
  </r>
  <r>
    <n v="263"/>
    <x v="45"/>
    <x v="1"/>
    <n v="279883"/>
    <n v="280166"/>
    <n v="283"/>
    <x v="0"/>
    <n v="38.000999999999998"/>
    <n v="27"/>
    <n v="1026.027"/>
    <n v="7.4471724428304524"/>
  </r>
  <r>
    <n v="264"/>
    <x v="45"/>
    <x v="4"/>
    <n v="306998"/>
    <n v="307409"/>
    <n v="411"/>
    <x v="2"/>
    <n v="50.875"/>
    <n v="23.98"/>
    <n v="1219.9825000000001"/>
    <n v="8.0786240786240793"/>
  </r>
  <r>
    <n v="265"/>
    <x v="45"/>
    <x v="29"/>
    <n v="226224"/>
    <n v="226440"/>
    <n v="216"/>
    <x v="2"/>
    <n v="33.597999999999999"/>
    <n v="23.98"/>
    <n v="805.68003999999996"/>
    <n v="6.4289541044109768"/>
  </r>
  <r>
    <n v="266"/>
    <x v="45"/>
    <x v="6"/>
    <n v="254313"/>
    <n v="254645"/>
    <n v="332"/>
    <x v="2"/>
    <n v="40.591999999999999"/>
    <n v="23.98"/>
    <n v="973.39616000000001"/>
    <n v="8.1789515175404031"/>
  </r>
  <r>
    <n v="267"/>
    <x v="45"/>
    <x v="22"/>
    <n v="218786"/>
    <n v="218948"/>
    <n v="162"/>
    <x v="2"/>
    <n v="28.277999999999999"/>
    <n v="23.98"/>
    <n v="678.10644000000002"/>
    <n v="5.7288351368555066"/>
  </r>
  <r>
    <n v="268"/>
    <x v="45"/>
    <x v="18"/>
    <n v="293434"/>
    <n v="293713"/>
    <n v="279"/>
    <x v="2"/>
    <n v="41.523000000000003"/>
    <n v="23.98"/>
    <n v="995.72154000000012"/>
    <n v="6.7191676901957944"/>
  </r>
  <r>
    <n v="269"/>
    <x v="45"/>
    <x v="3"/>
    <n v="184124"/>
    <n v="184326"/>
    <n v="202"/>
    <x v="2"/>
    <n v="29.161999999999999"/>
    <n v="23.98"/>
    <n v="699.30475999999999"/>
    <n v="6.9268225773266581"/>
  </r>
  <r>
    <n v="270"/>
    <x v="45"/>
    <x v="19"/>
    <n v="7278"/>
    <n v="7637.4"/>
    <n v="359.39999999999964"/>
    <x v="0"/>
    <n v="29.818999999999999"/>
    <n v="27"/>
    <n v="805.11299999999994"/>
    <n v="12.052718065662821"/>
  </r>
  <r>
    <n v="271"/>
    <x v="45"/>
    <x v="20"/>
    <n v="0"/>
    <m/>
    <n v="0"/>
    <x v="1"/>
    <n v="10"/>
    <n v="23.98"/>
    <n v="239.8"/>
    <n v="0"/>
  </r>
  <r>
    <n v="272"/>
    <x v="45"/>
    <x v="16"/>
    <n v="6289.2"/>
    <n v="6679.8"/>
    <n v="390.60000000000036"/>
    <x v="2"/>
    <n v="48.665999999999997"/>
    <n v="23.98"/>
    <n v="1167.0106799999999"/>
    <n v="8.0261373443471911"/>
  </r>
  <r>
    <n v="273"/>
    <x v="46"/>
    <x v="32"/>
    <s v=""/>
    <m/>
    <n v="0"/>
    <x v="3"/>
    <m/>
    <m/>
    <n v="0"/>
    <n v="0"/>
  </r>
  <r>
    <n v="274"/>
    <x v="46"/>
    <x v="32"/>
    <s v=""/>
    <m/>
    <n v="0"/>
    <x v="3"/>
    <m/>
    <m/>
    <n v="0"/>
    <n v="0"/>
  </r>
  <r>
    <n v="275"/>
    <x v="46"/>
    <x v="32"/>
    <s v=""/>
    <m/>
    <n v="0"/>
    <x v="3"/>
    <m/>
    <m/>
    <n v="0"/>
    <n v="0"/>
  </r>
  <r>
    <n v="276"/>
    <x v="46"/>
    <x v="32"/>
    <s v=""/>
    <m/>
    <n v="0"/>
    <x v="3"/>
    <m/>
    <m/>
    <n v="0"/>
    <n v="0"/>
  </r>
  <r>
    <n v="277"/>
    <x v="46"/>
    <x v="32"/>
    <s v=""/>
    <m/>
    <n v="0"/>
    <x v="3"/>
    <m/>
    <m/>
    <n v="0"/>
    <n v="0"/>
  </r>
  <r>
    <n v="278"/>
    <x v="46"/>
    <x v="32"/>
    <s v=""/>
    <m/>
    <n v="0"/>
    <x v="3"/>
    <m/>
    <m/>
    <n v="0"/>
    <n v="0"/>
  </r>
  <r>
    <n v="279"/>
    <x v="46"/>
    <x v="32"/>
    <s v=""/>
    <m/>
    <n v="0"/>
    <x v="3"/>
    <m/>
    <m/>
    <n v="0"/>
    <n v="0"/>
  </r>
  <r>
    <n v="280"/>
    <x v="46"/>
    <x v="32"/>
    <s v=""/>
    <m/>
    <n v="0"/>
    <x v="3"/>
    <m/>
    <m/>
    <n v="0"/>
    <n v="0"/>
  </r>
  <r>
    <n v="281"/>
    <x v="46"/>
    <x v="32"/>
    <s v=""/>
    <m/>
    <n v="0"/>
    <x v="3"/>
    <m/>
    <m/>
    <n v="0"/>
    <n v="0"/>
  </r>
  <r>
    <n v="282"/>
    <x v="46"/>
    <x v="32"/>
    <s v=""/>
    <m/>
    <n v="0"/>
    <x v="3"/>
    <m/>
    <m/>
    <n v="0"/>
    <n v="0"/>
  </r>
  <r>
    <n v="283"/>
    <x v="46"/>
    <x v="32"/>
    <s v=""/>
    <m/>
    <n v="0"/>
    <x v="3"/>
    <m/>
    <m/>
    <n v="0"/>
    <n v="0"/>
  </r>
  <r>
    <n v="284"/>
    <x v="46"/>
    <x v="32"/>
    <s v=""/>
    <m/>
    <n v="0"/>
    <x v="3"/>
    <m/>
    <m/>
    <n v="0"/>
    <n v="0"/>
  </r>
  <r>
    <n v="285"/>
    <x v="46"/>
    <x v="32"/>
    <s v=""/>
    <m/>
    <n v="0"/>
    <x v="3"/>
    <m/>
    <m/>
    <n v="0"/>
    <n v="0"/>
  </r>
  <r>
    <n v="286"/>
    <x v="46"/>
    <x v="32"/>
    <s v=""/>
    <m/>
    <n v="0"/>
    <x v="3"/>
    <m/>
    <m/>
    <n v="0"/>
    <n v="0"/>
  </r>
  <r>
    <n v="287"/>
    <x v="46"/>
    <x v="32"/>
    <s v=""/>
    <m/>
    <n v="0"/>
    <x v="3"/>
    <m/>
    <m/>
    <n v="0"/>
    <n v="0"/>
  </r>
  <r>
    <n v="288"/>
    <x v="46"/>
    <x v="32"/>
    <s v=""/>
    <m/>
    <n v="0"/>
    <x v="3"/>
    <m/>
    <m/>
    <n v="0"/>
    <n v="0"/>
  </r>
  <r>
    <n v="289"/>
    <x v="46"/>
    <x v="32"/>
    <s v=""/>
    <m/>
    <n v="0"/>
    <x v="3"/>
    <m/>
    <m/>
    <n v="0"/>
    <n v="0"/>
  </r>
  <r>
    <n v="290"/>
    <x v="46"/>
    <x v="32"/>
    <s v=""/>
    <m/>
    <n v="0"/>
    <x v="3"/>
    <m/>
    <m/>
    <n v="0"/>
    <n v="0"/>
  </r>
  <r>
    <n v="291"/>
    <x v="46"/>
    <x v="32"/>
    <s v=""/>
    <m/>
    <n v="0"/>
    <x v="3"/>
    <m/>
    <m/>
    <n v="0"/>
    <n v="0"/>
  </r>
  <r>
    <n v="292"/>
    <x v="46"/>
    <x v="32"/>
    <s v=""/>
    <m/>
    <n v="0"/>
    <x v="3"/>
    <m/>
    <m/>
    <n v="0"/>
    <n v="0"/>
  </r>
  <r>
    <n v="293"/>
    <x v="46"/>
    <x v="32"/>
    <s v=""/>
    <m/>
    <n v="0"/>
    <x v="3"/>
    <m/>
    <m/>
    <n v="0"/>
    <n v="0"/>
  </r>
  <r>
    <n v="294"/>
    <x v="46"/>
    <x v="32"/>
    <s v=""/>
    <m/>
    <n v="0"/>
    <x v="3"/>
    <m/>
    <m/>
    <n v="0"/>
    <n v="0"/>
  </r>
  <r>
    <n v="295"/>
    <x v="46"/>
    <x v="32"/>
    <s v=""/>
    <m/>
    <n v="0"/>
    <x v="3"/>
    <m/>
    <m/>
    <n v="0"/>
    <n v="0"/>
  </r>
  <r>
    <n v="296"/>
    <x v="46"/>
    <x v="32"/>
    <s v=""/>
    <m/>
    <n v="0"/>
    <x v="3"/>
    <m/>
    <m/>
    <n v="0"/>
    <n v="0"/>
  </r>
  <r>
    <n v="297"/>
    <x v="46"/>
    <x v="32"/>
    <s v=""/>
    <m/>
    <n v="0"/>
    <x v="3"/>
    <m/>
    <m/>
    <n v="0"/>
    <n v="0"/>
  </r>
  <r>
    <n v="298"/>
    <x v="46"/>
    <x v="32"/>
    <s v=""/>
    <m/>
    <n v="0"/>
    <x v="3"/>
    <m/>
    <m/>
    <n v="0"/>
    <n v="0"/>
  </r>
  <r>
    <n v="299"/>
    <x v="46"/>
    <x v="32"/>
    <s v=""/>
    <m/>
    <n v="0"/>
    <x v="3"/>
    <m/>
    <m/>
    <n v="0"/>
    <n v="0"/>
  </r>
  <r>
    <n v="300"/>
    <x v="46"/>
    <x v="32"/>
    <s v=""/>
    <m/>
    <n v="0"/>
    <x v="3"/>
    <m/>
    <m/>
    <n v="0"/>
    <n v="0"/>
  </r>
  <r>
    <n v="301"/>
    <x v="46"/>
    <x v="32"/>
    <s v=""/>
    <m/>
    <n v="0"/>
    <x v="3"/>
    <m/>
    <m/>
    <n v="0"/>
    <n v="0"/>
  </r>
  <r>
    <n v="302"/>
    <x v="46"/>
    <x v="32"/>
    <s v=""/>
    <m/>
    <n v="0"/>
    <x v="3"/>
    <m/>
    <m/>
    <n v="0"/>
    <n v="0"/>
  </r>
  <r>
    <n v="303"/>
    <x v="46"/>
    <x v="32"/>
    <s v=""/>
    <m/>
    <n v="0"/>
    <x v="3"/>
    <m/>
    <m/>
    <n v="0"/>
    <n v="0"/>
  </r>
  <r>
    <n v="304"/>
    <x v="46"/>
    <x v="32"/>
    <s v=""/>
    <m/>
    <n v="0"/>
    <x v="3"/>
    <m/>
    <m/>
    <n v="0"/>
    <n v="0"/>
  </r>
  <r>
    <n v="305"/>
    <x v="46"/>
    <x v="32"/>
    <s v=""/>
    <m/>
    <n v="0"/>
    <x v="3"/>
    <m/>
    <m/>
    <n v="0"/>
    <n v="0"/>
  </r>
  <r>
    <n v="306"/>
    <x v="46"/>
    <x v="32"/>
    <s v=""/>
    <m/>
    <n v="0"/>
    <x v="3"/>
    <m/>
    <m/>
    <n v="0"/>
    <n v="0"/>
  </r>
  <r>
    <n v="307"/>
    <x v="46"/>
    <x v="32"/>
    <s v=""/>
    <m/>
    <n v="0"/>
    <x v="3"/>
    <m/>
    <m/>
    <n v="0"/>
    <n v="0"/>
  </r>
  <r>
    <n v="308"/>
    <x v="46"/>
    <x v="32"/>
    <s v=""/>
    <m/>
    <n v="0"/>
    <x v="3"/>
    <m/>
    <m/>
    <n v="0"/>
    <n v="0"/>
  </r>
  <r>
    <n v="309"/>
    <x v="46"/>
    <x v="32"/>
    <s v=""/>
    <m/>
    <n v="0"/>
    <x v="3"/>
    <m/>
    <m/>
    <n v="0"/>
    <n v="0"/>
  </r>
  <r>
    <n v="310"/>
    <x v="46"/>
    <x v="32"/>
    <s v=""/>
    <m/>
    <n v="0"/>
    <x v="3"/>
    <m/>
    <m/>
    <n v="0"/>
    <n v="0"/>
  </r>
  <r>
    <n v="311"/>
    <x v="46"/>
    <x v="32"/>
    <s v=""/>
    <m/>
    <n v="0"/>
    <x v="3"/>
    <m/>
    <m/>
    <n v="0"/>
    <n v="0"/>
  </r>
  <r>
    <n v="312"/>
    <x v="46"/>
    <x v="32"/>
    <s v=""/>
    <m/>
    <n v="0"/>
    <x v="3"/>
    <m/>
    <m/>
    <n v="0"/>
    <n v="0"/>
  </r>
  <r>
    <n v="313"/>
    <x v="46"/>
    <x v="32"/>
    <s v=""/>
    <m/>
    <n v="0"/>
    <x v="3"/>
    <m/>
    <m/>
    <n v="0"/>
    <n v="0"/>
  </r>
  <r>
    <n v="314"/>
    <x v="46"/>
    <x v="32"/>
    <s v=""/>
    <m/>
    <n v="0"/>
    <x v="3"/>
    <m/>
    <m/>
    <n v="0"/>
    <n v="0"/>
  </r>
  <r>
    <n v="315"/>
    <x v="46"/>
    <x v="32"/>
    <s v=""/>
    <m/>
    <n v="0"/>
    <x v="3"/>
    <m/>
    <m/>
    <n v="0"/>
    <n v="0"/>
  </r>
  <r>
    <n v="316"/>
    <x v="46"/>
    <x v="32"/>
    <s v=""/>
    <m/>
    <n v="0"/>
    <x v="3"/>
    <m/>
    <m/>
    <n v="0"/>
    <n v="0"/>
  </r>
  <r>
    <n v="317"/>
    <x v="46"/>
    <x v="32"/>
    <s v=""/>
    <m/>
    <n v="0"/>
    <x v="3"/>
    <m/>
    <m/>
    <n v="0"/>
    <n v="0"/>
  </r>
  <r>
    <n v="318"/>
    <x v="46"/>
    <x v="32"/>
    <s v=""/>
    <m/>
    <n v="0"/>
    <x v="3"/>
    <m/>
    <m/>
    <n v="0"/>
    <n v="0"/>
  </r>
  <r>
    <n v="319"/>
    <x v="46"/>
    <x v="32"/>
    <s v=""/>
    <m/>
    <n v="0"/>
    <x v="3"/>
    <m/>
    <m/>
    <n v="0"/>
    <n v="0"/>
  </r>
  <r>
    <n v="320"/>
    <x v="46"/>
    <x v="32"/>
    <s v=""/>
    <m/>
    <n v="0"/>
    <x v="3"/>
    <m/>
    <m/>
    <n v="0"/>
    <n v="0"/>
  </r>
  <r>
    <n v="321"/>
    <x v="46"/>
    <x v="32"/>
    <s v=""/>
    <m/>
    <n v="0"/>
    <x v="3"/>
    <m/>
    <m/>
    <n v="0"/>
    <n v="0"/>
  </r>
  <r>
    <n v="322"/>
    <x v="46"/>
    <x v="32"/>
    <s v=""/>
    <m/>
    <n v="0"/>
    <x v="3"/>
    <m/>
    <m/>
    <n v="0"/>
    <n v="0"/>
  </r>
  <r>
    <n v="323"/>
    <x v="46"/>
    <x v="32"/>
    <s v=""/>
    <m/>
    <n v="0"/>
    <x v="3"/>
    <m/>
    <m/>
    <n v="0"/>
    <n v="0"/>
  </r>
  <r>
    <n v="324"/>
    <x v="46"/>
    <x v="32"/>
    <s v=""/>
    <m/>
    <n v="0"/>
    <x v="3"/>
    <m/>
    <m/>
    <n v="0"/>
    <n v="0"/>
  </r>
  <r>
    <n v="325"/>
    <x v="46"/>
    <x v="32"/>
    <s v=""/>
    <m/>
    <n v="0"/>
    <x v="3"/>
    <m/>
    <m/>
    <n v="0"/>
    <n v="0"/>
  </r>
  <r>
    <n v="326"/>
    <x v="46"/>
    <x v="32"/>
    <s v=""/>
    <m/>
    <n v="0"/>
    <x v="3"/>
    <m/>
    <m/>
    <n v="0"/>
    <n v="0"/>
  </r>
  <r>
    <n v="327"/>
    <x v="46"/>
    <x v="32"/>
    <s v=""/>
    <m/>
    <n v="0"/>
    <x v="3"/>
    <m/>
    <m/>
    <n v="0"/>
    <n v="0"/>
  </r>
  <r>
    <n v="328"/>
    <x v="46"/>
    <x v="32"/>
    <s v=""/>
    <m/>
    <n v="0"/>
    <x v="3"/>
    <m/>
    <m/>
    <n v="0"/>
    <n v="0"/>
  </r>
  <r>
    <n v="329"/>
    <x v="46"/>
    <x v="32"/>
    <s v=""/>
    <m/>
    <n v="0"/>
    <x v="3"/>
    <m/>
    <m/>
    <n v="0"/>
    <n v="0"/>
  </r>
  <r>
    <n v="330"/>
    <x v="46"/>
    <x v="32"/>
    <s v=""/>
    <m/>
    <n v="0"/>
    <x v="3"/>
    <m/>
    <m/>
    <n v="0"/>
    <n v="0"/>
  </r>
  <r>
    <n v="331"/>
    <x v="46"/>
    <x v="32"/>
    <s v=""/>
    <m/>
    <n v="0"/>
    <x v="3"/>
    <m/>
    <m/>
    <n v="0"/>
    <n v="0"/>
  </r>
  <r>
    <n v="332"/>
    <x v="46"/>
    <x v="32"/>
    <s v=""/>
    <m/>
    <n v="0"/>
    <x v="3"/>
    <m/>
    <m/>
    <n v="0"/>
    <n v="0"/>
  </r>
  <r>
    <n v="333"/>
    <x v="46"/>
    <x v="32"/>
    <s v=""/>
    <m/>
    <n v="0"/>
    <x v="3"/>
    <m/>
    <m/>
    <n v="0"/>
    <n v="0"/>
  </r>
  <r>
    <n v="334"/>
    <x v="46"/>
    <x v="32"/>
    <s v=""/>
    <m/>
    <n v="0"/>
    <x v="3"/>
    <m/>
    <m/>
    <n v="0"/>
    <n v="0"/>
  </r>
  <r>
    <n v="335"/>
    <x v="46"/>
    <x v="32"/>
    <s v=""/>
    <m/>
    <n v="0"/>
    <x v="3"/>
    <m/>
    <m/>
    <n v="0"/>
    <n v="0"/>
  </r>
  <r>
    <n v="336"/>
    <x v="46"/>
    <x v="32"/>
    <s v=""/>
    <m/>
    <n v="0"/>
    <x v="3"/>
    <m/>
    <m/>
    <n v="0"/>
    <n v="0"/>
  </r>
  <r>
    <n v="337"/>
    <x v="46"/>
    <x v="32"/>
    <s v=""/>
    <m/>
    <n v="0"/>
    <x v="3"/>
    <m/>
    <m/>
    <n v="0"/>
    <n v="0"/>
  </r>
  <r>
    <n v="338"/>
    <x v="46"/>
    <x v="32"/>
    <s v=""/>
    <m/>
    <n v="0"/>
    <x v="3"/>
    <m/>
    <m/>
    <n v="0"/>
    <n v="0"/>
  </r>
  <r>
    <n v="339"/>
    <x v="46"/>
    <x v="32"/>
    <s v=""/>
    <m/>
    <n v="0"/>
    <x v="3"/>
    <m/>
    <m/>
    <n v="0"/>
    <n v="0"/>
  </r>
  <r>
    <n v="340"/>
    <x v="46"/>
    <x v="32"/>
    <s v=""/>
    <m/>
    <n v="0"/>
    <x v="3"/>
    <m/>
    <m/>
    <n v="0"/>
    <n v="0"/>
  </r>
  <r>
    <n v="341"/>
    <x v="46"/>
    <x v="32"/>
    <s v=""/>
    <m/>
    <n v="0"/>
    <x v="3"/>
    <m/>
    <m/>
    <n v="0"/>
    <n v="0"/>
  </r>
  <r>
    <n v="342"/>
    <x v="46"/>
    <x v="32"/>
    <s v=""/>
    <m/>
    <n v="0"/>
    <x v="3"/>
    <m/>
    <m/>
    <n v="0"/>
    <n v="0"/>
  </r>
  <r>
    <n v="343"/>
    <x v="46"/>
    <x v="32"/>
    <s v=""/>
    <m/>
    <n v="0"/>
    <x v="3"/>
    <m/>
    <m/>
    <n v="0"/>
    <n v="0"/>
  </r>
  <r>
    <n v="344"/>
    <x v="46"/>
    <x v="32"/>
    <s v=""/>
    <m/>
    <n v="0"/>
    <x v="3"/>
    <m/>
    <m/>
    <n v="0"/>
    <n v="0"/>
  </r>
  <r>
    <n v="345"/>
    <x v="46"/>
    <x v="32"/>
    <s v=""/>
    <m/>
    <n v="0"/>
    <x v="3"/>
    <m/>
    <m/>
    <n v="0"/>
    <n v="0"/>
  </r>
  <r>
    <n v="346"/>
    <x v="46"/>
    <x v="32"/>
    <s v=""/>
    <m/>
    <n v="0"/>
    <x v="3"/>
    <m/>
    <m/>
    <n v="0"/>
    <n v="0"/>
  </r>
  <r>
    <n v="347"/>
    <x v="46"/>
    <x v="32"/>
    <s v=""/>
    <m/>
    <n v="0"/>
    <x v="3"/>
    <m/>
    <m/>
    <n v="0"/>
    <n v="0"/>
  </r>
  <r>
    <n v="348"/>
    <x v="46"/>
    <x v="32"/>
    <s v=""/>
    <m/>
    <n v="0"/>
    <x v="3"/>
    <m/>
    <m/>
    <n v="0"/>
    <n v="0"/>
  </r>
  <r>
    <n v="349"/>
    <x v="46"/>
    <x v="32"/>
    <s v=""/>
    <m/>
    <n v="0"/>
    <x v="3"/>
    <m/>
    <m/>
    <n v="0"/>
    <n v="0"/>
  </r>
  <r>
    <n v="350"/>
    <x v="46"/>
    <x v="32"/>
    <s v=""/>
    <m/>
    <n v="0"/>
    <x v="3"/>
    <m/>
    <m/>
    <n v="0"/>
    <n v="0"/>
  </r>
  <r>
    <n v="351"/>
    <x v="46"/>
    <x v="32"/>
    <s v=""/>
    <m/>
    <n v="0"/>
    <x v="3"/>
    <m/>
    <m/>
    <n v="0"/>
    <n v="0"/>
  </r>
  <r>
    <n v="352"/>
    <x v="46"/>
    <x v="32"/>
    <s v=""/>
    <m/>
    <n v="0"/>
    <x v="3"/>
    <m/>
    <m/>
    <n v="0"/>
    <n v="0"/>
  </r>
  <r>
    <n v="353"/>
    <x v="46"/>
    <x v="32"/>
    <s v=""/>
    <m/>
    <n v="0"/>
    <x v="3"/>
    <m/>
    <m/>
    <n v="0"/>
    <n v="0"/>
  </r>
  <r>
    <n v="354"/>
    <x v="46"/>
    <x v="32"/>
    <s v=""/>
    <m/>
    <n v="0"/>
    <x v="3"/>
    <m/>
    <m/>
    <n v="0"/>
    <n v="0"/>
  </r>
  <r>
    <n v="355"/>
    <x v="46"/>
    <x v="32"/>
    <s v=""/>
    <m/>
    <n v="0"/>
    <x v="3"/>
    <m/>
    <m/>
    <n v="0"/>
    <n v="0"/>
  </r>
  <r>
    <n v="356"/>
    <x v="46"/>
    <x v="32"/>
    <s v=""/>
    <m/>
    <n v="0"/>
    <x v="3"/>
    <m/>
    <m/>
    <n v="0"/>
    <n v="0"/>
  </r>
  <r>
    <n v="357"/>
    <x v="46"/>
    <x v="32"/>
    <s v=""/>
    <m/>
    <n v="0"/>
    <x v="3"/>
    <m/>
    <m/>
    <n v="0"/>
    <n v="0"/>
  </r>
  <r>
    <n v="358"/>
    <x v="46"/>
    <x v="32"/>
    <s v=""/>
    <m/>
    <n v="0"/>
    <x v="3"/>
    <m/>
    <m/>
    <n v="0"/>
    <n v="0"/>
  </r>
  <r>
    <n v="359"/>
    <x v="46"/>
    <x v="32"/>
    <s v=""/>
    <m/>
    <n v="0"/>
    <x v="3"/>
    <m/>
    <m/>
    <n v="0"/>
    <n v="0"/>
  </r>
  <r>
    <n v="360"/>
    <x v="46"/>
    <x v="32"/>
    <s v=""/>
    <m/>
    <n v="0"/>
    <x v="3"/>
    <m/>
    <m/>
    <n v="0"/>
    <n v="0"/>
  </r>
  <r>
    <n v="361"/>
    <x v="46"/>
    <x v="32"/>
    <s v=""/>
    <m/>
    <n v="0"/>
    <x v="3"/>
    <m/>
    <m/>
    <n v="0"/>
    <n v="0"/>
  </r>
  <r>
    <n v="362"/>
    <x v="46"/>
    <x v="32"/>
    <s v=""/>
    <m/>
    <n v="0"/>
    <x v="3"/>
    <m/>
    <m/>
    <n v="0"/>
    <n v="0"/>
  </r>
  <r>
    <n v="363"/>
    <x v="46"/>
    <x v="32"/>
    <s v=""/>
    <m/>
    <n v="0"/>
    <x v="3"/>
    <m/>
    <m/>
    <n v="0"/>
    <n v="0"/>
  </r>
  <r>
    <n v="364"/>
    <x v="46"/>
    <x v="32"/>
    <s v=""/>
    <m/>
    <n v="0"/>
    <x v="3"/>
    <m/>
    <m/>
    <n v="0"/>
    <n v="0"/>
  </r>
  <r>
    <n v="365"/>
    <x v="46"/>
    <x v="32"/>
    <s v=""/>
    <m/>
    <n v="0"/>
    <x v="3"/>
    <m/>
    <m/>
    <n v="0"/>
    <n v="0"/>
  </r>
  <r>
    <n v="366"/>
    <x v="46"/>
    <x v="32"/>
    <s v=""/>
    <m/>
    <n v="0"/>
    <x v="3"/>
    <m/>
    <m/>
    <n v="0"/>
    <n v="0"/>
  </r>
  <r>
    <n v="367"/>
    <x v="46"/>
    <x v="32"/>
    <s v=""/>
    <m/>
    <n v="0"/>
    <x v="3"/>
    <m/>
    <m/>
    <n v="0"/>
    <n v="0"/>
  </r>
  <r>
    <n v="368"/>
    <x v="46"/>
    <x v="32"/>
    <s v=""/>
    <m/>
    <n v="0"/>
    <x v="3"/>
    <m/>
    <m/>
    <n v="0"/>
    <n v="0"/>
  </r>
  <r>
    <n v="369"/>
    <x v="46"/>
    <x v="32"/>
    <s v=""/>
    <m/>
    <n v="0"/>
    <x v="3"/>
    <m/>
    <m/>
    <n v="0"/>
    <n v="0"/>
  </r>
  <r>
    <n v="370"/>
    <x v="46"/>
    <x v="32"/>
    <s v=""/>
    <m/>
    <n v="0"/>
    <x v="3"/>
    <m/>
    <m/>
    <n v="0"/>
    <n v="0"/>
  </r>
  <r>
    <n v="371"/>
    <x v="46"/>
    <x v="32"/>
    <s v=""/>
    <m/>
    <n v="0"/>
    <x v="3"/>
    <m/>
    <m/>
    <n v="0"/>
    <n v="0"/>
  </r>
  <r>
    <n v="372"/>
    <x v="46"/>
    <x v="32"/>
    <s v=""/>
    <m/>
    <n v="0"/>
    <x v="3"/>
    <m/>
    <m/>
    <n v="0"/>
    <n v="0"/>
  </r>
  <r>
    <n v="373"/>
    <x v="46"/>
    <x v="32"/>
    <s v=""/>
    <m/>
    <n v="0"/>
    <x v="3"/>
    <m/>
    <m/>
    <n v="0"/>
    <n v="0"/>
  </r>
  <r>
    <n v="374"/>
    <x v="46"/>
    <x v="32"/>
    <s v=""/>
    <m/>
    <n v="0"/>
    <x v="3"/>
    <m/>
    <m/>
    <n v="0"/>
    <n v="0"/>
  </r>
  <r>
    <n v="375"/>
    <x v="46"/>
    <x v="32"/>
    <s v=""/>
    <m/>
    <n v="0"/>
    <x v="3"/>
    <m/>
    <m/>
    <n v="0"/>
    <n v="0"/>
  </r>
  <r>
    <n v="376"/>
    <x v="46"/>
    <x v="32"/>
    <s v=""/>
    <m/>
    <n v="0"/>
    <x v="3"/>
    <m/>
    <m/>
    <n v="0"/>
    <n v="0"/>
  </r>
  <r>
    <n v="377"/>
    <x v="46"/>
    <x v="32"/>
    <s v=""/>
    <m/>
    <n v="0"/>
    <x v="3"/>
    <m/>
    <m/>
    <n v="0"/>
    <n v="0"/>
  </r>
  <r>
    <n v="378"/>
    <x v="46"/>
    <x v="32"/>
    <s v=""/>
    <m/>
    <n v="0"/>
    <x v="3"/>
    <m/>
    <m/>
    <n v="0"/>
    <n v="0"/>
  </r>
  <r>
    <n v="379"/>
    <x v="46"/>
    <x v="32"/>
    <s v=""/>
    <m/>
    <n v="0"/>
    <x v="3"/>
    <m/>
    <m/>
    <n v="0"/>
    <n v="0"/>
  </r>
  <r>
    <n v="380"/>
    <x v="46"/>
    <x v="32"/>
    <s v=""/>
    <m/>
    <n v="0"/>
    <x v="3"/>
    <m/>
    <m/>
    <n v="0"/>
    <n v="0"/>
  </r>
  <r>
    <n v="381"/>
    <x v="46"/>
    <x v="32"/>
    <s v=""/>
    <m/>
    <n v="0"/>
    <x v="3"/>
    <m/>
    <m/>
    <n v="0"/>
    <n v="0"/>
  </r>
  <r>
    <n v="382"/>
    <x v="46"/>
    <x v="32"/>
    <s v=""/>
    <m/>
    <n v="0"/>
    <x v="3"/>
    <m/>
    <m/>
    <n v="0"/>
    <n v="0"/>
  </r>
  <r>
    <n v="383"/>
    <x v="46"/>
    <x v="32"/>
    <s v=""/>
    <m/>
    <n v="0"/>
    <x v="3"/>
    <m/>
    <m/>
    <n v="0"/>
    <n v="0"/>
  </r>
  <r>
    <n v="384"/>
    <x v="46"/>
    <x v="32"/>
    <s v=""/>
    <m/>
    <n v="0"/>
    <x v="3"/>
    <m/>
    <m/>
    <n v="0"/>
    <n v="0"/>
  </r>
  <r>
    <n v="385"/>
    <x v="46"/>
    <x v="32"/>
    <s v=""/>
    <m/>
    <n v="0"/>
    <x v="3"/>
    <m/>
    <m/>
    <n v="0"/>
    <n v="0"/>
  </r>
  <r>
    <n v="386"/>
    <x v="46"/>
    <x v="32"/>
    <s v=""/>
    <m/>
    <n v="0"/>
    <x v="3"/>
    <m/>
    <m/>
    <n v="0"/>
    <n v="0"/>
  </r>
  <r>
    <n v="387"/>
    <x v="46"/>
    <x v="32"/>
    <s v=""/>
    <m/>
    <n v="0"/>
    <x v="3"/>
    <m/>
    <m/>
    <n v="0"/>
    <n v="0"/>
  </r>
  <r>
    <n v="388"/>
    <x v="46"/>
    <x v="32"/>
    <s v=""/>
    <m/>
    <n v="0"/>
    <x v="3"/>
    <m/>
    <m/>
    <n v="0"/>
    <n v="0"/>
  </r>
  <r>
    <n v="389"/>
    <x v="46"/>
    <x v="32"/>
    <s v=""/>
    <m/>
    <n v="0"/>
    <x v="3"/>
    <m/>
    <m/>
    <n v="0"/>
    <n v="0"/>
  </r>
  <r>
    <n v="390"/>
    <x v="46"/>
    <x v="32"/>
    <s v=""/>
    <m/>
    <n v="0"/>
    <x v="3"/>
    <m/>
    <m/>
    <n v="0"/>
    <n v="0"/>
  </r>
  <r>
    <n v="391"/>
    <x v="46"/>
    <x v="32"/>
    <s v=""/>
    <m/>
    <n v="0"/>
    <x v="3"/>
    <m/>
    <m/>
    <n v="0"/>
    <n v="0"/>
  </r>
  <r>
    <n v="392"/>
    <x v="46"/>
    <x v="32"/>
    <s v=""/>
    <m/>
    <n v="0"/>
    <x v="3"/>
    <m/>
    <m/>
    <n v="0"/>
    <n v="0"/>
  </r>
  <r>
    <n v="393"/>
    <x v="46"/>
    <x v="32"/>
    <s v=""/>
    <m/>
    <n v="0"/>
    <x v="3"/>
    <m/>
    <m/>
    <n v="0"/>
    <n v="0"/>
  </r>
  <r>
    <n v="394"/>
    <x v="46"/>
    <x v="32"/>
    <s v=""/>
    <m/>
    <n v="0"/>
    <x v="3"/>
    <m/>
    <m/>
    <n v="0"/>
    <n v="0"/>
  </r>
  <r>
    <n v="395"/>
    <x v="46"/>
    <x v="32"/>
    <s v=""/>
    <m/>
    <n v="0"/>
    <x v="3"/>
    <m/>
    <m/>
    <n v="0"/>
    <n v="0"/>
  </r>
  <r>
    <n v="396"/>
    <x v="46"/>
    <x v="32"/>
    <s v=""/>
    <m/>
    <n v="0"/>
    <x v="3"/>
    <m/>
    <m/>
    <n v="0"/>
    <n v="0"/>
  </r>
  <r>
    <n v="397"/>
    <x v="46"/>
    <x v="32"/>
    <s v=""/>
    <m/>
    <n v="0"/>
    <x v="3"/>
    <m/>
    <m/>
    <n v="0"/>
    <n v="0"/>
  </r>
  <r>
    <n v="398"/>
    <x v="46"/>
    <x v="32"/>
    <s v=""/>
    <m/>
    <n v="0"/>
    <x v="3"/>
    <m/>
    <m/>
    <n v="0"/>
    <n v="0"/>
  </r>
  <r>
    <n v="399"/>
    <x v="46"/>
    <x v="32"/>
    <s v=""/>
    <m/>
    <n v="0"/>
    <x v="3"/>
    <m/>
    <m/>
    <n v="0"/>
    <n v="0"/>
  </r>
  <r>
    <n v="400"/>
    <x v="46"/>
    <x v="32"/>
    <s v=""/>
    <m/>
    <n v="0"/>
    <x v="3"/>
    <m/>
    <m/>
    <n v="0"/>
    <n v="0"/>
  </r>
  <r>
    <m/>
    <x v="27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s v=""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  <r>
    <m/>
    <x v="46"/>
    <x v="32"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D6" firstHeaderRow="1" firstDataRow="2" firstDataCol="1"/>
  <pivotFields count="11">
    <pivotField showAll="0"/>
    <pivotField axis="axisRow" showAl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showAll="0">
      <items count="39">
        <item m="1" x="33"/>
        <item m="1" x="35"/>
        <item x="27"/>
        <item x="28"/>
        <item m="1" x="36"/>
        <item m="1" x="37"/>
        <item x="11"/>
        <item m="1" x="34"/>
        <item x="5"/>
        <item x="20"/>
        <item x="31"/>
        <item x="23"/>
        <item x="12"/>
        <item x="26"/>
        <item x="9"/>
        <item x="7"/>
        <item x="0"/>
        <item x="13"/>
        <item x="10"/>
        <item x="21"/>
        <item x="1"/>
        <item x="14"/>
        <item x="24"/>
        <item x="2"/>
        <item x="25"/>
        <item x="4"/>
        <item x="15"/>
        <item x="17"/>
        <item x="29"/>
        <item x="6"/>
        <item x="22"/>
        <item x="18"/>
        <item x="8"/>
        <item x="3"/>
        <item x="30"/>
        <item x="16"/>
        <item x="19"/>
        <item x="32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numFmtId="164" showAll="0"/>
    <pivotField numFmtId="2" showAll="0"/>
  </pivotFields>
  <rowFields count="1">
    <field x="1"/>
  </rowFields>
  <rowItems count="2">
    <i>
      <x v="9"/>
    </i>
    <i t="grand">
      <x/>
    </i>
  </rowItems>
  <colFields count="1">
    <field x="6"/>
  </colFields>
  <colItems count="3">
    <i>
      <x/>
    </i>
    <i>
      <x v="3"/>
    </i>
    <i t="grand">
      <x/>
    </i>
  </colItems>
  <dataFields count="1">
    <dataField name="Suma de Total Pesos" fld="9" baseField="0" baseItem="0"/>
  </dataFields>
  <formats count="4">
    <format dxfId="3">
      <pivotArea grandRow="1" grandCol="1" outline="0" collapsedLevelsAreSubtotals="1" fieldPosition="0"/>
    </format>
    <format dxfId="2">
      <pivotArea field="6" grandRow="1" outline="0" collapsedLevelsAreSubtotals="1" axis="axisCol" fieldPosition="0">
        <references count="1">
          <reference field="6" count="1" selected="0">
            <x v="1"/>
          </reference>
        </references>
      </pivotArea>
    </format>
    <format dxfId="1">
      <pivotArea field="6" grandRow="1" outline="0" collapsedLevelsAreSubtotals="1" axis="axisCol" fieldPosition="0">
        <references count="1">
          <reference field="6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6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0000000-0013-0000-FFFF-FFFF01000000}" sourceName="Fecha">
  <pivotTables>
    <pivotTable tabId="5" name="TablaDinámica1"/>
  </pivotTables>
  <data>
    <tabular pivotCacheId="1">
      <items count="24">
        <i x="0"/>
        <i x="5"/>
        <i x="1"/>
        <i x="10"/>
        <i x="6"/>
        <i x="2"/>
        <i x="7"/>
        <i x="3"/>
        <i x="8"/>
        <i x="4"/>
        <i x="9" s="1"/>
        <i x="23" nd="1"/>
        <i x="18" nd="1"/>
        <i x="14" nd="1"/>
        <i x="19" nd="1"/>
        <i x="15" nd="1"/>
        <i x="11" nd="1"/>
        <i x="20" nd="1"/>
        <i x="16" nd="1"/>
        <i x="12" nd="1"/>
        <i x="21" nd="1"/>
        <i x="17" nd="1"/>
        <i x="13" nd="1"/>
        <i x="2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umero_Economico" xr10:uid="{00000000-0013-0000-FFFF-FFFF02000000}" sourceName="Numero Economico">
  <pivotTables>
    <pivotTable tabId="5" name="TablaDinámica1"/>
  </pivotTables>
  <data>
    <tabular pivotCacheId="1">
      <items count="38">
        <i x="27" s="1"/>
        <i x="28" s="1"/>
        <i x="31" s="1"/>
        <i x="23" s="1"/>
        <i x="7" s="1"/>
        <i x="0" s="1"/>
        <i x="10" s="1"/>
        <i x="1" s="1"/>
        <i x="14" s="1"/>
        <i x="29" s="1"/>
        <i x="6" s="1"/>
        <i x="22" s="1"/>
        <i x="8" s="1"/>
        <i x="3" s="1"/>
        <i x="30" s="1"/>
        <i x="19" s="1"/>
        <i x="33" s="1" nd="1"/>
        <i x="35" s="1" nd="1"/>
        <i x="36" s="1" nd="1"/>
        <i x="37" s="1" nd="1"/>
        <i x="11" s="1" nd="1"/>
        <i x="34" s="1" nd="1"/>
        <i x="5" s="1" nd="1"/>
        <i x="20" s="1" nd="1"/>
        <i x="12" s="1" nd="1"/>
        <i x="26" s="1" nd="1"/>
        <i x="9" s="1" nd="1"/>
        <i x="13" s="1" nd="1"/>
        <i x="21" s="1" nd="1"/>
        <i x="24" s="1" nd="1"/>
        <i x="2" s="1" nd="1"/>
        <i x="25" s="1" nd="1"/>
        <i x="4" s="1" nd="1"/>
        <i x="15" s="1" nd="1"/>
        <i x="17" s="1" nd="1"/>
        <i x="18" s="1" nd="1"/>
        <i x="16" s="1" nd="1"/>
        <i x="3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Combustible" xr10:uid="{00000000-0013-0000-FFFF-FFFF03000000}" sourceName="Tipo de Combustible">
  <pivotTables>
    <pivotTable tabId="5" name="TablaDinámica1"/>
  </pivotTables>
  <data>
    <tabular pivotCacheId="1">
      <items count="5">
        <i x="0" s="1"/>
        <i x="2" s="1"/>
        <i x="3" s="1" nd="1"/>
        <i x="1" s="1" nd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00000000-0014-0000-FFFF-FFFF01000000}" cache="SegmentaciónDeDatos_Fecha" caption="Fecha" rowHeight="241300"/>
  <slicer name="Numero Economico" xr10:uid="{00000000-0014-0000-FFFF-FFFF02000000}" cache="SegmentaciónDeDatos_Numero_Economico" caption="Numero Economico" rowHeight="241300"/>
  <slicer name="Tipo de Combustible" xr10:uid="{00000000-0014-0000-FFFF-FFFF03000000}" cache="SegmentaciónDeDatos_Tipo_de_Combustible" caption="Tipo de Combustibl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gistro" displayName="TablaRegistro" ref="A4:K486" totalsRowShown="0">
  <autoFilter ref="A4:K486" xr:uid="{00000000-0009-0000-0100-000001000000}">
    <filterColumn colId="1">
      <filters>
        <dateGroupItem year="2026" month="10" day="12" dateTimeGrouping="day"/>
      </filters>
    </filterColumn>
  </autoFilter>
  <tableColumns count="11">
    <tableColumn id="1" xr3:uid="{00000000-0010-0000-0000-000001000000}" name="Item"/>
    <tableColumn id="2" xr3:uid="{00000000-0010-0000-0000-000002000000}" name="Fecha"/>
    <tableColumn id="3" xr3:uid="{00000000-0010-0000-0000-000003000000}" name="Numero Economico"/>
    <tableColumn id="4" xr3:uid="{00000000-0010-0000-0000-000004000000}" name="Kilometraje Inicial"/>
    <tableColumn id="5" xr3:uid="{00000000-0010-0000-0000-000005000000}" name="Kilometraje Actual (Final)"/>
    <tableColumn id="6" xr3:uid="{00000000-0010-0000-0000-000006000000}" name="Kilometraje Recorrido"/>
    <tableColumn id="7" xr3:uid="{00000000-0010-0000-0000-000007000000}" name="Tipo de Combustible"/>
    <tableColumn id="8" xr3:uid="{00000000-0010-0000-0000-000008000000}" name="Litros Cargados"/>
    <tableColumn id="9" xr3:uid="{00000000-0010-0000-0000-000009000000}" name="Precio por Litro"/>
    <tableColumn id="10" xr3:uid="{00000000-0010-0000-0000-00000A000000}" name="Total Pesos"/>
    <tableColumn id="11" xr3:uid="{00000000-0010-0000-0000-00000B000000}" name="Rendimiento (km/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00000000-0008-0000-0000-000004000000}">
  <we:reference id="wa102957665" version="1.3.0.0" store="es-E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6"/>
  <sheetViews>
    <sheetView tabSelected="1" zoomScaleNormal="100" workbookViewId="0">
      <pane ySplit="4" topLeftCell="A5" activePane="bottomLeft" state="frozen"/>
      <selection pane="bottomLeft" activeCell="I303" sqref="I303"/>
    </sheetView>
  </sheetViews>
  <sheetFormatPr baseColWidth="10" defaultColWidth="8.6640625" defaultRowHeight="14.4" x14ac:dyDescent="0.3"/>
  <cols>
    <col min="1" max="1" width="7" customWidth="1"/>
    <col min="2" max="2" width="12" customWidth="1"/>
    <col min="3" max="4" width="16" customWidth="1"/>
    <col min="5" max="5" width="18" customWidth="1"/>
    <col min="6" max="7" width="16" customWidth="1"/>
    <col min="8" max="10" width="13" customWidth="1"/>
    <col min="11" max="11" width="15" customWidth="1"/>
  </cols>
  <sheetData>
    <row r="1" spans="1:11" ht="21" x14ac:dyDescent="0.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5.5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spans="1:11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idden="1" x14ac:dyDescent="0.3">
      <c r="A5" s="2">
        <f t="shared" ref="A5:A68" si="0">ROW()-4</f>
        <v>1</v>
      </c>
      <c r="B5" s="3">
        <v>46237</v>
      </c>
      <c r="C5" s="4" t="s">
        <v>40</v>
      </c>
      <c r="D5" s="4">
        <v>0</v>
      </c>
      <c r="E5" s="4">
        <v>213702</v>
      </c>
      <c r="F5" s="2">
        <v>213702</v>
      </c>
      <c r="G5" s="4" t="s">
        <v>14</v>
      </c>
      <c r="H5" s="4">
        <v>30.053999999999998</v>
      </c>
      <c r="I5" s="5">
        <v>27</v>
      </c>
      <c r="J5" s="6">
        <f t="shared" ref="J5:J68" si="1">H5*I5</f>
        <v>811.45799999999997</v>
      </c>
      <c r="K5" s="7">
        <f t="shared" ref="K5:K68" si="2">IFERROR(F5/H5,0)</f>
        <v>7110.600918346976</v>
      </c>
    </row>
    <row r="6" spans="1:11" hidden="1" x14ac:dyDescent="0.3">
      <c r="A6" s="2">
        <f t="shared" si="0"/>
        <v>2</v>
      </c>
      <c r="B6" s="3">
        <v>46237</v>
      </c>
      <c r="C6" s="4" t="s">
        <v>44</v>
      </c>
      <c r="D6" s="4">
        <v>0</v>
      </c>
      <c r="E6" s="4">
        <v>275208</v>
      </c>
      <c r="F6" s="2">
        <f t="shared" ref="F6:F68" si="3">IFERROR(E6-D6,0)</f>
        <v>275208</v>
      </c>
      <c r="G6" s="4" t="s">
        <v>14</v>
      </c>
      <c r="H6" s="4">
        <v>44.006999999999998</v>
      </c>
      <c r="I6" s="5">
        <v>27</v>
      </c>
      <c r="J6" s="6">
        <f t="shared" si="1"/>
        <v>1188.1889999999999</v>
      </c>
      <c r="K6" s="7">
        <f t="shared" si="2"/>
        <v>6253.7323607607887</v>
      </c>
    </row>
    <row r="7" spans="1:11" hidden="1" x14ac:dyDescent="0.3">
      <c r="A7" s="2">
        <f t="shared" si="0"/>
        <v>3</v>
      </c>
      <c r="B7" s="3">
        <v>46237</v>
      </c>
      <c r="C7" s="4" t="s">
        <v>47</v>
      </c>
      <c r="D7" s="4">
        <v>0</v>
      </c>
      <c r="E7" s="4">
        <v>111444</v>
      </c>
      <c r="F7" s="2">
        <f t="shared" si="3"/>
        <v>111444</v>
      </c>
      <c r="G7" s="4" t="s">
        <v>13</v>
      </c>
      <c r="H7" s="4">
        <v>86.406999999999996</v>
      </c>
      <c r="I7" s="5">
        <v>23.98</v>
      </c>
      <c r="J7" s="6">
        <f t="shared" si="1"/>
        <v>2072.0398599999999</v>
      </c>
      <c r="K7" s="7">
        <f t="shared" si="2"/>
        <v>1289.7566169407571</v>
      </c>
    </row>
    <row r="8" spans="1:11" hidden="1" x14ac:dyDescent="0.3">
      <c r="A8" s="2">
        <f t="shared" si="0"/>
        <v>4</v>
      </c>
      <c r="B8" s="3">
        <v>46237</v>
      </c>
      <c r="C8" s="4" t="s">
        <v>58</v>
      </c>
      <c r="D8" s="4">
        <v>0</v>
      </c>
      <c r="E8" s="4">
        <v>174669</v>
      </c>
      <c r="F8" s="2">
        <f t="shared" si="3"/>
        <v>174669</v>
      </c>
      <c r="G8" s="4" t="s">
        <v>13</v>
      </c>
      <c r="H8" s="4">
        <v>45.055999999999997</v>
      </c>
      <c r="I8" s="5">
        <v>23.98</v>
      </c>
      <c r="J8" s="6">
        <f t="shared" si="1"/>
        <v>1080.4428800000001</v>
      </c>
      <c r="K8" s="7">
        <f t="shared" si="2"/>
        <v>3876.708984375</v>
      </c>
    </row>
    <row r="9" spans="1:11" hidden="1" x14ac:dyDescent="0.3">
      <c r="A9" s="2">
        <f t="shared" si="0"/>
        <v>5</v>
      </c>
      <c r="B9" s="3">
        <v>46237</v>
      </c>
      <c r="C9" s="4" t="s">
        <v>49</v>
      </c>
      <c r="D9" s="4">
        <v>0</v>
      </c>
      <c r="E9" s="4">
        <v>305289</v>
      </c>
      <c r="F9" s="2">
        <f t="shared" si="3"/>
        <v>305289</v>
      </c>
      <c r="G9" s="4" t="s">
        <v>13</v>
      </c>
      <c r="H9" s="4">
        <v>37.701000000000001</v>
      </c>
      <c r="I9" s="5">
        <v>23.98</v>
      </c>
      <c r="J9" s="6">
        <f t="shared" si="1"/>
        <v>904.06997999999999</v>
      </c>
      <c r="K9" s="7">
        <f t="shared" si="2"/>
        <v>8097.6366674624014</v>
      </c>
    </row>
    <row r="10" spans="1:11" hidden="1" x14ac:dyDescent="0.3">
      <c r="A10" s="2">
        <f t="shared" si="0"/>
        <v>6</v>
      </c>
      <c r="B10" s="3">
        <v>46237</v>
      </c>
      <c r="C10" s="4" t="s">
        <v>62</v>
      </c>
      <c r="D10" s="4">
        <v>0</v>
      </c>
      <c r="E10" s="4">
        <v>3538</v>
      </c>
      <c r="F10" s="2">
        <f t="shared" si="3"/>
        <v>3538</v>
      </c>
      <c r="G10" s="4" t="s">
        <v>14</v>
      </c>
      <c r="H10" s="4">
        <v>26.451000000000001</v>
      </c>
      <c r="I10" s="5">
        <v>27</v>
      </c>
      <c r="J10" s="6">
        <f t="shared" si="1"/>
        <v>714.17700000000002</v>
      </c>
      <c r="K10" s="7">
        <f t="shared" si="2"/>
        <v>133.75675777853388</v>
      </c>
    </row>
    <row r="11" spans="1:11" hidden="1" x14ac:dyDescent="0.3">
      <c r="A11" s="2">
        <f t="shared" si="0"/>
        <v>7</v>
      </c>
      <c r="B11" s="3">
        <v>46238</v>
      </c>
      <c r="C11" s="4" t="s">
        <v>54</v>
      </c>
      <c r="D11" s="4">
        <v>0</v>
      </c>
      <c r="E11" s="4">
        <v>248349</v>
      </c>
      <c r="F11" s="2">
        <f t="shared" si="3"/>
        <v>248349</v>
      </c>
      <c r="G11" s="4" t="s">
        <v>13</v>
      </c>
      <c r="H11" s="4">
        <v>42.845999999999997</v>
      </c>
      <c r="I11" s="5">
        <v>23.98</v>
      </c>
      <c r="J11" s="6">
        <f t="shared" si="1"/>
        <v>1027.4470799999999</v>
      </c>
      <c r="K11" s="7">
        <f t="shared" si="2"/>
        <v>5796.3170424310329</v>
      </c>
    </row>
    <row r="12" spans="1:11" hidden="1" x14ac:dyDescent="0.3">
      <c r="A12" s="2">
        <f t="shared" si="0"/>
        <v>8</v>
      </c>
      <c r="B12" s="3">
        <v>46238</v>
      </c>
      <c r="C12" s="4" t="s">
        <v>58</v>
      </c>
      <c r="D12" s="9">
        <f>IF(C12="","",IFERROR(INDEX($E$5:$E$486,SUMPRODUCT(MAX(($C$5:$C$486=C12)*($A$5:$A$486&lt;A12)*$A$5:$A$486))),""))</f>
        <v>174669</v>
      </c>
      <c r="E12" s="4">
        <v>174849</v>
      </c>
      <c r="F12" s="2">
        <f t="shared" si="3"/>
        <v>180</v>
      </c>
      <c r="G12" s="4" t="s">
        <v>13</v>
      </c>
      <c r="H12" s="4">
        <v>38.173000000000002</v>
      </c>
      <c r="I12" s="5">
        <v>23.98</v>
      </c>
      <c r="J12" s="6">
        <f t="shared" si="1"/>
        <v>915.38854000000003</v>
      </c>
      <c r="K12" s="7">
        <f t="shared" si="2"/>
        <v>4.7153747413093026</v>
      </c>
    </row>
    <row r="13" spans="1:11" hidden="1" x14ac:dyDescent="0.3">
      <c r="A13" s="2">
        <f t="shared" si="0"/>
        <v>9</v>
      </c>
      <c r="B13" s="3">
        <v>46239</v>
      </c>
      <c r="C13" s="4" t="s">
        <v>39</v>
      </c>
      <c r="D13" s="4">
        <v>0</v>
      </c>
      <c r="E13" s="4">
        <v>205752</v>
      </c>
      <c r="F13" s="2">
        <f t="shared" si="3"/>
        <v>205752</v>
      </c>
      <c r="G13" s="4" t="s">
        <v>14</v>
      </c>
      <c r="H13" s="4">
        <v>47.726999999999997</v>
      </c>
      <c r="I13" s="5">
        <v>27</v>
      </c>
      <c r="J13" s="6">
        <f t="shared" si="1"/>
        <v>1288.6289999999999</v>
      </c>
      <c r="K13" s="7">
        <f t="shared" si="2"/>
        <v>4311.0189201081148</v>
      </c>
    </row>
    <row r="14" spans="1:11" hidden="1" x14ac:dyDescent="0.3">
      <c r="A14" s="2">
        <f t="shared" si="0"/>
        <v>10</v>
      </c>
      <c r="B14" s="3">
        <v>46239</v>
      </c>
      <c r="C14" s="4" t="s">
        <v>57</v>
      </c>
      <c r="D14" s="4">
        <v>0</v>
      </c>
      <c r="E14" s="4">
        <v>268947</v>
      </c>
      <c r="F14" s="2">
        <f t="shared" si="3"/>
        <v>268947</v>
      </c>
      <c r="G14" s="4" t="s">
        <v>13</v>
      </c>
      <c r="H14" s="4">
        <v>53.456000000000003</v>
      </c>
      <c r="I14" s="5">
        <v>23.979900000000001</v>
      </c>
      <c r="J14" s="6">
        <f t="shared" si="1"/>
        <v>1281.8695344</v>
      </c>
      <c r="K14" s="7">
        <f t="shared" si="2"/>
        <v>5031.1845255911403</v>
      </c>
    </row>
    <row r="15" spans="1:11" hidden="1" x14ac:dyDescent="0.3">
      <c r="A15" s="2">
        <f t="shared" si="0"/>
        <v>11</v>
      </c>
      <c r="B15" s="3">
        <v>46239</v>
      </c>
      <c r="C15" s="4" t="s">
        <v>58</v>
      </c>
      <c r="D15" s="9">
        <f>IF(C15="","",IFERROR(INDEX($E$5:$E$486,SUMPRODUCT(MAX(($C$5:$C$486=C15)*($A$5:$A$486&lt;A15)*$A$5:$A$486))),""))</f>
        <v>174849</v>
      </c>
      <c r="E15" s="4">
        <v>175127</v>
      </c>
      <c r="F15" s="2">
        <f t="shared" si="3"/>
        <v>278</v>
      </c>
      <c r="G15" s="4" t="s">
        <v>13</v>
      </c>
      <c r="H15" s="4">
        <v>35.426000000000002</v>
      </c>
      <c r="I15" s="5">
        <v>23.979900000000001</v>
      </c>
      <c r="J15" s="6">
        <f t="shared" si="1"/>
        <v>849.51193740000008</v>
      </c>
      <c r="K15" s="7">
        <f t="shared" si="2"/>
        <v>7.8473437588212045</v>
      </c>
    </row>
    <row r="16" spans="1:11" hidden="1" x14ac:dyDescent="0.3">
      <c r="A16" s="2">
        <f t="shared" si="0"/>
        <v>12</v>
      </c>
      <c r="B16" s="3">
        <v>46239</v>
      </c>
      <c r="C16" s="4" t="s">
        <v>49</v>
      </c>
      <c r="D16" s="9">
        <f>IF(C16="","",IFERROR(INDEX($E$5:$E$486,SUMPRODUCT(MAX(($C$5:$C$486=C16)*($A$5:$A$486&lt;A16)*$A$5:$A$486))),""))</f>
        <v>305289</v>
      </c>
      <c r="E16" s="4">
        <v>305660</v>
      </c>
      <c r="F16" s="2">
        <f t="shared" si="3"/>
        <v>371</v>
      </c>
      <c r="G16" s="4" t="s">
        <v>13</v>
      </c>
      <c r="H16" s="4">
        <v>47.497</v>
      </c>
      <c r="I16" s="5">
        <v>28.98</v>
      </c>
      <c r="J16" s="6">
        <f t="shared" si="1"/>
        <v>1376.46306</v>
      </c>
      <c r="K16" s="7">
        <f t="shared" si="2"/>
        <v>7.8110196433458956</v>
      </c>
    </row>
    <row r="17" spans="1:11" hidden="1" x14ac:dyDescent="0.3">
      <c r="A17" s="2">
        <f t="shared" si="0"/>
        <v>13</v>
      </c>
      <c r="B17" s="3">
        <v>46240</v>
      </c>
      <c r="C17" s="4" t="s">
        <v>34</v>
      </c>
      <c r="D17" s="4">
        <v>0</v>
      </c>
      <c r="E17" s="4">
        <v>170451</v>
      </c>
      <c r="F17" s="2">
        <f t="shared" si="3"/>
        <v>170451</v>
      </c>
      <c r="G17" s="4" t="s">
        <v>14</v>
      </c>
      <c r="H17" s="4">
        <v>119.851</v>
      </c>
      <c r="I17" s="5">
        <v>27</v>
      </c>
      <c r="J17" s="6">
        <f t="shared" si="1"/>
        <v>3235.9769999999999</v>
      </c>
      <c r="K17" s="7">
        <f t="shared" si="2"/>
        <v>1422.1908870180475</v>
      </c>
    </row>
    <row r="18" spans="1:11" hidden="1" x14ac:dyDescent="0.3">
      <c r="A18" s="2">
        <f t="shared" si="0"/>
        <v>14</v>
      </c>
      <c r="B18" s="3">
        <v>46240</v>
      </c>
      <c r="C18" s="4" t="s">
        <v>42</v>
      </c>
      <c r="D18" s="9">
        <f>IF(C18="","",IFERROR(INDEX($E$5:$E$486,SUMPRODUCT(MAX(($C$5:$C$486=C18)*($A$5:$A$486&lt;A18)*$A$5:$A$486))),""))</f>
        <v>206519</v>
      </c>
      <c r="E18" s="4">
        <v>206519</v>
      </c>
      <c r="F18" s="2">
        <f t="shared" si="3"/>
        <v>0</v>
      </c>
      <c r="G18" s="4" t="s">
        <v>14</v>
      </c>
      <c r="H18" s="4">
        <v>28.402999999999999</v>
      </c>
      <c r="I18" s="5">
        <v>27</v>
      </c>
      <c r="J18" s="6">
        <f t="shared" si="1"/>
        <v>766.88099999999997</v>
      </c>
      <c r="K18" s="7">
        <f t="shared" si="2"/>
        <v>0</v>
      </c>
    </row>
    <row r="19" spans="1:11" hidden="1" x14ac:dyDescent="0.3">
      <c r="A19" s="2">
        <f t="shared" si="0"/>
        <v>15</v>
      </c>
      <c r="B19" s="3">
        <v>46240</v>
      </c>
      <c r="C19" s="4" t="s">
        <v>44</v>
      </c>
      <c r="D19" s="9">
        <f>IF(C19="","",IFERROR(INDEX($E$5:$E$486,SUMPRODUCT(MAX(($C$5:$C$486=C19)*($A$5:$A$486&lt;A19)*$A$5:$A$486))),""))</f>
        <v>275208</v>
      </c>
      <c r="E19" s="4">
        <v>275514</v>
      </c>
      <c r="F19" s="2">
        <f t="shared" si="3"/>
        <v>306</v>
      </c>
      <c r="G19" s="4" t="s">
        <v>14</v>
      </c>
      <c r="H19" s="4">
        <v>48.448999999999998</v>
      </c>
      <c r="I19" s="5">
        <v>27</v>
      </c>
      <c r="J19" s="6">
        <f t="shared" si="1"/>
        <v>1308.123</v>
      </c>
      <c r="K19" s="7">
        <f t="shared" si="2"/>
        <v>6.3159198332266921</v>
      </c>
    </row>
    <row r="20" spans="1:11" hidden="1" x14ac:dyDescent="0.3">
      <c r="A20" s="2">
        <f t="shared" si="0"/>
        <v>16</v>
      </c>
      <c r="B20" s="3">
        <v>46240</v>
      </c>
      <c r="C20" s="4" t="s">
        <v>58</v>
      </c>
      <c r="D20" s="9">
        <f>IF(C20="","",IFERROR(INDEX($E$5:$E$486,SUMPRODUCT(MAX(($C$5:$C$486=C20)*($A$5:$A$486&lt;A20)*$A$5:$A$486))),""))</f>
        <v>175127</v>
      </c>
      <c r="E20" s="4">
        <v>175357</v>
      </c>
      <c r="F20" s="2">
        <f t="shared" si="3"/>
        <v>230</v>
      </c>
      <c r="G20" s="4" t="s">
        <v>13</v>
      </c>
      <c r="H20" s="4">
        <v>37.261000000000003</v>
      </c>
      <c r="I20" s="5">
        <v>23.98</v>
      </c>
      <c r="J20" s="6">
        <f t="shared" si="1"/>
        <v>893.51878000000011</v>
      </c>
      <c r="K20" s="7">
        <f t="shared" si="2"/>
        <v>6.1726738412817683</v>
      </c>
    </row>
    <row r="21" spans="1:11" hidden="1" x14ac:dyDescent="0.3">
      <c r="A21" s="2">
        <f t="shared" si="0"/>
        <v>17</v>
      </c>
      <c r="B21" s="3">
        <v>46240</v>
      </c>
      <c r="C21" s="4" t="s">
        <v>63</v>
      </c>
      <c r="D21" s="9">
        <f>IF(C21="","",IFERROR(INDEX($E$5:$E$486,SUMPRODUCT(MAX(($C$5:$C$486=C21)*($A$5:$A$486&lt;A21)*$A$5:$A$486))),""))</f>
        <v>0</v>
      </c>
      <c r="E21" s="4"/>
      <c r="F21" s="2">
        <f t="shared" si="3"/>
        <v>0</v>
      </c>
      <c r="G21" s="4" t="s">
        <v>13</v>
      </c>
      <c r="H21" s="4">
        <v>3</v>
      </c>
      <c r="I21" s="5">
        <v>23.98</v>
      </c>
      <c r="J21" s="6">
        <f t="shared" si="1"/>
        <v>71.94</v>
      </c>
      <c r="K21" s="7">
        <f t="shared" si="2"/>
        <v>0</v>
      </c>
    </row>
    <row r="22" spans="1:11" hidden="1" x14ac:dyDescent="0.3">
      <c r="A22" s="2">
        <f t="shared" si="0"/>
        <v>18</v>
      </c>
      <c r="B22" s="3">
        <v>46241</v>
      </c>
      <c r="C22" s="4" t="s">
        <v>32</v>
      </c>
      <c r="D22" s="9">
        <f>IF(C22="","",IFERROR(INDEX($E$5:$E$486,SUMPRODUCT(MAX(($C$5:$C$486=C22)*($A$5:$A$486&lt;A22)*$A$5:$A$486))),""))</f>
        <v>530546</v>
      </c>
      <c r="E22" s="4">
        <v>530546</v>
      </c>
      <c r="F22" s="2">
        <f t="shared" si="3"/>
        <v>0</v>
      </c>
      <c r="G22" s="4" t="s">
        <v>13</v>
      </c>
      <c r="H22" s="4">
        <v>25.143000000000001</v>
      </c>
      <c r="I22" s="5">
        <v>23.98</v>
      </c>
      <c r="J22" s="6">
        <f t="shared" si="1"/>
        <v>602.92914000000007</v>
      </c>
      <c r="K22" s="7">
        <f t="shared" si="2"/>
        <v>0</v>
      </c>
    </row>
    <row r="23" spans="1:11" hidden="1" x14ac:dyDescent="0.3">
      <c r="A23" s="2">
        <f t="shared" si="0"/>
        <v>19</v>
      </c>
      <c r="B23" s="3">
        <v>46241</v>
      </c>
      <c r="C23" s="4" t="s">
        <v>40</v>
      </c>
      <c r="D23" s="9">
        <f>IF(C23="","",IFERROR(INDEX($E$5:$E$486,SUMPRODUCT(MAX(($C$5:$C$486=C23)*($A$5:$A$486&lt;A23)*$A$5:$A$486))),""))</f>
        <v>213702</v>
      </c>
      <c r="E23" s="4">
        <v>214087</v>
      </c>
      <c r="F23" s="2">
        <f t="shared" si="3"/>
        <v>385</v>
      </c>
      <c r="G23" s="4" t="s">
        <v>14</v>
      </c>
      <c r="H23" s="4">
        <v>56.947000000000003</v>
      </c>
      <c r="I23" s="5">
        <v>27</v>
      </c>
      <c r="J23" s="6">
        <f t="shared" si="1"/>
        <v>1537.569</v>
      </c>
      <c r="K23" s="7">
        <f t="shared" si="2"/>
        <v>6.760672203979138</v>
      </c>
    </row>
    <row r="24" spans="1:11" hidden="1" x14ac:dyDescent="0.3">
      <c r="A24" s="2">
        <f t="shared" si="0"/>
        <v>20</v>
      </c>
      <c r="B24" s="3">
        <v>46241</v>
      </c>
      <c r="C24" s="4" t="s">
        <v>41</v>
      </c>
      <c r="D24" s="9">
        <f>IF(C24="","",IFERROR(INDEX($E$5:$E$486,SUMPRODUCT(MAX(($C$5:$C$486=C24)*($A$5:$A$486&lt;A24)*$A$5:$A$486))),""))</f>
        <v>183057</v>
      </c>
      <c r="E24" s="4">
        <v>183057</v>
      </c>
      <c r="F24" s="2">
        <f t="shared" si="3"/>
        <v>0</v>
      </c>
      <c r="G24" s="4" t="s">
        <v>14</v>
      </c>
      <c r="H24" s="4">
        <v>58.140999999999998</v>
      </c>
      <c r="I24" s="5">
        <v>27</v>
      </c>
      <c r="J24" s="6">
        <f t="shared" si="1"/>
        <v>1569.807</v>
      </c>
      <c r="K24" s="7">
        <f t="shared" si="2"/>
        <v>0</v>
      </c>
    </row>
    <row r="25" spans="1:11" hidden="1" x14ac:dyDescent="0.3">
      <c r="A25" s="2">
        <f t="shared" si="0"/>
        <v>21</v>
      </c>
      <c r="B25" s="3">
        <v>46241</v>
      </c>
      <c r="C25" s="4" t="s">
        <v>45</v>
      </c>
      <c r="D25" s="9">
        <f>IF(C25="","",IFERROR(INDEX($E$5:$E$486,SUMPRODUCT(MAX(($C$5:$C$486=C25)*($A$5:$A$486&lt;A25)*$A$5:$A$486))),""))</f>
        <v>205992</v>
      </c>
      <c r="E25" s="4">
        <v>205992</v>
      </c>
      <c r="F25" s="2">
        <f t="shared" si="3"/>
        <v>0</v>
      </c>
      <c r="G25" s="4" t="s">
        <v>14</v>
      </c>
      <c r="H25" s="4">
        <v>55.234999999999999</v>
      </c>
      <c r="I25" s="5">
        <v>27</v>
      </c>
      <c r="J25" s="6">
        <f t="shared" si="1"/>
        <v>1491.345</v>
      </c>
      <c r="K25" s="7">
        <f t="shared" si="2"/>
        <v>0</v>
      </c>
    </row>
    <row r="26" spans="1:11" hidden="1" x14ac:dyDescent="0.3">
      <c r="A26" s="2">
        <f t="shared" si="0"/>
        <v>22</v>
      </c>
      <c r="B26" s="3">
        <v>46241</v>
      </c>
      <c r="C26" s="4" t="s">
        <v>51</v>
      </c>
      <c r="D26" s="9">
        <f>IF(C26="","",IFERROR(INDEX($E$5:$E$486,SUMPRODUCT(MAX(($C$5:$C$486=C26)*($A$5:$A$486&lt;A26)*$A$5:$A$486))),""))</f>
        <v>309157</v>
      </c>
      <c r="E26" s="4">
        <v>309157</v>
      </c>
      <c r="F26" s="2">
        <f t="shared" si="3"/>
        <v>0</v>
      </c>
      <c r="G26" s="4" t="s">
        <v>13</v>
      </c>
      <c r="H26" s="4">
        <v>64.489999999999995</v>
      </c>
      <c r="I26" s="5">
        <v>23.98</v>
      </c>
      <c r="J26" s="6">
        <f t="shared" si="1"/>
        <v>1546.4702</v>
      </c>
      <c r="K26" s="7">
        <f t="shared" si="2"/>
        <v>0</v>
      </c>
    </row>
    <row r="27" spans="1:11" hidden="1" x14ac:dyDescent="0.3">
      <c r="A27" s="2">
        <f t="shared" si="0"/>
        <v>23</v>
      </c>
      <c r="B27" s="3">
        <v>46241</v>
      </c>
      <c r="C27" s="4" t="s">
        <v>54</v>
      </c>
      <c r="D27" s="9">
        <f>IF(C27="","",IFERROR(INDEX($E$5:$E$486,SUMPRODUCT(MAX(($C$5:$C$486=C27)*($A$5:$A$486&lt;A27)*$A$5:$A$486))),""))</f>
        <v>248349</v>
      </c>
      <c r="E27" s="4">
        <v>248743</v>
      </c>
      <c r="F27" s="2">
        <f t="shared" si="3"/>
        <v>394</v>
      </c>
      <c r="G27" s="4" t="s">
        <v>13</v>
      </c>
      <c r="H27" s="4">
        <v>60.216999999999999</v>
      </c>
      <c r="I27" s="5">
        <v>28.98</v>
      </c>
      <c r="J27" s="6">
        <f t="shared" si="1"/>
        <v>1745.0886599999999</v>
      </c>
      <c r="K27" s="7">
        <f t="shared" si="2"/>
        <v>6.5430028065164327</v>
      </c>
    </row>
    <row r="28" spans="1:11" hidden="1" x14ac:dyDescent="0.3">
      <c r="A28" s="2">
        <f t="shared" si="0"/>
        <v>24</v>
      </c>
      <c r="B28" s="3">
        <v>46241</v>
      </c>
      <c r="C28" s="4" t="s">
        <v>58</v>
      </c>
      <c r="D28" s="9">
        <f>IF(C28="","",IFERROR(INDEX($E$5:$E$486,SUMPRODUCT(MAX(($C$5:$C$486=C28)*($A$5:$A$486&lt;A28)*$A$5:$A$486))),""))</f>
        <v>175357</v>
      </c>
      <c r="E28" s="4">
        <v>175565</v>
      </c>
      <c r="F28" s="2">
        <f t="shared" si="3"/>
        <v>208</v>
      </c>
      <c r="G28" s="4" t="s">
        <v>13</v>
      </c>
      <c r="H28" s="4">
        <v>31.936</v>
      </c>
      <c r="I28" s="5">
        <v>28.98</v>
      </c>
      <c r="J28" s="6">
        <f t="shared" si="1"/>
        <v>925.50527999999997</v>
      </c>
      <c r="K28" s="7">
        <f t="shared" si="2"/>
        <v>6.513026052104208</v>
      </c>
    </row>
    <row r="29" spans="1:11" hidden="1" x14ac:dyDescent="0.3">
      <c r="A29" s="2">
        <f t="shared" si="0"/>
        <v>25</v>
      </c>
      <c r="B29" s="3">
        <v>46241</v>
      </c>
      <c r="C29" s="4" t="s">
        <v>60</v>
      </c>
      <c r="D29" s="9">
        <f>IF(C29="","",IFERROR(INDEX($E$5:$E$486,SUMPRODUCT(MAX(($C$5:$C$486=C29)*($A$5:$A$486&lt;A29)*$A$5:$A$486))),""))</f>
        <v>4509</v>
      </c>
      <c r="E29" s="4">
        <v>4509</v>
      </c>
      <c r="F29" s="2">
        <f t="shared" si="3"/>
        <v>0</v>
      </c>
      <c r="G29" s="4" t="s">
        <v>13</v>
      </c>
      <c r="H29" s="4">
        <v>39.204999999999998</v>
      </c>
      <c r="I29" s="5">
        <v>23.98</v>
      </c>
      <c r="J29" s="6">
        <f t="shared" si="1"/>
        <v>940.13589999999999</v>
      </c>
      <c r="K29" s="7">
        <f t="shared" si="2"/>
        <v>0</v>
      </c>
    </row>
    <row r="30" spans="1:11" hidden="1" x14ac:dyDescent="0.3">
      <c r="A30" s="2">
        <f t="shared" si="0"/>
        <v>26</v>
      </c>
      <c r="B30" s="3">
        <v>46241</v>
      </c>
      <c r="C30" s="4" t="s">
        <v>49</v>
      </c>
      <c r="D30" s="9">
        <f>IF(C30="","",IFERROR(INDEX($E$5:$E$486,SUMPRODUCT(MAX(($C$5:$C$486=C30)*($A$5:$A$486&lt;A30)*$A$5:$A$486))),""))</f>
        <v>305660</v>
      </c>
      <c r="E30" s="4">
        <v>306015</v>
      </c>
      <c r="F30" s="2">
        <f t="shared" si="3"/>
        <v>355</v>
      </c>
      <c r="G30" s="4" t="s">
        <v>13</v>
      </c>
      <c r="H30" s="4">
        <v>42.497</v>
      </c>
      <c r="I30" s="5">
        <v>23.98</v>
      </c>
      <c r="J30" s="6">
        <f t="shared" si="1"/>
        <v>1019.0780600000001</v>
      </c>
      <c r="K30" s="7">
        <f t="shared" si="2"/>
        <v>8.3535308374708794</v>
      </c>
    </row>
    <row r="31" spans="1:11" hidden="1" x14ac:dyDescent="0.3">
      <c r="A31" s="2">
        <f t="shared" si="0"/>
        <v>27</v>
      </c>
      <c r="B31" s="3">
        <v>46244</v>
      </c>
      <c r="C31" s="4" t="s">
        <v>41</v>
      </c>
      <c r="D31" s="9">
        <f>IF(C31="","",IFERROR(INDEX($E$5:$E$486,SUMPRODUCT(MAX(($C$5:$C$486=C31)*($A$5:$A$486&lt;A31)*$A$5:$A$486))),""))</f>
        <v>183057</v>
      </c>
      <c r="E31" s="4">
        <v>183316</v>
      </c>
      <c r="F31" s="2">
        <f t="shared" si="3"/>
        <v>259</v>
      </c>
      <c r="G31" s="4" t="s">
        <v>14</v>
      </c>
      <c r="H31" s="4">
        <v>41.954999999999998</v>
      </c>
      <c r="I31" s="5">
        <v>27</v>
      </c>
      <c r="J31" s="6">
        <f t="shared" si="1"/>
        <v>1132.7849999999999</v>
      </c>
      <c r="K31" s="7">
        <f t="shared" si="2"/>
        <v>6.1732808961983077</v>
      </c>
    </row>
    <row r="32" spans="1:11" hidden="1" x14ac:dyDescent="0.3">
      <c r="A32" s="2">
        <f t="shared" si="0"/>
        <v>28</v>
      </c>
      <c r="B32" s="3">
        <v>46244</v>
      </c>
      <c r="C32" s="4" t="s">
        <v>42</v>
      </c>
      <c r="D32" s="9">
        <f>IF(C32="","",IFERROR(INDEX($E$5:$E$486,SUMPRODUCT(MAX(($C$5:$C$486=C32)*($A$5:$A$486&lt;A32)*$A$5:$A$486))),""))</f>
        <v>206519</v>
      </c>
      <c r="E32" s="4">
        <v>206699</v>
      </c>
      <c r="F32" s="2">
        <f t="shared" si="3"/>
        <v>180</v>
      </c>
      <c r="G32" s="4" t="s">
        <v>14</v>
      </c>
      <c r="H32" s="4">
        <v>33.938000000000002</v>
      </c>
      <c r="I32" s="5">
        <v>27</v>
      </c>
      <c r="J32" s="6">
        <f t="shared" si="1"/>
        <v>916.32600000000002</v>
      </c>
      <c r="K32" s="7">
        <f t="shared" si="2"/>
        <v>5.3037892627732921</v>
      </c>
    </row>
    <row r="33" spans="1:11" hidden="1" x14ac:dyDescent="0.3">
      <c r="A33" s="2">
        <f t="shared" si="0"/>
        <v>29</v>
      </c>
      <c r="B33" s="3">
        <v>46244</v>
      </c>
      <c r="C33" s="4" t="s">
        <v>44</v>
      </c>
      <c r="D33" s="9">
        <f>IF(C33="","",IFERROR(INDEX($E$5:$E$486,SUMPRODUCT(MAX(($C$5:$C$486=C33)*($A$5:$A$486&lt;A33)*$A$5:$A$486))),""))</f>
        <v>275514</v>
      </c>
      <c r="E33" s="4">
        <v>275697</v>
      </c>
      <c r="F33" s="2">
        <f t="shared" si="3"/>
        <v>183</v>
      </c>
      <c r="G33" s="4" t="s">
        <v>14</v>
      </c>
      <c r="H33" s="4">
        <v>31.164999999999999</v>
      </c>
      <c r="I33" s="5">
        <v>27</v>
      </c>
      <c r="J33" s="6">
        <f t="shared" si="1"/>
        <v>841.45499999999993</v>
      </c>
      <c r="K33" s="7">
        <f t="shared" si="2"/>
        <v>5.8719717631958934</v>
      </c>
    </row>
    <row r="34" spans="1:11" hidden="1" x14ac:dyDescent="0.3">
      <c r="A34" s="2">
        <f t="shared" si="0"/>
        <v>30</v>
      </c>
      <c r="B34" s="3">
        <v>46244</v>
      </c>
      <c r="C34" s="4" t="s">
        <v>47</v>
      </c>
      <c r="D34" s="9">
        <f>IF(C34="","",IFERROR(INDEX($E$5:$E$486,SUMPRODUCT(MAX(($C$5:$C$486=C34)*($A$5:$A$486&lt;A34)*$A$5:$A$486))),""))</f>
        <v>111444</v>
      </c>
      <c r="E34" s="4">
        <v>111662</v>
      </c>
      <c r="F34" s="2">
        <f t="shared" si="3"/>
        <v>218</v>
      </c>
      <c r="G34" s="4" t="s">
        <v>13</v>
      </c>
      <c r="H34" s="4">
        <v>77.436000000000007</v>
      </c>
      <c r="I34" s="5">
        <v>23.98096</v>
      </c>
      <c r="J34" s="6">
        <f t="shared" si="1"/>
        <v>1856.9896185600001</v>
      </c>
      <c r="K34" s="7">
        <f t="shared" si="2"/>
        <v>2.8152280593005834</v>
      </c>
    </row>
    <row r="35" spans="1:11" hidden="1" x14ac:dyDescent="0.3">
      <c r="A35" s="2">
        <f t="shared" si="0"/>
        <v>31</v>
      </c>
      <c r="B35" s="3">
        <v>46244</v>
      </c>
      <c r="C35" s="4" t="s">
        <v>52</v>
      </c>
      <c r="D35" s="9">
        <f>IF(C35="","",IFERROR(INDEX($E$5:$E$486,SUMPRODUCT(MAX(($C$5:$C$486=C35)*($A$5:$A$486&lt;A35)*$A$5:$A$486))),""))</f>
        <v>219512</v>
      </c>
      <c r="E35" s="4">
        <v>219512</v>
      </c>
      <c r="F35" s="2">
        <f t="shared" si="3"/>
        <v>0</v>
      </c>
      <c r="G35" s="4" t="s">
        <v>13</v>
      </c>
      <c r="H35" s="4">
        <v>71.135999999999996</v>
      </c>
      <c r="I35" s="5">
        <v>23.98</v>
      </c>
      <c r="J35" s="6">
        <f t="shared" si="1"/>
        <v>1705.8412799999999</v>
      </c>
      <c r="K35" s="7">
        <f t="shared" si="2"/>
        <v>0</v>
      </c>
    </row>
    <row r="36" spans="1:11" hidden="1" x14ac:dyDescent="0.3">
      <c r="A36" s="2">
        <f t="shared" si="0"/>
        <v>32</v>
      </c>
      <c r="B36" s="3">
        <v>46244</v>
      </c>
      <c r="C36" s="4" t="s">
        <v>56</v>
      </c>
      <c r="D36" s="9">
        <f>IF(C36="","",IFERROR(INDEX($E$5:$E$486,SUMPRODUCT(MAX(($C$5:$C$486=C36)*($A$5:$A$486&lt;A36)*$A$5:$A$486))),""))</f>
        <v>292537</v>
      </c>
      <c r="E36" s="4">
        <v>292537</v>
      </c>
      <c r="F36" s="2">
        <f t="shared" si="3"/>
        <v>0</v>
      </c>
      <c r="G36" s="4" t="s">
        <v>13</v>
      </c>
      <c r="H36" s="4">
        <v>41.627000000000002</v>
      </c>
      <c r="I36" s="5">
        <v>23.98</v>
      </c>
      <c r="J36" s="6">
        <f t="shared" si="1"/>
        <v>998.21546000000012</v>
      </c>
      <c r="K36" s="7">
        <f t="shared" si="2"/>
        <v>0</v>
      </c>
    </row>
    <row r="37" spans="1:11" hidden="1" x14ac:dyDescent="0.3">
      <c r="A37" s="2">
        <f t="shared" si="0"/>
        <v>33</v>
      </c>
      <c r="B37" s="3">
        <v>46244</v>
      </c>
      <c r="C37" s="4" t="s">
        <v>57</v>
      </c>
      <c r="D37" s="9">
        <f>IF(C37="","",IFERROR(INDEX($E$5:$E$486,SUMPRODUCT(MAX(($C$5:$C$486=C37)*($A$5:$A$486&lt;A37)*$A$5:$A$486))),""))</f>
        <v>268947</v>
      </c>
      <c r="E37" s="4">
        <v>269257</v>
      </c>
      <c r="F37" s="2">
        <f t="shared" si="3"/>
        <v>310</v>
      </c>
      <c r="G37" s="4" t="s">
        <v>13</v>
      </c>
      <c r="H37" s="4">
        <v>37.262999999999998</v>
      </c>
      <c r="I37" s="5">
        <v>23.98</v>
      </c>
      <c r="J37" s="6">
        <f t="shared" si="1"/>
        <v>893.56673999999998</v>
      </c>
      <c r="K37" s="7">
        <f t="shared" si="2"/>
        <v>8.3192442905831534</v>
      </c>
    </row>
    <row r="38" spans="1:11" hidden="1" x14ac:dyDescent="0.3">
      <c r="A38" s="2">
        <f t="shared" si="0"/>
        <v>34</v>
      </c>
      <c r="B38" s="3">
        <v>46244</v>
      </c>
      <c r="C38" s="4" t="s">
        <v>58</v>
      </c>
      <c r="D38" s="9">
        <f>IF(C38="","",IFERROR(INDEX($E$5:$E$486,SUMPRODUCT(MAX(($C$5:$C$486=C38)*($A$5:$A$486&lt;A38)*$A$5:$A$486))),""))</f>
        <v>175565</v>
      </c>
      <c r="E38" s="4">
        <v>175783</v>
      </c>
      <c r="F38" s="2">
        <f t="shared" si="3"/>
        <v>218</v>
      </c>
      <c r="G38" s="4" t="s">
        <v>13</v>
      </c>
      <c r="H38" s="4">
        <v>32.908999999999999</v>
      </c>
      <c r="I38" s="5">
        <v>23.98</v>
      </c>
      <c r="J38" s="6">
        <f t="shared" si="1"/>
        <v>789.15782000000002</v>
      </c>
      <c r="K38" s="7">
        <f t="shared" si="2"/>
        <v>6.6243276915129599</v>
      </c>
    </row>
    <row r="39" spans="1:11" hidden="1" x14ac:dyDescent="0.3">
      <c r="A39" s="2">
        <f t="shared" si="0"/>
        <v>35</v>
      </c>
      <c r="B39" s="3">
        <v>46244</v>
      </c>
      <c r="C39" s="4" t="s">
        <v>62</v>
      </c>
      <c r="D39" s="9">
        <f>IF(C39="","",IFERROR(INDEX($E$5:$E$486,SUMPRODUCT(MAX(($C$5:$C$486=C39)*($A$5:$A$486&lt;A39)*$A$5:$A$486))),""))</f>
        <v>3538</v>
      </c>
      <c r="E39" s="4">
        <v>3587</v>
      </c>
      <c r="F39" s="2">
        <f t="shared" si="3"/>
        <v>49</v>
      </c>
      <c r="G39" s="4" t="s">
        <v>14</v>
      </c>
      <c r="H39" s="4">
        <v>18.527999999999999</v>
      </c>
      <c r="I39" s="5">
        <v>27</v>
      </c>
      <c r="J39" s="6">
        <f t="shared" si="1"/>
        <v>500.25599999999997</v>
      </c>
      <c r="K39" s="7">
        <f t="shared" si="2"/>
        <v>2.6446459412780658</v>
      </c>
    </row>
    <row r="40" spans="1:11" hidden="1" x14ac:dyDescent="0.3">
      <c r="A40" s="2">
        <f t="shared" si="0"/>
        <v>36</v>
      </c>
      <c r="B40" s="3">
        <v>46245</v>
      </c>
      <c r="C40" s="4" t="s">
        <v>51</v>
      </c>
      <c r="D40" s="9">
        <f>IF(C40="","",IFERROR(INDEX($E$5:$E$486,SUMPRODUCT(MAX(($C$5:$C$486=C40)*($A$5:$A$486&lt;A40)*$A$5:$A$486))),""))</f>
        <v>309157</v>
      </c>
      <c r="E40" s="4">
        <v>309352</v>
      </c>
      <c r="F40" s="2">
        <f t="shared" si="3"/>
        <v>195</v>
      </c>
      <c r="G40" s="4" t="s">
        <v>13</v>
      </c>
      <c r="H40" s="4">
        <v>32.33</v>
      </c>
      <c r="I40" s="5">
        <v>23.98</v>
      </c>
      <c r="J40" s="6">
        <f t="shared" si="1"/>
        <v>775.27339999999992</v>
      </c>
      <c r="K40" s="7">
        <f t="shared" si="2"/>
        <v>6.0315496442932268</v>
      </c>
    </row>
    <row r="41" spans="1:11" hidden="1" x14ac:dyDescent="0.3">
      <c r="A41" s="2">
        <f t="shared" si="0"/>
        <v>37</v>
      </c>
      <c r="B41" s="3">
        <v>46245</v>
      </c>
      <c r="C41" s="4" t="s">
        <v>54</v>
      </c>
      <c r="D41" s="9">
        <f>IF(C41="","",IFERROR(INDEX($E$5:$E$486,SUMPRODUCT(MAX(($C$5:$C$486=C41)*($A$5:$A$486&lt;A41)*$A$5:$A$486))),""))</f>
        <v>248743</v>
      </c>
      <c r="E41" s="4">
        <v>249055</v>
      </c>
      <c r="F41" s="2">
        <f t="shared" si="3"/>
        <v>312</v>
      </c>
      <c r="G41" s="4" t="s">
        <v>13</v>
      </c>
      <c r="H41" s="4">
        <v>45.256</v>
      </c>
      <c r="I41" s="5">
        <v>23.98</v>
      </c>
      <c r="J41" s="6">
        <f t="shared" si="1"/>
        <v>1085.2388800000001</v>
      </c>
      <c r="K41" s="7">
        <f t="shared" si="2"/>
        <v>6.8941134877143364</v>
      </c>
    </row>
    <row r="42" spans="1:11" hidden="1" x14ac:dyDescent="0.3">
      <c r="A42" s="2">
        <f t="shared" si="0"/>
        <v>38</v>
      </c>
      <c r="B42" s="3">
        <v>46245</v>
      </c>
      <c r="C42" s="4" t="s">
        <v>58</v>
      </c>
      <c r="D42" s="9">
        <f>IF(C42="","",IFERROR(INDEX($E$5:$E$486,SUMPRODUCT(MAX(($C$5:$C$486=C42)*($A$5:$A$486&lt;A42)*$A$5:$A$486))),""))</f>
        <v>175783</v>
      </c>
      <c r="E42" s="4">
        <v>176000</v>
      </c>
      <c r="F42" s="2">
        <f t="shared" si="3"/>
        <v>217</v>
      </c>
      <c r="G42" s="4" t="s">
        <v>13</v>
      </c>
      <c r="H42" s="4">
        <v>32.42</v>
      </c>
      <c r="I42" s="5">
        <v>23.98</v>
      </c>
      <c r="J42" s="6">
        <f t="shared" si="1"/>
        <v>777.4316</v>
      </c>
      <c r="K42" s="7">
        <f t="shared" si="2"/>
        <v>6.6933991363355947</v>
      </c>
    </row>
    <row r="43" spans="1:11" hidden="1" x14ac:dyDescent="0.3">
      <c r="A43" s="2">
        <f t="shared" si="0"/>
        <v>39</v>
      </c>
      <c r="B43" s="3">
        <v>46245</v>
      </c>
      <c r="C43" s="4" t="s">
        <v>61</v>
      </c>
      <c r="D43" s="9">
        <f>IF(C43="","",IFERROR(INDEX($E$5:$E$486,SUMPRODUCT(MAX(($C$5:$C$486=C43)*($A$5:$A$486&lt;A43)*$A$5:$A$486))),""))</f>
        <v>1142</v>
      </c>
      <c r="E43" s="4">
        <v>1142</v>
      </c>
      <c r="F43" s="2">
        <f t="shared" si="3"/>
        <v>0</v>
      </c>
      <c r="G43" s="4" t="s">
        <v>14</v>
      </c>
      <c r="H43" s="4">
        <v>41.33</v>
      </c>
      <c r="I43" s="5">
        <v>27</v>
      </c>
      <c r="J43" s="6">
        <f t="shared" si="1"/>
        <v>1115.9099999999999</v>
      </c>
      <c r="K43" s="7">
        <f t="shared" si="2"/>
        <v>0</v>
      </c>
    </row>
    <row r="44" spans="1:11" hidden="1" x14ac:dyDescent="0.3">
      <c r="A44" s="2">
        <f t="shared" si="0"/>
        <v>40</v>
      </c>
      <c r="B44" s="3">
        <v>46245</v>
      </c>
      <c r="C44" s="4" t="s">
        <v>63</v>
      </c>
      <c r="D44" s="9">
        <f>IF(C44="","",IFERROR(INDEX($E$5:$E$486,SUMPRODUCT(MAX(($C$5:$C$486=C44)*($A$5:$A$486&lt;A44)*$A$5:$A$486))),""))</f>
        <v>0</v>
      </c>
      <c r="E44" s="4"/>
      <c r="F44" s="2">
        <f t="shared" si="3"/>
        <v>0</v>
      </c>
      <c r="G44" s="4" t="s">
        <v>13</v>
      </c>
      <c r="H44" s="4">
        <v>4</v>
      </c>
      <c r="I44" s="5">
        <v>23.98</v>
      </c>
      <c r="J44" s="6">
        <f t="shared" si="1"/>
        <v>95.92</v>
      </c>
      <c r="K44" s="7">
        <f t="shared" si="2"/>
        <v>0</v>
      </c>
    </row>
    <row r="45" spans="1:11" hidden="1" x14ac:dyDescent="0.3">
      <c r="A45" s="2">
        <f t="shared" si="0"/>
        <v>41</v>
      </c>
      <c r="B45" s="3">
        <v>46246</v>
      </c>
      <c r="C45" s="4" t="s">
        <v>58</v>
      </c>
      <c r="D45" s="9">
        <f>IF(C45="","",IFERROR(INDEX($E$5:$E$486,SUMPRODUCT(MAX(($C$5:$C$486=C45)*($A$5:$A$486&lt;A45)*$A$5:$A$486))),""))</f>
        <v>176000</v>
      </c>
      <c r="E45" s="4">
        <v>176217</v>
      </c>
      <c r="F45" s="2">
        <f t="shared" si="3"/>
        <v>217</v>
      </c>
      <c r="G45" s="4" t="s">
        <v>13</v>
      </c>
      <c r="H45" s="4">
        <v>30.815000000000001</v>
      </c>
      <c r="I45" s="5">
        <v>23.98</v>
      </c>
      <c r="J45" s="6">
        <f t="shared" si="1"/>
        <v>738.94370000000004</v>
      </c>
      <c r="K45" s="7">
        <f t="shared" si="2"/>
        <v>7.0420249878306018</v>
      </c>
    </row>
    <row r="46" spans="1:11" hidden="1" x14ac:dyDescent="0.3">
      <c r="A46" s="2">
        <f t="shared" si="0"/>
        <v>42</v>
      </c>
      <c r="B46" s="3">
        <v>46247</v>
      </c>
      <c r="C46" s="4" t="s">
        <v>34</v>
      </c>
      <c r="D46" s="9">
        <f>IF(C46="","",IFERROR(INDEX($E$5:$E$486,SUMPRODUCT(MAX(($C$5:$C$486=C46)*($A$5:$A$486&lt;A46)*$A$5:$A$486))),""))</f>
        <v>170451</v>
      </c>
      <c r="E46" s="4">
        <v>170787</v>
      </c>
      <c r="F46" s="2">
        <f t="shared" si="3"/>
        <v>336</v>
      </c>
      <c r="G46" s="4" t="s">
        <v>14</v>
      </c>
      <c r="H46" s="4">
        <v>122.003</v>
      </c>
      <c r="I46" s="5">
        <v>27</v>
      </c>
      <c r="J46" s="6">
        <f t="shared" si="1"/>
        <v>3294.0810000000001</v>
      </c>
      <c r="K46" s="7">
        <f t="shared" si="2"/>
        <v>2.7540306385908542</v>
      </c>
    </row>
    <row r="47" spans="1:11" hidden="1" x14ac:dyDescent="0.3">
      <c r="A47" s="2">
        <f t="shared" si="0"/>
        <v>43</v>
      </c>
      <c r="B47" s="3">
        <v>46247</v>
      </c>
      <c r="C47" s="4" t="s">
        <v>41</v>
      </c>
      <c r="D47" s="9">
        <f>IF(C47="","",IFERROR(INDEX($E$5:$E$486,SUMPRODUCT(MAX(($C$5:$C$486=C47)*($A$5:$A$486&lt;A47)*$A$5:$A$486))),""))</f>
        <v>183316</v>
      </c>
      <c r="E47" s="4">
        <v>183600</v>
      </c>
      <c r="F47" s="2">
        <f t="shared" si="3"/>
        <v>284</v>
      </c>
      <c r="G47" s="4" t="s">
        <v>14</v>
      </c>
      <c r="H47" s="4">
        <v>50.948999999999998</v>
      </c>
      <c r="I47" s="5">
        <v>27</v>
      </c>
      <c r="J47" s="6">
        <f t="shared" si="1"/>
        <v>1375.623</v>
      </c>
      <c r="K47" s="7">
        <f t="shared" si="2"/>
        <v>5.5742016526330254</v>
      </c>
    </row>
    <row r="48" spans="1:11" hidden="1" x14ac:dyDescent="0.3">
      <c r="A48" s="2">
        <f t="shared" si="0"/>
        <v>44</v>
      </c>
      <c r="B48" s="3">
        <v>46247</v>
      </c>
      <c r="C48" s="4" t="s">
        <v>58</v>
      </c>
      <c r="D48" s="9">
        <f>IF(C48="","",IFERROR(INDEX($E$5:$E$486,SUMPRODUCT(MAX(($C$5:$C$486=C48)*($A$5:$A$486&lt;A48)*$A$5:$A$486))),""))</f>
        <v>176217</v>
      </c>
      <c r="E48" s="4">
        <v>176416</v>
      </c>
      <c r="F48" s="2">
        <f t="shared" si="3"/>
        <v>199</v>
      </c>
      <c r="G48" s="4" t="s">
        <v>13</v>
      </c>
      <c r="H48" s="4">
        <v>29.061</v>
      </c>
      <c r="I48" s="5">
        <v>23.98</v>
      </c>
      <c r="J48" s="6">
        <f t="shared" si="1"/>
        <v>696.88278000000003</v>
      </c>
      <c r="K48" s="7">
        <f t="shared" si="2"/>
        <v>6.8476652558411617</v>
      </c>
    </row>
    <row r="49" spans="1:11" hidden="1" x14ac:dyDescent="0.3">
      <c r="A49" s="2">
        <f t="shared" si="0"/>
        <v>45</v>
      </c>
      <c r="B49" s="3">
        <v>46247</v>
      </c>
      <c r="C49" s="4" t="s">
        <v>57</v>
      </c>
      <c r="D49" s="9">
        <f>IF(C49="","",IFERROR(INDEX($E$5:$E$486,SUMPRODUCT(MAX(($C$5:$C$486=C49)*($A$5:$A$486&lt;A49)*$A$5:$A$486))),""))</f>
        <v>269257</v>
      </c>
      <c r="E49" s="4">
        <v>269602</v>
      </c>
      <c r="F49" s="2">
        <f t="shared" si="3"/>
        <v>345</v>
      </c>
      <c r="G49" s="4" t="s">
        <v>13</v>
      </c>
      <c r="H49" s="4">
        <v>39.67</v>
      </c>
      <c r="I49" s="5">
        <v>23.98</v>
      </c>
      <c r="J49" s="6">
        <f t="shared" si="1"/>
        <v>951.28660000000002</v>
      </c>
      <c r="K49" s="7">
        <f t="shared" si="2"/>
        <v>8.6967481724224847</v>
      </c>
    </row>
    <row r="50" spans="1:11" hidden="1" x14ac:dyDescent="0.3">
      <c r="A50" s="2">
        <f t="shared" si="0"/>
        <v>46</v>
      </c>
      <c r="B50" s="3">
        <v>46247</v>
      </c>
      <c r="C50" s="4" t="s">
        <v>64</v>
      </c>
      <c r="D50" s="9">
        <f>IF(C50="","",IFERROR(INDEX($E$5:$E$486,SUMPRODUCT(MAX(($C$5:$C$486=C50)*($A$5:$A$486&lt;A50)*$A$5:$A$486))),""))</f>
        <v>0</v>
      </c>
      <c r="E50" s="4"/>
      <c r="F50" s="2">
        <f t="shared" si="3"/>
        <v>0</v>
      </c>
      <c r="G50" s="4" t="s">
        <v>13</v>
      </c>
      <c r="H50" s="4">
        <v>3</v>
      </c>
      <c r="I50" s="5">
        <v>23.98</v>
      </c>
      <c r="J50" s="6">
        <f t="shared" si="1"/>
        <v>71.94</v>
      </c>
      <c r="K50" s="7">
        <f t="shared" si="2"/>
        <v>0</v>
      </c>
    </row>
    <row r="51" spans="1:11" hidden="1" x14ac:dyDescent="0.3">
      <c r="A51" s="2">
        <f t="shared" si="0"/>
        <v>47</v>
      </c>
      <c r="B51" s="3">
        <v>46248</v>
      </c>
      <c r="C51" s="4" t="s">
        <v>42</v>
      </c>
      <c r="D51" s="9">
        <f>IF(C51="","",IFERROR(INDEX($E$5:$E$486,SUMPRODUCT(MAX(($C$5:$C$486=C51)*($A$5:$A$486&lt;A51)*$A$5:$A$486))),""))</f>
        <v>206699</v>
      </c>
      <c r="E51" s="4">
        <v>206846</v>
      </c>
      <c r="F51" s="2">
        <f t="shared" si="3"/>
        <v>147</v>
      </c>
      <c r="G51" s="4" t="s">
        <v>14</v>
      </c>
      <c r="H51" s="4">
        <v>35.962000000000003</v>
      </c>
      <c r="I51" s="5">
        <v>27</v>
      </c>
      <c r="J51" s="6">
        <f t="shared" si="1"/>
        <v>970.97400000000005</v>
      </c>
      <c r="K51" s="7">
        <f t="shared" si="2"/>
        <v>4.0876480729659077</v>
      </c>
    </row>
    <row r="52" spans="1:11" hidden="1" x14ac:dyDescent="0.3">
      <c r="A52" s="2">
        <f t="shared" si="0"/>
        <v>48</v>
      </c>
      <c r="B52" s="3">
        <v>46248</v>
      </c>
      <c r="C52" s="4" t="s">
        <v>43</v>
      </c>
      <c r="D52" s="9">
        <f>IF(C52="","",IFERROR(INDEX($E$5:$E$486,SUMPRODUCT(MAX(($C$5:$C$486=C52)*($A$5:$A$486&lt;A52)*$A$5:$A$486))),""))</f>
        <v>230369</v>
      </c>
      <c r="E52" s="4">
        <v>230369</v>
      </c>
      <c r="F52" s="2">
        <f t="shared" si="3"/>
        <v>0</v>
      </c>
      <c r="G52" s="4" t="s">
        <v>14</v>
      </c>
      <c r="H52" s="4">
        <v>46.610999999999997</v>
      </c>
      <c r="I52" s="5">
        <v>27</v>
      </c>
      <c r="J52" s="6">
        <f t="shared" si="1"/>
        <v>1258.4969999999998</v>
      </c>
      <c r="K52" s="7">
        <f t="shared" si="2"/>
        <v>0</v>
      </c>
    </row>
    <row r="53" spans="1:11" hidden="1" x14ac:dyDescent="0.3">
      <c r="A53" s="2">
        <f t="shared" si="0"/>
        <v>49</v>
      </c>
      <c r="B53" s="3">
        <v>46248</v>
      </c>
      <c r="C53" s="4" t="s">
        <v>51</v>
      </c>
      <c r="D53" s="9">
        <f>IF(C53="","",IFERROR(INDEX($E$5:$E$486,SUMPRODUCT(MAX(($C$5:$C$486=C53)*($A$5:$A$486&lt;A53)*$A$5:$A$486))),""))</f>
        <v>309352</v>
      </c>
      <c r="E53" s="4">
        <v>309636</v>
      </c>
      <c r="F53" s="2">
        <f t="shared" si="3"/>
        <v>284</v>
      </c>
      <c r="G53" s="4" t="s">
        <v>13</v>
      </c>
      <c r="H53" s="4">
        <v>50.359000000000002</v>
      </c>
      <c r="I53" s="5">
        <v>23.98</v>
      </c>
      <c r="J53" s="6">
        <f t="shared" si="1"/>
        <v>1207.6088200000002</v>
      </c>
      <c r="K53" s="7">
        <f t="shared" si="2"/>
        <v>5.6395083301892415</v>
      </c>
    </row>
    <row r="54" spans="1:11" hidden="1" x14ac:dyDescent="0.3">
      <c r="A54" s="2">
        <f t="shared" si="0"/>
        <v>50</v>
      </c>
      <c r="B54" s="3">
        <v>46248</v>
      </c>
      <c r="C54" s="4" t="s">
        <v>54</v>
      </c>
      <c r="D54" s="9">
        <f>IF(C54="","",IFERROR(INDEX($E$5:$E$486,SUMPRODUCT(MAX(($C$5:$C$486=C54)*($A$5:$A$486&lt;A54)*$A$5:$A$486))),""))</f>
        <v>249055</v>
      </c>
      <c r="E54" s="4">
        <v>249485</v>
      </c>
      <c r="F54" s="2">
        <f t="shared" si="3"/>
        <v>430</v>
      </c>
      <c r="G54" s="4" t="s">
        <v>13</v>
      </c>
      <c r="H54" s="4">
        <v>65.897999999999996</v>
      </c>
      <c r="I54" s="5">
        <v>23.98</v>
      </c>
      <c r="J54" s="6">
        <f t="shared" si="1"/>
        <v>1580.2340399999998</v>
      </c>
      <c r="K54" s="7">
        <f t="shared" si="2"/>
        <v>6.5252359707426635</v>
      </c>
    </row>
    <row r="55" spans="1:11" hidden="1" x14ac:dyDescent="0.3">
      <c r="A55" s="2">
        <f t="shared" si="0"/>
        <v>51</v>
      </c>
      <c r="B55" s="3">
        <v>46248</v>
      </c>
      <c r="C55" s="4" t="s">
        <v>55</v>
      </c>
      <c r="D55" s="9">
        <f>IF(C55="","",IFERROR(INDEX($E$5:$E$486,SUMPRODUCT(MAX(($C$5:$C$486=C55)*($A$5:$A$486&lt;A55)*$A$5:$A$486))),""))</f>
        <v>217381</v>
      </c>
      <c r="E55" s="4">
        <v>217381</v>
      </c>
      <c r="F55" s="2">
        <f t="shared" si="3"/>
        <v>0</v>
      </c>
      <c r="G55" s="4" t="s">
        <v>13</v>
      </c>
      <c r="H55" s="4">
        <v>42.276000000000003</v>
      </c>
      <c r="I55" s="5">
        <v>23.98</v>
      </c>
      <c r="J55" s="6">
        <f t="shared" si="1"/>
        <v>1013.7784800000001</v>
      </c>
      <c r="K55" s="7">
        <f t="shared" si="2"/>
        <v>0</v>
      </c>
    </row>
    <row r="56" spans="1:11" hidden="1" x14ac:dyDescent="0.3">
      <c r="A56" s="2">
        <f t="shared" si="0"/>
        <v>52</v>
      </c>
      <c r="B56" s="3">
        <v>46248</v>
      </c>
      <c r="C56" s="4" t="s">
        <v>58</v>
      </c>
      <c r="D56" s="9">
        <f>IF(C56="","",IFERROR(INDEX($E$5:$E$486,SUMPRODUCT(MAX(($C$5:$C$486=C56)*($A$5:$A$486&lt;A56)*$A$5:$A$486))),""))</f>
        <v>176416</v>
      </c>
      <c r="E56" s="4">
        <v>176613</v>
      </c>
      <c r="F56" s="2">
        <f t="shared" si="3"/>
        <v>197</v>
      </c>
      <c r="G56" s="4" t="s">
        <v>13</v>
      </c>
      <c r="H56" s="4">
        <v>28.484000000000002</v>
      </c>
      <c r="I56" s="5">
        <v>23.98</v>
      </c>
      <c r="J56" s="6">
        <f t="shared" si="1"/>
        <v>683.04632000000004</v>
      </c>
      <c r="K56" s="7">
        <f t="shared" si="2"/>
        <v>6.9161634601881756</v>
      </c>
    </row>
    <row r="57" spans="1:11" hidden="1" x14ac:dyDescent="0.3">
      <c r="A57" s="2">
        <f t="shared" si="0"/>
        <v>53</v>
      </c>
      <c r="B57" s="3">
        <v>46248</v>
      </c>
      <c r="C57" s="4" t="s">
        <v>61</v>
      </c>
      <c r="D57" s="9">
        <f>IF(C57="","",IFERROR(INDEX($E$5:$E$486,SUMPRODUCT(MAX(($C$5:$C$486=C57)*($A$5:$A$486&lt;A57)*$A$5:$A$486))),""))</f>
        <v>1142</v>
      </c>
      <c r="E57" s="4">
        <v>1633</v>
      </c>
      <c r="F57" s="2">
        <f t="shared" si="3"/>
        <v>491</v>
      </c>
      <c r="G57" s="4" t="s">
        <v>14</v>
      </c>
      <c r="H57" s="4">
        <v>43.58</v>
      </c>
      <c r="I57" s="5">
        <v>27</v>
      </c>
      <c r="J57" s="6">
        <f t="shared" si="1"/>
        <v>1176.6599999999999</v>
      </c>
      <c r="K57" s="7">
        <f t="shared" si="2"/>
        <v>11.266636071592474</v>
      </c>
    </row>
    <row r="58" spans="1:11" hidden="1" x14ac:dyDescent="0.3">
      <c r="A58" s="2">
        <f t="shared" si="0"/>
        <v>54</v>
      </c>
      <c r="B58" s="3">
        <v>46248</v>
      </c>
      <c r="C58" s="4" t="s">
        <v>64</v>
      </c>
      <c r="D58" s="9">
        <f>IF(C58="","",IFERROR(INDEX($E$5:$E$486,SUMPRODUCT(MAX(($C$5:$C$486=C58)*($A$5:$A$486&lt;A58)*$A$5:$A$486))),""))</f>
        <v>0</v>
      </c>
      <c r="E58" s="4"/>
      <c r="F58" s="2">
        <f t="shared" si="3"/>
        <v>0</v>
      </c>
      <c r="G58" s="4" t="s">
        <v>13</v>
      </c>
      <c r="H58" s="4">
        <v>3</v>
      </c>
      <c r="I58" s="5">
        <v>23.98</v>
      </c>
      <c r="J58" s="6">
        <f t="shared" si="1"/>
        <v>71.94</v>
      </c>
      <c r="K58" s="7">
        <f t="shared" si="2"/>
        <v>0</v>
      </c>
    </row>
    <row r="59" spans="1:11" hidden="1" x14ac:dyDescent="0.3">
      <c r="A59" s="2">
        <f t="shared" si="0"/>
        <v>55</v>
      </c>
      <c r="B59" s="3">
        <v>46248</v>
      </c>
      <c r="C59" s="4" t="s">
        <v>64</v>
      </c>
      <c r="D59" s="9">
        <f>IF(C59="","",IFERROR(INDEX($E$5:$E$486,SUMPRODUCT(MAX(($C$5:$C$486=C59)*($A$5:$A$486&lt;A59)*$A$5:$A$486))),""))</f>
        <v>0</v>
      </c>
      <c r="E59" s="4"/>
      <c r="F59" s="2">
        <f t="shared" si="3"/>
        <v>0</v>
      </c>
      <c r="G59" s="4" t="s">
        <v>13</v>
      </c>
      <c r="H59" s="4">
        <v>5</v>
      </c>
      <c r="I59" s="5">
        <v>23.98</v>
      </c>
      <c r="J59" s="6">
        <f t="shared" si="1"/>
        <v>119.9</v>
      </c>
      <c r="K59" s="7">
        <f t="shared" si="2"/>
        <v>0</v>
      </c>
    </row>
    <row r="60" spans="1:11" hidden="1" x14ac:dyDescent="0.3">
      <c r="A60" s="2">
        <f t="shared" si="0"/>
        <v>56</v>
      </c>
      <c r="B60" s="3">
        <v>46248</v>
      </c>
      <c r="C60" s="4" t="s">
        <v>64</v>
      </c>
      <c r="D60" s="9">
        <f>IF(C60="","",IFERROR(INDEX($E$5:$E$486,SUMPRODUCT(MAX(($C$5:$C$486=C60)*($A$5:$A$486&lt;A60)*$A$5:$A$486))),""))</f>
        <v>0</v>
      </c>
      <c r="E60" s="4"/>
      <c r="F60" s="2">
        <f t="shared" si="3"/>
        <v>0</v>
      </c>
      <c r="G60" s="4" t="s">
        <v>13</v>
      </c>
      <c r="H60" s="4">
        <v>3.9420000000000002</v>
      </c>
      <c r="I60" s="5">
        <v>27</v>
      </c>
      <c r="J60" s="6">
        <f t="shared" si="1"/>
        <v>106.434</v>
      </c>
      <c r="K60" s="7">
        <f t="shared" si="2"/>
        <v>0</v>
      </c>
    </row>
    <row r="61" spans="1:11" hidden="1" x14ac:dyDescent="0.3">
      <c r="A61" s="2">
        <f t="shared" si="0"/>
        <v>57</v>
      </c>
      <c r="B61" s="3">
        <v>46251</v>
      </c>
      <c r="C61" s="4" t="s">
        <v>31</v>
      </c>
      <c r="D61" s="9">
        <f>IF(C61="","",IFERROR(INDEX($E$5:$E$486,SUMPRODUCT(MAX(($C$5:$C$486=C61)*($A$5:$A$486&lt;A61)*$A$5:$A$486))),""))</f>
        <v>121095</v>
      </c>
      <c r="E61" s="4">
        <v>121095</v>
      </c>
      <c r="F61" s="2">
        <f t="shared" si="3"/>
        <v>0</v>
      </c>
      <c r="G61" s="4" t="s">
        <v>14</v>
      </c>
      <c r="H61" s="4">
        <v>113.28400000000001</v>
      </c>
      <c r="I61" s="5">
        <v>27</v>
      </c>
      <c r="J61" s="6">
        <f t="shared" si="1"/>
        <v>3058.6680000000001</v>
      </c>
      <c r="K61" s="7">
        <f t="shared" si="2"/>
        <v>0</v>
      </c>
    </row>
    <row r="62" spans="1:11" hidden="1" x14ac:dyDescent="0.3">
      <c r="A62" s="2">
        <f t="shared" si="0"/>
        <v>58</v>
      </c>
      <c r="B62" s="3">
        <v>46251</v>
      </c>
      <c r="C62" s="4" t="s">
        <v>39</v>
      </c>
      <c r="D62" s="9">
        <f>IF(C62="","",IFERROR(INDEX($E$5:$E$486,SUMPRODUCT(MAX(($C$5:$C$486=C62)*($A$5:$A$486&lt;A62)*$A$5:$A$486))),""))</f>
        <v>205752</v>
      </c>
      <c r="E62" s="4">
        <v>206147</v>
      </c>
      <c r="F62" s="2">
        <f t="shared" si="3"/>
        <v>395</v>
      </c>
      <c r="G62" s="4" t="s">
        <v>14</v>
      </c>
      <c r="H62" s="4">
        <v>54.293999999999997</v>
      </c>
      <c r="I62" s="5">
        <v>27</v>
      </c>
      <c r="J62" s="6">
        <f t="shared" si="1"/>
        <v>1465.9379999999999</v>
      </c>
      <c r="K62" s="7">
        <f t="shared" si="2"/>
        <v>7.2752053633919038</v>
      </c>
    </row>
    <row r="63" spans="1:11" hidden="1" x14ac:dyDescent="0.3">
      <c r="A63" s="2">
        <f t="shared" si="0"/>
        <v>59</v>
      </c>
      <c r="B63" s="3">
        <v>46251</v>
      </c>
      <c r="C63" s="4" t="s">
        <v>43</v>
      </c>
      <c r="D63" s="9">
        <f>IF(C63="","",IFERROR(INDEX($E$5:$E$486,SUMPRODUCT(MAX(($C$5:$C$486=C63)*($A$5:$A$486&lt;A63)*$A$5:$A$486))),""))</f>
        <v>230369</v>
      </c>
      <c r="E63" s="4">
        <v>230682</v>
      </c>
      <c r="F63" s="2">
        <f t="shared" si="3"/>
        <v>313</v>
      </c>
      <c r="G63" s="4" t="s">
        <v>14</v>
      </c>
      <c r="H63" s="4">
        <v>39.402000000000001</v>
      </c>
      <c r="I63" s="5">
        <v>27</v>
      </c>
      <c r="J63" s="6">
        <f t="shared" si="1"/>
        <v>1063.854</v>
      </c>
      <c r="K63" s="7">
        <f t="shared" si="2"/>
        <v>7.9437592000406072</v>
      </c>
    </row>
    <row r="64" spans="1:11" hidden="1" x14ac:dyDescent="0.3">
      <c r="A64" s="2">
        <f t="shared" si="0"/>
        <v>60</v>
      </c>
      <c r="B64" s="3">
        <v>46251</v>
      </c>
      <c r="C64" s="4" t="s">
        <v>44</v>
      </c>
      <c r="D64" s="9">
        <f>IF(C64="","",IFERROR(INDEX($E$5:$E$486,SUMPRODUCT(MAX(($C$5:$C$486=C64)*($A$5:$A$486&lt;A64)*$A$5:$A$486))),""))</f>
        <v>275697</v>
      </c>
      <c r="E64" s="4">
        <v>275904</v>
      </c>
      <c r="F64" s="2">
        <f t="shared" si="3"/>
        <v>207</v>
      </c>
      <c r="G64" s="4" t="s">
        <v>14</v>
      </c>
      <c r="H64" s="4">
        <v>49.975000000000001</v>
      </c>
      <c r="I64" s="5">
        <v>27</v>
      </c>
      <c r="J64" s="6">
        <f t="shared" si="1"/>
        <v>1349.325</v>
      </c>
      <c r="K64" s="7">
        <f t="shared" si="2"/>
        <v>4.142071035517759</v>
      </c>
    </row>
    <row r="65" spans="1:11" hidden="1" x14ac:dyDescent="0.3">
      <c r="A65" s="2">
        <f t="shared" si="0"/>
        <v>61</v>
      </c>
      <c r="B65" s="3">
        <v>46251</v>
      </c>
      <c r="C65" s="4" t="s">
        <v>45</v>
      </c>
      <c r="D65" s="9">
        <f>IF(C65="","",IFERROR(INDEX($E$5:$E$486,SUMPRODUCT(MAX(($C$5:$C$486=C65)*($A$5:$A$486&lt;A65)*$A$5:$A$486))),""))</f>
        <v>205992</v>
      </c>
      <c r="E65" s="4">
        <v>206319</v>
      </c>
      <c r="F65" s="2">
        <f t="shared" si="3"/>
        <v>327</v>
      </c>
      <c r="G65" s="4" t="s">
        <v>14</v>
      </c>
      <c r="H65" s="4">
        <v>51.319000000000003</v>
      </c>
      <c r="I65" s="5">
        <v>27</v>
      </c>
      <c r="J65" s="6">
        <f t="shared" si="1"/>
        <v>1385.6130000000001</v>
      </c>
      <c r="K65" s="7">
        <f t="shared" si="2"/>
        <v>6.3719090395370133</v>
      </c>
    </row>
    <row r="66" spans="1:11" hidden="1" x14ac:dyDescent="0.3">
      <c r="A66" s="2">
        <f t="shared" si="0"/>
        <v>62</v>
      </c>
      <c r="B66" s="3">
        <v>46251</v>
      </c>
      <c r="C66" s="4" t="s">
        <v>47</v>
      </c>
      <c r="D66" s="9">
        <f>IF(C66="","",IFERROR(INDEX($E$5:$E$486,SUMPRODUCT(MAX(($C$5:$C$486=C66)*($A$5:$A$486&lt;A66)*$A$5:$A$486))),""))</f>
        <v>111662</v>
      </c>
      <c r="E66" s="4">
        <v>111879</v>
      </c>
      <c r="F66" s="2">
        <f t="shared" si="3"/>
        <v>217</v>
      </c>
      <c r="G66" s="4" t="s">
        <v>14</v>
      </c>
      <c r="H66" s="4">
        <v>80.376999999999995</v>
      </c>
      <c r="I66" s="5">
        <v>23.98</v>
      </c>
      <c r="J66" s="6">
        <f t="shared" si="1"/>
        <v>1927.44046</v>
      </c>
      <c r="K66" s="7">
        <f t="shared" si="2"/>
        <v>2.6997772994762186</v>
      </c>
    </row>
    <row r="67" spans="1:11" hidden="1" x14ac:dyDescent="0.3">
      <c r="A67" s="2">
        <f t="shared" si="0"/>
        <v>63</v>
      </c>
      <c r="B67" s="3">
        <v>46251</v>
      </c>
      <c r="C67" s="4" t="s">
        <v>58</v>
      </c>
      <c r="D67" s="9">
        <f>IF(C67="","",IFERROR(INDEX($E$5:$E$486,SUMPRODUCT(MAX(($C$5:$C$486=C67)*($A$5:$A$486&lt;A67)*$A$5:$A$486))),""))</f>
        <v>176613</v>
      </c>
      <c r="E67" s="4">
        <v>176940</v>
      </c>
      <c r="F67" s="2">
        <f t="shared" si="3"/>
        <v>327</v>
      </c>
      <c r="G67" s="4" t="s">
        <v>13</v>
      </c>
      <c r="H67" s="4">
        <v>36.743000000000002</v>
      </c>
      <c r="I67" s="5">
        <v>23.98</v>
      </c>
      <c r="J67" s="6">
        <f t="shared" si="1"/>
        <v>881.09714000000008</v>
      </c>
      <c r="K67" s="7">
        <f t="shared" si="2"/>
        <v>8.8996543559317409</v>
      </c>
    </row>
    <row r="68" spans="1:11" hidden="1" x14ac:dyDescent="0.3">
      <c r="A68" s="2">
        <f t="shared" si="0"/>
        <v>64</v>
      </c>
      <c r="B68" s="3">
        <v>46251</v>
      </c>
      <c r="C68" s="4" t="s">
        <v>62</v>
      </c>
      <c r="D68" s="9">
        <f>IF(C68="","",IFERROR(INDEX($E$5:$E$486,SUMPRODUCT(MAX(($C$5:$C$486=C68)*($A$5:$A$486&lt;A68)*$A$5:$A$486))),""))</f>
        <v>3587</v>
      </c>
      <c r="E68" s="4">
        <v>3574</v>
      </c>
      <c r="F68" s="2">
        <f t="shared" si="3"/>
        <v>-13</v>
      </c>
      <c r="G68" s="4" t="s">
        <v>14</v>
      </c>
      <c r="H68" s="4">
        <v>15.744</v>
      </c>
      <c r="I68" s="5">
        <v>27</v>
      </c>
      <c r="J68" s="6">
        <f t="shared" si="1"/>
        <v>425.08799999999997</v>
      </c>
      <c r="K68" s="7">
        <f t="shared" si="2"/>
        <v>-0.82571138211382111</v>
      </c>
    </row>
    <row r="69" spans="1:11" hidden="1" x14ac:dyDescent="0.3">
      <c r="A69" s="2">
        <f t="shared" ref="A69:A132" si="4">ROW()-4</f>
        <v>65</v>
      </c>
      <c r="B69" s="3">
        <v>46252</v>
      </c>
      <c r="C69" s="4" t="s">
        <v>42</v>
      </c>
      <c r="D69" s="9">
        <f>IF(C69="","",IFERROR(INDEX($E$5:$E$486,SUMPRODUCT(MAX(($C$5:$C$486=C69)*($A$5:$A$486&lt;A69)*$A$5:$A$486))),""))</f>
        <v>206846</v>
      </c>
      <c r="E69" s="4">
        <v>206996</v>
      </c>
      <c r="F69" s="2">
        <f t="shared" ref="F69:F132" si="5">IFERROR(E69-D69,0)</f>
        <v>150</v>
      </c>
      <c r="G69" s="4" t="s">
        <v>14</v>
      </c>
      <c r="H69" s="4">
        <v>33.331000000000003</v>
      </c>
      <c r="I69" s="5">
        <v>27</v>
      </c>
      <c r="J69" s="6">
        <f t="shared" ref="J69:J132" si="6">H69*I69</f>
        <v>899.93700000000013</v>
      </c>
      <c r="K69" s="7">
        <f t="shared" ref="K69:K132" si="7">IFERROR(F69/H69,0)</f>
        <v>4.5003150220515433</v>
      </c>
    </row>
    <row r="70" spans="1:11" hidden="1" x14ac:dyDescent="0.3">
      <c r="A70" s="2">
        <f t="shared" si="4"/>
        <v>66</v>
      </c>
      <c r="B70" s="3">
        <v>46252</v>
      </c>
      <c r="C70" s="4" t="s">
        <v>46</v>
      </c>
      <c r="D70" s="9">
        <f>IF(C70="","",IFERROR(INDEX($E$5:$E$486,SUMPRODUCT(MAX(($C$5:$C$486=C70)*($A$5:$A$486&lt;A70)*$A$5:$A$486))),""))</f>
        <v>200867</v>
      </c>
      <c r="E70" s="4">
        <v>200867</v>
      </c>
      <c r="F70" s="2">
        <f t="shared" si="5"/>
        <v>0</v>
      </c>
      <c r="G70" s="4" t="s">
        <v>14</v>
      </c>
      <c r="H70" s="4">
        <v>48.58</v>
      </c>
      <c r="I70" s="5">
        <v>27</v>
      </c>
      <c r="J70" s="6">
        <f t="shared" si="6"/>
        <v>1311.6599999999999</v>
      </c>
      <c r="K70" s="7">
        <f t="shared" si="7"/>
        <v>0</v>
      </c>
    </row>
    <row r="71" spans="1:11" hidden="1" x14ac:dyDescent="0.3">
      <c r="A71" s="2">
        <f t="shared" si="4"/>
        <v>67</v>
      </c>
      <c r="B71" s="3">
        <v>46252</v>
      </c>
      <c r="C71" s="4" t="s">
        <v>54</v>
      </c>
      <c r="D71" s="9">
        <f>IF(C71="","",IFERROR(INDEX($E$5:$E$486,SUMPRODUCT(MAX(($C$5:$C$486=C71)*($A$5:$A$486&lt;A71)*$A$5:$A$486))),""))</f>
        <v>249485</v>
      </c>
      <c r="E71" s="4">
        <v>249767</v>
      </c>
      <c r="F71" s="2">
        <f t="shared" si="5"/>
        <v>282</v>
      </c>
      <c r="G71" s="4" t="s">
        <v>13</v>
      </c>
      <c r="H71" s="4">
        <v>37.585999999999999</v>
      </c>
      <c r="I71" s="5">
        <v>23.98</v>
      </c>
      <c r="J71" s="6">
        <f t="shared" si="6"/>
        <v>901.31227999999999</v>
      </c>
      <c r="K71" s="7">
        <f t="shared" si="7"/>
        <v>7.5027935933592298</v>
      </c>
    </row>
    <row r="72" spans="1:11" hidden="1" x14ac:dyDescent="0.3">
      <c r="A72" s="2">
        <f t="shared" si="4"/>
        <v>68</v>
      </c>
      <c r="B72" s="3">
        <v>46252</v>
      </c>
      <c r="C72" s="4" t="s">
        <v>57</v>
      </c>
      <c r="D72" s="9">
        <f>IF(C72="","",IFERROR(INDEX($E$5:$E$486,SUMPRODUCT(MAX(($C$5:$C$486=C72)*($A$5:$A$486&lt;A72)*$A$5:$A$486))),""))</f>
        <v>269602</v>
      </c>
      <c r="E72" s="4">
        <v>269905</v>
      </c>
      <c r="F72" s="2">
        <f t="shared" si="5"/>
        <v>303</v>
      </c>
      <c r="G72" s="4" t="s">
        <v>13</v>
      </c>
      <c r="H72" s="4">
        <v>35.792999999999999</v>
      </c>
      <c r="I72" s="5">
        <v>23.98</v>
      </c>
      <c r="J72" s="6">
        <f t="shared" si="6"/>
        <v>858.31614000000002</v>
      </c>
      <c r="K72" s="7">
        <f t="shared" si="7"/>
        <v>8.4653423853826162</v>
      </c>
    </row>
    <row r="73" spans="1:11" hidden="1" x14ac:dyDescent="0.3">
      <c r="A73" s="2">
        <f t="shared" si="4"/>
        <v>69</v>
      </c>
      <c r="B73" s="3">
        <v>46252</v>
      </c>
      <c r="C73" s="4" t="s">
        <v>58</v>
      </c>
      <c r="D73" s="9">
        <f>IF(C73="","",IFERROR(INDEX($E$5:$E$486,SUMPRODUCT(MAX(($C$5:$C$486=C73)*($A$5:$A$486&lt;A73)*$A$5:$A$486))),""))</f>
        <v>176940</v>
      </c>
      <c r="E73" s="4">
        <v>177065</v>
      </c>
      <c r="F73" s="2">
        <f t="shared" si="5"/>
        <v>125</v>
      </c>
      <c r="G73" s="4" t="s">
        <v>13</v>
      </c>
      <c r="H73" s="4">
        <v>34.755000000000003</v>
      </c>
      <c r="I73" s="5">
        <v>23.98</v>
      </c>
      <c r="J73" s="6">
        <f t="shared" si="6"/>
        <v>833.42490000000009</v>
      </c>
      <c r="K73" s="7">
        <f t="shared" si="7"/>
        <v>3.5966048050640191</v>
      </c>
    </row>
    <row r="74" spans="1:11" hidden="1" x14ac:dyDescent="0.3">
      <c r="A74" s="2">
        <f t="shared" si="4"/>
        <v>70</v>
      </c>
      <c r="B74" s="3">
        <v>46253</v>
      </c>
      <c r="C74" s="4" t="s">
        <v>56</v>
      </c>
      <c r="D74" s="9">
        <f>IF(C74="","",IFERROR(INDEX($E$5:$E$486,SUMPRODUCT(MAX(($C$5:$C$486=C74)*($A$5:$A$486&lt;A74)*$A$5:$A$486))),""))</f>
        <v>292537</v>
      </c>
      <c r="E74" s="4">
        <v>292867</v>
      </c>
      <c r="F74" s="2">
        <f t="shared" si="5"/>
        <v>330</v>
      </c>
      <c r="G74" s="4" t="s">
        <v>13</v>
      </c>
      <c r="H74" s="4">
        <v>39.584000000000003</v>
      </c>
      <c r="I74" s="5">
        <v>23.98</v>
      </c>
      <c r="J74" s="6">
        <f t="shared" si="6"/>
        <v>949.22432000000015</v>
      </c>
      <c r="K74" s="7">
        <f t="shared" si="7"/>
        <v>8.3367016976556183</v>
      </c>
    </row>
    <row r="75" spans="1:11" hidden="1" x14ac:dyDescent="0.3">
      <c r="A75" s="2">
        <f t="shared" si="4"/>
        <v>71</v>
      </c>
      <c r="B75" s="3">
        <v>46253</v>
      </c>
      <c r="C75" s="4" t="s">
        <v>58</v>
      </c>
      <c r="D75" s="9">
        <f>IF(C75="","",IFERROR(INDEX($E$5:$E$486,SUMPRODUCT(MAX(($C$5:$C$486=C75)*($A$5:$A$486&lt;A75)*$A$5:$A$486))),""))</f>
        <v>177065</v>
      </c>
      <c r="E75" s="4">
        <v>177290</v>
      </c>
      <c r="F75" s="2">
        <f t="shared" si="5"/>
        <v>225</v>
      </c>
      <c r="G75" s="4" t="s">
        <v>13</v>
      </c>
      <c r="H75" s="4">
        <v>32.704999999999998</v>
      </c>
      <c r="I75" s="5">
        <v>23.98</v>
      </c>
      <c r="J75" s="6">
        <f t="shared" si="6"/>
        <v>784.26589999999999</v>
      </c>
      <c r="K75" s="7">
        <f t="shared" si="7"/>
        <v>6.8796820058095092</v>
      </c>
    </row>
    <row r="76" spans="1:11" hidden="1" x14ac:dyDescent="0.3">
      <c r="A76" s="2">
        <f t="shared" si="4"/>
        <v>72</v>
      </c>
      <c r="B76" s="3">
        <v>46253</v>
      </c>
      <c r="C76" s="4" t="s">
        <v>61</v>
      </c>
      <c r="D76" s="9">
        <f>IF(C76="","",IFERROR(INDEX($E$5:$E$486,SUMPRODUCT(MAX(($C$5:$C$486=C76)*($A$5:$A$486&lt;A76)*$A$5:$A$486))),""))</f>
        <v>1633</v>
      </c>
      <c r="E76" s="4">
        <v>2141</v>
      </c>
      <c r="F76" s="2">
        <f t="shared" si="5"/>
        <v>508</v>
      </c>
      <c r="G76" s="4" t="s">
        <v>14</v>
      </c>
      <c r="H76" s="4">
        <v>41.728000000000002</v>
      </c>
      <c r="I76" s="5">
        <v>27</v>
      </c>
      <c r="J76" s="6">
        <f t="shared" si="6"/>
        <v>1126.6559999999999</v>
      </c>
      <c r="K76" s="7">
        <f t="shared" si="7"/>
        <v>12.174079754601227</v>
      </c>
    </row>
    <row r="77" spans="1:11" hidden="1" x14ac:dyDescent="0.3">
      <c r="A77" s="2">
        <f t="shared" si="4"/>
        <v>73</v>
      </c>
      <c r="B77" s="3">
        <v>46254</v>
      </c>
      <c r="C77" s="4" t="s">
        <v>44</v>
      </c>
      <c r="D77" s="9">
        <f>IF(C77="","",IFERROR(INDEX($E$5:$E$486,SUMPRODUCT(MAX(($C$5:$C$486=C77)*($A$5:$A$486&lt;A77)*$A$5:$A$486))),""))</f>
        <v>275904</v>
      </c>
      <c r="E77" s="4">
        <v>276250</v>
      </c>
      <c r="F77" s="2">
        <f t="shared" si="5"/>
        <v>346</v>
      </c>
      <c r="G77" s="4" t="s">
        <v>14</v>
      </c>
      <c r="H77" s="4">
        <v>52.720999999999997</v>
      </c>
      <c r="I77" s="5">
        <v>27</v>
      </c>
      <c r="J77" s="6">
        <f t="shared" si="6"/>
        <v>1423.4669999999999</v>
      </c>
      <c r="K77" s="7">
        <f t="shared" si="7"/>
        <v>6.5628497183285601</v>
      </c>
    </row>
    <row r="78" spans="1:11" hidden="1" x14ac:dyDescent="0.3">
      <c r="A78" s="2">
        <f t="shared" si="4"/>
        <v>74</v>
      </c>
      <c r="B78" s="3">
        <v>46254</v>
      </c>
      <c r="C78" s="4" t="s">
        <v>51</v>
      </c>
      <c r="D78" s="9">
        <f>IF(C78="","",IFERROR(INDEX($E$5:$E$486,SUMPRODUCT(MAX(($C$5:$C$486=C78)*($A$5:$A$486&lt;A78)*$A$5:$A$486))),""))</f>
        <v>309636</v>
      </c>
      <c r="E78" s="4">
        <v>309866</v>
      </c>
      <c r="F78" s="2">
        <f t="shared" si="5"/>
        <v>230</v>
      </c>
      <c r="G78" s="4" t="s">
        <v>13</v>
      </c>
      <c r="H78" s="4">
        <v>40.365000000000002</v>
      </c>
      <c r="I78" s="5">
        <v>23.98</v>
      </c>
      <c r="J78" s="6">
        <f t="shared" si="6"/>
        <v>967.95270000000005</v>
      </c>
      <c r="K78" s="7">
        <f t="shared" si="7"/>
        <v>5.6980056980056979</v>
      </c>
    </row>
    <row r="79" spans="1:11" hidden="1" x14ac:dyDescent="0.3">
      <c r="A79" s="2">
        <f t="shared" si="4"/>
        <v>75</v>
      </c>
      <c r="B79" s="3">
        <v>46254</v>
      </c>
      <c r="C79" s="4" t="s">
        <v>52</v>
      </c>
      <c r="D79" s="9">
        <f>IF(C79="","",IFERROR(INDEX($E$5:$E$486,SUMPRODUCT(MAX(($C$5:$C$486=C79)*($A$5:$A$486&lt;A79)*$A$5:$A$486))),""))</f>
        <v>219512</v>
      </c>
      <c r="E79" s="4">
        <v>219828</v>
      </c>
      <c r="F79" s="2">
        <f t="shared" si="5"/>
        <v>316</v>
      </c>
      <c r="G79" s="4" t="s">
        <v>13</v>
      </c>
      <c r="H79" s="4">
        <v>41.445</v>
      </c>
      <c r="I79" s="5">
        <v>23.98</v>
      </c>
      <c r="J79" s="6">
        <f t="shared" si="6"/>
        <v>993.85109999999997</v>
      </c>
      <c r="K79" s="7">
        <f t="shared" si="7"/>
        <v>7.6245626734226084</v>
      </c>
    </row>
    <row r="80" spans="1:11" hidden="1" x14ac:dyDescent="0.3">
      <c r="A80" s="2">
        <f t="shared" si="4"/>
        <v>76</v>
      </c>
      <c r="B80" s="3">
        <v>46254</v>
      </c>
      <c r="C80" s="4" t="s">
        <v>55</v>
      </c>
      <c r="D80" s="9">
        <f>IF(C80="","",IFERROR(INDEX($E$5:$E$486,SUMPRODUCT(MAX(($C$5:$C$486=C80)*($A$5:$A$486&lt;A80)*$A$5:$A$486))),""))</f>
        <v>217381</v>
      </c>
      <c r="E80" s="4">
        <v>217596</v>
      </c>
      <c r="F80" s="2">
        <f t="shared" si="5"/>
        <v>215</v>
      </c>
      <c r="G80" s="4" t="s">
        <v>13</v>
      </c>
      <c r="H80" s="4">
        <v>35.701999999999998</v>
      </c>
      <c r="I80" s="5">
        <v>23.98</v>
      </c>
      <c r="J80" s="6">
        <f t="shared" si="6"/>
        <v>856.13396</v>
      </c>
      <c r="K80" s="7">
        <f t="shared" si="7"/>
        <v>6.0220715926278645</v>
      </c>
    </row>
    <row r="81" spans="1:11" hidden="1" x14ac:dyDescent="0.3">
      <c r="A81" s="2">
        <f t="shared" si="4"/>
        <v>77</v>
      </c>
      <c r="B81" s="3">
        <v>46254</v>
      </c>
      <c r="C81" s="4" t="s">
        <v>58</v>
      </c>
      <c r="D81" s="9">
        <f>IF(C81="","",IFERROR(INDEX($E$5:$E$486,SUMPRODUCT(MAX(($C$5:$C$486=C81)*($A$5:$A$486&lt;A81)*$A$5:$A$486))),""))</f>
        <v>177290</v>
      </c>
      <c r="E81" s="4">
        <v>177498</v>
      </c>
      <c r="F81" s="2">
        <f t="shared" si="5"/>
        <v>208</v>
      </c>
      <c r="G81" s="4" t="s">
        <v>13</v>
      </c>
      <c r="H81" s="4">
        <v>32.012</v>
      </c>
      <c r="I81" s="5">
        <v>23.98</v>
      </c>
      <c r="J81" s="6">
        <f t="shared" si="6"/>
        <v>767.64776000000006</v>
      </c>
      <c r="K81" s="7">
        <f t="shared" si="7"/>
        <v>6.4975634137198552</v>
      </c>
    </row>
    <row r="82" spans="1:11" hidden="1" x14ac:dyDescent="0.3">
      <c r="A82" s="2">
        <f t="shared" si="4"/>
        <v>78</v>
      </c>
      <c r="B82" s="3">
        <v>46254</v>
      </c>
      <c r="C82" s="4" t="s">
        <v>64</v>
      </c>
      <c r="D82" s="9">
        <f>IF(C82="","",IFERROR(INDEX($E$5:$E$486,SUMPRODUCT(MAX(($C$5:$C$486=C82)*($A$5:$A$486&lt;A82)*$A$5:$A$486))),""))</f>
        <v>0</v>
      </c>
      <c r="E82" s="4"/>
      <c r="F82" s="2">
        <f t="shared" si="5"/>
        <v>0</v>
      </c>
      <c r="G82" s="4" t="s">
        <v>13</v>
      </c>
      <c r="H82" s="4">
        <v>9.2430000000000003</v>
      </c>
      <c r="I82" s="5">
        <v>23.98</v>
      </c>
      <c r="J82" s="6">
        <f t="shared" si="6"/>
        <v>221.64714000000001</v>
      </c>
      <c r="K82" s="7">
        <f t="shared" si="7"/>
        <v>0</v>
      </c>
    </row>
    <row r="83" spans="1:11" hidden="1" x14ac:dyDescent="0.3">
      <c r="A83" s="2">
        <f t="shared" si="4"/>
        <v>79</v>
      </c>
      <c r="B83" s="3">
        <v>46255</v>
      </c>
      <c r="C83" s="4" t="s">
        <v>41</v>
      </c>
      <c r="D83" s="9">
        <f>IF(C83="","",IFERROR(INDEX($E$5:$E$486,SUMPRODUCT(MAX(($C$5:$C$486=C83)*($A$5:$A$486&lt;A83)*$A$5:$A$486))),""))</f>
        <v>183600</v>
      </c>
      <c r="E83" s="4">
        <v>183864</v>
      </c>
      <c r="F83" s="2">
        <f t="shared" si="5"/>
        <v>264</v>
      </c>
      <c r="G83" s="4" t="s">
        <v>14</v>
      </c>
      <c r="H83" s="4">
        <v>55.662999999999997</v>
      </c>
      <c r="I83" s="5">
        <v>27</v>
      </c>
      <c r="J83" s="6">
        <f t="shared" si="6"/>
        <v>1502.9009999999998</v>
      </c>
      <c r="K83" s="7">
        <f t="shared" si="7"/>
        <v>4.742827371862818</v>
      </c>
    </row>
    <row r="84" spans="1:11" hidden="1" x14ac:dyDescent="0.3">
      <c r="A84" s="2">
        <f t="shared" si="4"/>
        <v>80</v>
      </c>
      <c r="B84" s="3">
        <v>46255</v>
      </c>
      <c r="C84" s="4" t="s">
        <v>43</v>
      </c>
      <c r="D84" s="9">
        <f>IF(C84="","",IFERROR(INDEX($E$5:$E$486,SUMPRODUCT(MAX(($C$5:$C$486=C84)*($A$5:$A$486&lt;A84)*$A$5:$A$486))),""))</f>
        <v>230682</v>
      </c>
      <c r="E84" s="4">
        <v>231012</v>
      </c>
      <c r="F84" s="2">
        <f t="shared" si="5"/>
        <v>330</v>
      </c>
      <c r="G84" s="4" t="s">
        <v>14</v>
      </c>
      <c r="H84" s="4">
        <v>38.912999999999997</v>
      </c>
      <c r="I84" s="5">
        <v>27</v>
      </c>
      <c r="J84" s="6">
        <f t="shared" si="6"/>
        <v>1050.6509999999998</v>
      </c>
      <c r="K84" s="7">
        <f t="shared" si="7"/>
        <v>8.4804564027445846</v>
      </c>
    </row>
    <row r="85" spans="1:11" hidden="1" x14ac:dyDescent="0.3">
      <c r="A85" s="2">
        <f t="shared" si="4"/>
        <v>81</v>
      </c>
      <c r="B85" s="3">
        <v>46255</v>
      </c>
      <c r="C85" s="4" t="s">
        <v>54</v>
      </c>
      <c r="D85" s="9">
        <f>IF(C85="","",IFERROR(INDEX($E$5:$E$486,SUMPRODUCT(MAX(($C$5:$C$486=C85)*($A$5:$A$486&lt;A85)*$A$5:$A$486))),""))</f>
        <v>249767</v>
      </c>
      <c r="E85" s="4">
        <v>250208</v>
      </c>
      <c r="F85" s="2">
        <f t="shared" si="5"/>
        <v>441</v>
      </c>
      <c r="G85" s="4" t="s">
        <v>13</v>
      </c>
      <c r="H85" s="4">
        <v>63.23</v>
      </c>
      <c r="I85" s="5">
        <v>23.98</v>
      </c>
      <c r="J85" s="6">
        <f t="shared" si="6"/>
        <v>1516.2554</v>
      </c>
      <c r="K85" s="7">
        <f t="shared" si="7"/>
        <v>6.9745374031314249</v>
      </c>
    </row>
    <row r="86" spans="1:11" hidden="1" x14ac:dyDescent="0.3">
      <c r="A86" s="2">
        <f t="shared" si="4"/>
        <v>82</v>
      </c>
      <c r="B86" s="3">
        <v>46255</v>
      </c>
      <c r="C86" s="4" t="s">
        <v>58</v>
      </c>
      <c r="D86" s="9">
        <f>IF(C86="","",IFERROR(INDEX($E$5:$E$486,SUMPRODUCT(MAX(($C$5:$C$486=C86)*($A$5:$A$486&lt;A86)*$A$5:$A$486))),""))</f>
        <v>177498</v>
      </c>
      <c r="E86" s="4">
        <v>177708</v>
      </c>
      <c r="F86" s="2">
        <f t="shared" si="5"/>
        <v>210</v>
      </c>
      <c r="G86" s="4" t="s">
        <v>13</v>
      </c>
      <c r="H86" s="4">
        <v>32.561999999999998</v>
      </c>
      <c r="I86" s="5">
        <v>23.98</v>
      </c>
      <c r="J86" s="6">
        <f t="shared" si="6"/>
        <v>780.83675999999991</v>
      </c>
      <c r="K86" s="7">
        <f t="shared" si="7"/>
        <v>6.4492353049566988</v>
      </c>
    </row>
    <row r="87" spans="1:11" hidden="1" x14ac:dyDescent="0.3">
      <c r="A87" s="2">
        <f t="shared" si="4"/>
        <v>83</v>
      </c>
      <c r="B87" s="3">
        <v>46255</v>
      </c>
      <c r="C87" s="4" t="s">
        <v>48</v>
      </c>
      <c r="D87" s="9">
        <f>IF(C87="","",IFERROR(INDEX($E$5:$E$486,SUMPRODUCT(MAX(($C$5:$C$486=C87)*($A$5:$A$486&lt;A87)*$A$5:$A$486))),""))</f>
        <v>291020</v>
      </c>
      <c r="E87" s="4">
        <v>291020</v>
      </c>
      <c r="F87" s="2">
        <f t="shared" si="5"/>
        <v>0</v>
      </c>
      <c r="G87" s="4" t="s">
        <v>13</v>
      </c>
      <c r="H87" s="4">
        <v>40.585999999999999</v>
      </c>
      <c r="I87" s="5">
        <v>23.98</v>
      </c>
      <c r="J87" s="6">
        <f t="shared" si="6"/>
        <v>973.25227999999993</v>
      </c>
      <c r="K87" s="7">
        <f t="shared" si="7"/>
        <v>0</v>
      </c>
    </row>
    <row r="88" spans="1:11" hidden="1" x14ac:dyDescent="0.3">
      <c r="A88" s="2">
        <f t="shared" si="4"/>
        <v>84</v>
      </c>
      <c r="B88" s="3">
        <v>46258</v>
      </c>
      <c r="C88" s="4" t="s">
        <v>31</v>
      </c>
      <c r="D88" s="9">
        <f>IF(C88="","",IFERROR(INDEX($E$5:$E$486,SUMPRODUCT(MAX(($C$5:$C$486=C88)*($A$5:$A$486&lt;A88)*$A$5:$A$486))),""))</f>
        <v>121095</v>
      </c>
      <c r="E88" s="4">
        <v>121314</v>
      </c>
      <c r="F88" s="2">
        <f t="shared" si="5"/>
        <v>219</v>
      </c>
      <c r="G88" s="4" t="s">
        <v>14</v>
      </c>
      <c r="H88" s="4">
        <v>79.608000000000004</v>
      </c>
      <c r="I88" s="5">
        <v>27</v>
      </c>
      <c r="J88" s="6">
        <f t="shared" si="6"/>
        <v>2149.4160000000002</v>
      </c>
      <c r="K88" s="7">
        <f t="shared" si="7"/>
        <v>2.7509798010250224</v>
      </c>
    </row>
    <row r="89" spans="1:11" hidden="1" x14ac:dyDescent="0.3">
      <c r="A89" s="2">
        <f t="shared" si="4"/>
        <v>85</v>
      </c>
      <c r="B89" s="3">
        <v>46258</v>
      </c>
      <c r="C89" s="4" t="s">
        <v>42</v>
      </c>
      <c r="D89" s="9">
        <f>IF(C89="","",IFERROR(INDEX($E$5:$E$486,SUMPRODUCT(MAX(($C$5:$C$486=C89)*($A$5:$A$486&lt;A89)*$A$5:$A$486))),""))</f>
        <v>206996</v>
      </c>
      <c r="E89" s="4">
        <v>207156</v>
      </c>
      <c r="F89" s="2">
        <f t="shared" si="5"/>
        <v>160</v>
      </c>
      <c r="G89" s="4" t="s">
        <v>14</v>
      </c>
      <c r="H89" s="4">
        <v>31.867999999999999</v>
      </c>
      <c r="I89" s="5">
        <v>27</v>
      </c>
      <c r="J89" s="6">
        <f t="shared" si="6"/>
        <v>860.43599999999992</v>
      </c>
      <c r="K89" s="7">
        <f t="shared" si="7"/>
        <v>5.02071043052592</v>
      </c>
    </row>
    <row r="90" spans="1:11" hidden="1" x14ac:dyDescent="0.3">
      <c r="A90" s="2">
        <f t="shared" si="4"/>
        <v>86</v>
      </c>
      <c r="B90" s="3">
        <v>46258</v>
      </c>
      <c r="C90" s="4" t="s">
        <v>43</v>
      </c>
      <c r="D90" s="9">
        <f>IF(C90="","",IFERROR(INDEX($E$5:$E$486,SUMPRODUCT(MAX(($C$5:$C$486=C90)*($A$5:$A$486&lt;A90)*$A$5:$A$486))),""))</f>
        <v>231012</v>
      </c>
      <c r="E90" s="4">
        <v>231282</v>
      </c>
      <c r="F90" s="2">
        <f t="shared" si="5"/>
        <v>270</v>
      </c>
      <c r="G90" s="4" t="s">
        <v>14</v>
      </c>
      <c r="H90" s="4">
        <v>31.111999999999998</v>
      </c>
      <c r="I90" s="5">
        <v>27</v>
      </c>
      <c r="J90" s="6">
        <f t="shared" si="6"/>
        <v>840.024</v>
      </c>
      <c r="K90" s="7">
        <f t="shared" si="7"/>
        <v>8.6783234764721016</v>
      </c>
    </row>
    <row r="91" spans="1:11" hidden="1" x14ac:dyDescent="0.3">
      <c r="A91" s="2">
        <f t="shared" si="4"/>
        <v>87</v>
      </c>
      <c r="B91" s="3">
        <v>46258</v>
      </c>
      <c r="C91" s="4" t="s">
        <v>44</v>
      </c>
      <c r="D91" s="9">
        <f>IF(C91="","",IFERROR(INDEX($E$5:$E$486,SUMPRODUCT(MAX(($C$5:$C$486=C91)*($A$5:$A$486&lt;A91)*$A$5:$A$486))),""))</f>
        <v>276250</v>
      </c>
      <c r="E91" s="4">
        <v>276592</v>
      </c>
      <c r="F91" s="2">
        <f t="shared" si="5"/>
        <v>342</v>
      </c>
      <c r="G91" s="4" t="s">
        <v>14</v>
      </c>
      <c r="H91" s="4">
        <v>46.962000000000003</v>
      </c>
      <c r="I91" s="5">
        <v>27</v>
      </c>
      <c r="J91" s="6">
        <f t="shared" si="6"/>
        <v>1267.9740000000002</v>
      </c>
      <c r="K91" s="7">
        <f t="shared" si="7"/>
        <v>7.2824837102338051</v>
      </c>
    </row>
    <row r="92" spans="1:11" hidden="1" x14ac:dyDescent="0.3">
      <c r="A92" s="2">
        <f t="shared" si="4"/>
        <v>88</v>
      </c>
      <c r="B92" s="3">
        <v>46258</v>
      </c>
      <c r="C92" s="4" t="s">
        <v>45</v>
      </c>
      <c r="D92" s="9">
        <f>IF(C92="","",IFERROR(INDEX($E$5:$E$486,SUMPRODUCT(MAX(($C$5:$C$486=C92)*($A$5:$A$486&lt;A92)*$A$5:$A$486))),""))</f>
        <v>206319</v>
      </c>
      <c r="E92" s="4">
        <v>206472</v>
      </c>
      <c r="F92" s="2">
        <f t="shared" si="5"/>
        <v>153</v>
      </c>
      <c r="G92" s="4" t="s">
        <v>14</v>
      </c>
      <c r="H92" s="4">
        <v>31.818000000000001</v>
      </c>
      <c r="I92" s="5">
        <v>27</v>
      </c>
      <c r="J92" s="6">
        <f t="shared" si="6"/>
        <v>859.08600000000001</v>
      </c>
      <c r="K92" s="7">
        <f t="shared" si="7"/>
        <v>4.8085989062794638</v>
      </c>
    </row>
    <row r="93" spans="1:11" hidden="1" x14ac:dyDescent="0.3">
      <c r="A93" s="2">
        <f t="shared" si="4"/>
        <v>89</v>
      </c>
      <c r="B93" s="3">
        <v>46258</v>
      </c>
      <c r="C93" s="4" t="s">
        <v>46</v>
      </c>
      <c r="D93" s="9">
        <f>IF(C93="","",IFERROR(INDEX($E$5:$E$486,SUMPRODUCT(MAX(($C$5:$C$486=C93)*($A$5:$A$486&lt;A93)*$A$5:$A$486))),""))</f>
        <v>200867</v>
      </c>
      <c r="E93" s="4">
        <v>201112</v>
      </c>
      <c r="F93" s="2">
        <f t="shared" si="5"/>
        <v>245</v>
      </c>
      <c r="G93" s="4" t="s">
        <v>14</v>
      </c>
      <c r="H93" s="4">
        <v>31.145</v>
      </c>
      <c r="I93" s="5">
        <v>27.043500000000002</v>
      </c>
      <c r="J93" s="6">
        <f t="shared" si="6"/>
        <v>842.26980750000007</v>
      </c>
      <c r="K93" s="7">
        <f t="shared" si="7"/>
        <v>7.8664312088617754</v>
      </c>
    </row>
    <row r="94" spans="1:11" hidden="1" x14ac:dyDescent="0.3">
      <c r="A94" s="2">
        <f t="shared" si="4"/>
        <v>90</v>
      </c>
      <c r="B94" s="3">
        <v>46258</v>
      </c>
      <c r="C94" s="4" t="s">
        <v>57</v>
      </c>
      <c r="D94" s="9">
        <f>IF(C94="","",IFERROR(INDEX($E$5:$E$486,SUMPRODUCT(MAX(($C$5:$C$486=C94)*($A$5:$A$486&lt;A94)*$A$5:$A$486))),""))</f>
        <v>269905</v>
      </c>
      <c r="E94" s="4">
        <v>270319</v>
      </c>
      <c r="F94" s="2">
        <f t="shared" si="5"/>
        <v>414</v>
      </c>
      <c r="G94" s="4" t="s">
        <v>13</v>
      </c>
      <c r="H94" s="4">
        <v>50.347000000000001</v>
      </c>
      <c r="I94" s="5">
        <v>23.98</v>
      </c>
      <c r="J94" s="6">
        <f t="shared" si="6"/>
        <v>1207.32106</v>
      </c>
      <c r="K94" s="7">
        <f t="shared" si="7"/>
        <v>8.2229328460484243</v>
      </c>
    </row>
    <row r="95" spans="1:11" hidden="1" x14ac:dyDescent="0.3">
      <c r="A95" s="2">
        <f t="shared" si="4"/>
        <v>91</v>
      </c>
      <c r="B95" s="3">
        <v>46258</v>
      </c>
      <c r="C95" s="4" t="s">
        <v>58</v>
      </c>
      <c r="D95" s="9">
        <f>IF(C95="","",IFERROR(INDEX($E$5:$E$486,SUMPRODUCT(MAX(($C$5:$C$486=C95)*($A$5:$A$486&lt;A95)*$A$5:$A$486))),""))</f>
        <v>177708</v>
      </c>
      <c r="E95" s="4">
        <v>177943</v>
      </c>
      <c r="F95" s="2">
        <f t="shared" si="5"/>
        <v>235</v>
      </c>
      <c r="G95" s="4" t="s">
        <v>13</v>
      </c>
      <c r="H95" s="4">
        <v>36.152000000000001</v>
      </c>
      <c r="I95" s="5">
        <v>23.98</v>
      </c>
      <c r="J95" s="6">
        <f t="shared" si="6"/>
        <v>866.92496000000006</v>
      </c>
      <c r="K95" s="7">
        <f t="shared" si="7"/>
        <v>6.5003319318433279</v>
      </c>
    </row>
    <row r="96" spans="1:11" hidden="1" x14ac:dyDescent="0.3">
      <c r="A96" s="2">
        <f t="shared" si="4"/>
        <v>92</v>
      </c>
      <c r="B96" s="3">
        <v>46258</v>
      </c>
      <c r="C96" s="4" t="s">
        <v>60</v>
      </c>
      <c r="D96" s="9">
        <f>IF(C96="","",IFERROR(INDEX($E$5:$E$486,SUMPRODUCT(MAX(($C$5:$C$486=C96)*($A$5:$A$486&lt;A96)*$A$5:$A$486))),""))</f>
        <v>4509</v>
      </c>
      <c r="E96" s="4">
        <v>5552</v>
      </c>
      <c r="F96" s="2">
        <f t="shared" si="5"/>
        <v>1043</v>
      </c>
      <c r="G96" s="4" t="s">
        <v>13</v>
      </c>
      <c r="H96" s="4">
        <v>62.399000000000001</v>
      </c>
      <c r="I96" s="5">
        <v>23.98</v>
      </c>
      <c r="J96" s="6">
        <f t="shared" si="6"/>
        <v>1496.3280200000002</v>
      </c>
      <c r="K96" s="7">
        <f t="shared" si="7"/>
        <v>16.715011458516962</v>
      </c>
    </row>
    <row r="97" spans="1:11" hidden="1" x14ac:dyDescent="0.3">
      <c r="A97" s="2">
        <f t="shared" si="4"/>
        <v>93</v>
      </c>
      <c r="B97" s="3">
        <v>46258</v>
      </c>
      <c r="C97" s="4" t="s">
        <v>61</v>
      </c>
      <c r="D97" s="9">
        <f>IF(C97="","",IFERROR(INDEX($E$5:$E$486,SUMPRODUCT(MAX(($C$5:$C$486=C97)*($A$5:$A$486&lt;A97)*$A$5:$A$486))),""))</f>
        <v>2141</v>
      </c>
      <c r="E97" s="4">
        <v>2611</v>
      </c>
      <c r="F97" s="2">
        <f t="shared" si="5"/>
        <v>470</v>
      </c>
      <c r="G97" s="4" t="s">
        <v>14</v>
      </c>
      <c r="H97" s="4">
        <v>37.479999999999997</v>
      </c>
      <c r="I97" s="5">
        <v>27</v>
      </c>
      <c r="J97" s="6">
        <f t="shared" si="6"/>
        <v>1011.9599999999999</v>
      </c>
      <c r="K97" s="7">
        <f t="shared" si="7"/>
        <v>12.540021344717184</v>
      </c>
    </row>
    <row r="98" spans="1:11" hidden="1" x14ac:dyDescent="0.3">
      <c r="A98" s="2">
        <f t="shared" si="4"/>
        <v>94</v>
      </c>
      <c r="B98" s="3">
        <v>46259</v>
      </c>
      <c r="C98" s="4" t="s">
        <v>54</v>
      </c>
      <c r="D98" s="9">
        <f>IF(C98="","",IFERROR(INDEX($E$5:$E$486,SUMPRODUCT(MAX(($C$5:$C$486=C98)*($A$5:$A$486&lt;A98)*$A$5:$A$486))),""))</f>
        <v>250208</v>
      </c>
      <c r="E98" s="4">
        <v>250475</v>
      </c>
      <c r="F98" s="2">
        <f t="shared" si="5"/>
        <v>267</v>
      </c>
      <c r="G98" s="4" t="s">
        <v>13</v>
      </c>
      <c r="H98" s="4">
        <v>46.56</v>
      </c>
      <c r="I98" s="5">
        <v>23.98</v>
      </c>
      <c r="J98" s="6">
        <f t="shared" si="6"/>
        <v>1116.5088000000001</v>
      </c>
      <c r="K98" s="7">
        <f t="shared" si="7"/>
        <v>5.7345360824742269</v>
      </c>
    </row>
    <row r="99" spans="1:11" hidden="1" x14ac:dyDescent="0.3">
      <c r="A99" s="2">
        <f t="shared" si="4"/>
        <v>95</v>
      </c>
      <c r="B99" s="3">
        <v>46259</v>
      </c>
      <c r="C99" s="4" t="s">
        <v>58</v>
      </c>
      <c r="D99" s="9">
        <f>IF(C99="","",IFERROR(INDEX($E$5:$E$486,SUMPRODUCT(MAX(($C$5:$C$486=C99)*($A$5:$A$486&lt;A99)*$A$5:$A$486))),""))</f>
        <v>177943</v>
      </c>
      <c r="E99" s="4">
        <v>178175</v>
      </c>
      <c r="F99" s="2">
        <f t="shared" si="5"/>
        <v>232</v>
      </c>
      <c r="G99" s="4" t="s">
        <v>13</v>
      </c>
      <c r="H99" s="4">
        <v>35.524000000000001</v>
      </c>
      <c r="I99" s="5">
        <v>23.98</v>
      </c>
      <c r="J99" s="6">
        <f t="shared" si="6"/>
        <v>851.86552000000006</v>
      </c>
      <c r="K99" s="7">
        <f t="shared" si="7"/>
        <v>6.5307960815223511</v>
      </c>
    </row>
    <row r="100" spans="1:11" hidden="1" x14ac:dyDescent="0.3">
      <c r="A100" s="2">
        <f t="shared" si="4"/>
        <v>96</v>
      </c>
      <c r="B100" s="3">
        <v>46260</v>
      </c>
      <c r="C100" s="4" t="s">
        <v>58</v>
      </c>
      <c r="D100" s="9">
        <f>IF(C100="","",IFERROR(INDEX($E$5:$E$486,SUMPRODUCT(MAX(($C$5:$C$486=C100)*($A$5:$A$486&lt;A100)*$A$5:$A$486))),""))</f>
        <v>178175</v>
      </c>
      <c r="E100" s="4">
        <v>178406</v>
      </c>
      <c r="F100" s="2">
        <f t="shared" si="5"/>
        <v>231</v>
      </c>
      <c r="G100" s="4" t="s">
        <v>13</v>
      </c>
      <c r="H100" s="4">
        <v>36.935000000000002</v>
      </c>
      <c r="I100" s="5">
        <v>23.98</v>
      </c>
      <c r="J100" s="6">
        <f t="shared" si="6"/>
        <v>885.70130000000006</v>
      </c>
      <c r="K100" s="7">
        <f t="shared" si="7"/>
        <v>6.2542304047651278</v>
      </c>
    </row>
    <row r="101" spans="1:11" hidden="1" x14ac:dyDescent="0.3">
      <c r="A101" s="2">
        <f t="shared" si="4"/>
        <v>97</v>
      </c>
      <c r="B101" s="3">
        <v>46260</v>
      </c>
      <c r="C101" s="4" t="s">
        <v>48</v>
      </c>
      <c r="D101" s="9">
        <f>IF(C101="","",IFERROR(INDEX($E$5:$E$486,SUMPRODUCT(MAX(($C$5:$C$486=C101)*($A$5:$A$486&lt;A101)*$A$5:$A$486))),""))</f>
        <v>291020</v>
      </c>
      <c r="E101" s="4">
        <v>291249</v>
      </c>
      <c r="F101" s="2">
        <f t="shared" si="5"/>
        <v>229</v>
      </c>
      <c r="G101" s="4" t="s">
        <v>13</v>
      </c>
      <c r="H101" s="4">
        <v>45.197000000000003</v>
      </c>
      <c r="I101" s="5">
        <v>23.98</v>
      </c>
      <c r="J101" s="6">
        <f t="shared" si="6"/>
        <v>1083.8240600000001</v>
      </c>
      <c r="K101" s="7">
        <f t="shared" si="7"/>
        <v>5.0667079673429649</v>
      </c>
    </row>
    <row r="102" spans="1:11" hidden="1" x14ac:dyDescent="0.3">
      <c r="A102" s="2">
        <f t="shared" si="4"/>
        <v>98</v>
      </c>
      <c r="B102" s="3">
        <v>46261</v>
      </c>
      <c r="C102" s="4" t="s">
        <v>32</v>
      </c>
      <c r="D102" s="9">
        <f>IF(C102="","",IFERROR(INDEX($E$5:$E$486,SUMPRODUCT(MAX(($C$5:$C$486=C102)*($A$5:$A$486&lt;A102)*$A$5:$A$486))),""))</f>
        <v>530546</v>
      </c>
      <c r="E102" s="4">
        <v>530834</v>
      </c>
      <c r="F102" s="2">
        <f t="shared" si="5"/>
        <v>288</v>
      </c>
      <c r="G102" s="4" t="s">
        <v>13</v>
      </c>
      <c r="H102" s="4">
        <v>43.588999999999999</v>
      </c>
      <c r="I102" s="5">
        <v>23.98</v>
      </c>
      <c r="J102" s="6">
        <f t="shared" si="6"/>
        <v>1045.26422</v>
      </c>
      <c r="K102" s="7">
        <f t="shared" si="7"/>
        <v>6.6071715341026405</v>
      </c>
    </row>
    <row r="103" spans="1:11" hidden="1" x14ac:dyDescent="0.3">
      <c r="A103" s="2">
        <f t="shared" si="4"/>
        <v>99</v>
      </c>
      <c r="B103" s="3">
        <v>46261</v>
      </c>
      <c r="C103" s="4" t="s">
        <v>39</v>
      </c>
      <c r="D103" s="9">
        <f>IF(C103="","",IFERROR(INDEX($E$5:$E$486,SUMPRODUCT(MAX(($C$5:$C$486=C103)*($A$5:$A$486&lt;A103)*$A$5:$A$486))),""))</f>
        <v>206147</v>
      </c>
      <c r="E103" s="4">
        <v>206510</v>
      </c>
      <c r="F103" s="2">
        <f t="shared" si="5"/>
        <v>363</v>
      </c>
      <c r="G103" s="4" t="s">
        <v>14</v>
      </c>
      <c r="H103" s="4">
        <v>55.780999999999999</v>
      </c>
      <c r="I103" s="5">
        <v>27</v>
      </c>
      <c r="J103" s="6">
        <f t="shared" si="6"/>
        <v>1506.087</v>
      </c>
      <c r="K103" s="7">
        <f t="shared" si="7"/>
        <v>6.5075921908893708</v>
      </c>
    </row>
    <row r="104" spans="1:11" hidden="1" x14ac:dyDescent="0.3">
      <c r="A104" s="2">
        <f t="shared" si="4"/>
        <v>100</v>
      </c>
      <c r="B104" s="3">
        <v>46261</v>
      </c>
      <c r="C104" s="4" t="s">
        <v>41</v>
      </c>
      <c r="D104" s="9">
        <f>IF(C104="","",IFERROR(INDEX($E$5:$E$486,SUMPRODUCT(MAX(($C$5:$C$486=C104)*($A$5:$A$486&lt;A104)*$A$5:$A$486))),""))</f>
        <v>183864</v>
      </c>
      <c r="E104" s="4">
        <v>184032</v>
      </c>
      <c r="F104" s="2">
        <f t="shared" si="5"/>
        <v>168</v>
      </c>
      <c r="G104" s="4" t="s">
        <v>14</v>
      </c>
      <c r="H104" s="4">
        <v>38.776000000000003</v>
      </c>
      <c r="I104" s="5">
        <v>27</v>
      </c>
      <c r="J104" s="6">
        <f t="shared" si="6"/>
        <v>1046.952</v>
      </c>
      <c r="K104" s="7">
        <f t="shared" si="7"/>
        <v>4.3325768516608205</v>
      </c>
    </row>
    <row r="105" spans="1:11" hidden="1" x14ac:dyDescent="0.3">
      <c r="A105" s="2">
        <f t="shared" si="4"/>
        <v>101</v>
      </c>
      <c r="B105" s="3">
        <v>46261</v>
      </c>
      <c r="C105" s="4" t="s">
        <v>44</v>
      </c>
      <c r="D105" s="9">
        <f>IF(C105="","",IFERROR(INDEX($E$5:$E$486,SUMPRODUCT(MAX(($C$5:$C$486=C105)*($A$5:$A$486&lt;A105)*$A$5:$A$486))),""))</f>
        <v>276592</v>
      </c>
      <c r="E105" s="4">
        <v>276931</v>
      </c>
      <c r="F105" s="2">
        <f t="shared" si="5"/>
        <v>339</v>
      </c>
      <c r="G105" s="4" t="s">
        <v>14</v>
      </c>
      <c r="H105" s="4">
        <v>51.41</v>
      </c>
      <c r="I105" s="5">
        <v>27</v>
      </c>
      <c r="J105" s="6">
        <f t="shared" si="6"/>
        <v>1388.07</v>
      </c>
      <c r="K105" s="7">
        <f t="shared" si="7"/>
        <v>6.5940478506127214</v>
      </c>
    </row>
    <row r="106" spans="1:11" hidden="1" x14ac:dyDescent="0.3">
      <c r="A106" s="2">
        <f t="shared" si="4"/>
        <v>102</v>
      </c>
      <c r="B106" s="3">
        <v>46261</v>
      </c>
      <c r="C106" s="4" t="s">
        <v>51</v>
      </c>
      <c r="D106" s="9">
        <f>IF(C106="","",IFERROR(INDEX($E$5:$E$486,SUMPRODUCT(MAX(($C$5:$C$486=C106)*($A$5:$A$486&lt;A106)*$A$5:$A$486))),""))</f>
        <v>309866</v>
      </c>
      <c r="E106" s="4">
        <v>310242</v>
      </c>
      <c r="F106" s="2">
        <f t="shared" si="5"/>
        <v>376</v>
      </c>
      <c r="G106" s="4" t="s">
        <v>13</v>
      </c>
      <c r="H106" s="4">
        <v>62.216999999999999</v>
      </c>
      <c r="I106" s="5">
        <v>23.98</v>
      </c>
      <c r="J106" s="6">
        <f t="shared" si="6"/>
        <v>1491.9636599999999</v>
      </c>
      <c r="K106" s="7">
        <f t="shared" si="7"/>
        <v>6.0433643537939794</v>
      </c>
    </row>
    <row r="107" spans="1:11" hidden="1" x14ac:dyDescent="0.3">
      <c r="A107" s="2">
        <f t="shared" si="4"/>
        <v>103</v>
      </c>
      <c r="B107" s="3">
        <v>46261</v>
      </c>
      <c r="C107" s="4" t="s">
        <v>57</v>
      </c>
      <c r="D107" s="9">
        <f>IF(C107="","",IFERROR(INDEX($E$5:$E$486,SUMPRODUCT(MAX(($C$5:$C$486=C107)*($A$5:$A$486&lt;A107)*$A$5:$A$486))),""))</f>
        <v>270319</v>
      </c>
      <c r="E107" s="4">
        <v>270633</v>
      </c>
      <c r="F107" s="2">
        <f t="shared" si="5"/>
        <v>314</v>
      </c>
      <c r="G107" s="4" t="s">
        <v>13</v>
      </c>
      <c r="H107" s="4">
        <v>37.783000000000001</v>
      </c>
      <c r="I107" s="5">
        <v>23.98</v>
      </c>
      <c r="J107" s="6">
        <f t="shared" si="6"/>
        <v>906.03634</v>
      </c>
      <c r="K107" s="7">
        <f t="shared" si="7"/>
        <v>8.3106158854511278</v>
      </c>
    </row>
    <row r="108" spans="1:11" hidden="1" x14ac:dyDescent="0.3">
      <c r="A108" s="2">
        <f t="shared" si="4"/>
        <v>104</v>
      </c>
      <c r="B108" s="3">
        <v>46261</v>
      </c>
      <c r="C108" s="4" t="s">
        <v>58</v>
      </c>
      <c r="D108" s="9">
        <f>IF(C108="","",IFERROR(INDEX($E$5:$E$486,SUMPRODUCT(MAX(($C$5:$C$486=C108)*($A$5:$A$486&lt;A108)*$A$5:$A$486))),""))</f>
        <v>178406</v>
      </c>
      <c r="E108" s="4">
        <v>178617</v>
      </c>
      <c r="F108" s="2">
        <f t="shared" si="5"/>
        <v>211</v>
      </c>
      <c r="G108" s="4" t="s">
        <v>13</v>
      </c>
      <c r="H108" s="4">
        <v>33.235999999999997</v>
      </c>
      <c r="I108" s="5">
        <v>23.98</v>
      </c>
      <c r="J108" s="6">
        <f t="shared" si="6"/>
        <v>796.99928</v>
      </c>
      <c r="K108" s="7">
        <f t="shared" si="7"/>
        <v>6.3485377301721027</v>
      </c>
    </row>
    <row r="109" spans="1:11" hidden="1" x14ac:dyDescent="0.3">
      <c r="A109" s="2">
        <f t="shared" si="4"/>
        <v>105</v>
      </c>
      <c r="B109" s="3">
        <v>46261</v>
      </c>
      <c r="C109" s="4" t="s">
        <v>61</v>
      </c>
      <c r="D109" s="9">
        <f>IF(C109="","",IFERROR(INDEX($E$5:$E$486,SUMPRODUCT(MAX(($C$5:$C$486=C109)*($A$5:$A$486&lt;A109)*$A$5:$A$486))),""))</f>
        <v>2611</v>
      </c>
      <c r="E109" s="4">
        <v>3082</v>
      </c>
      <c r="F109" s="2">
        <f t="shared" si="5"/>
        <v>471</v>
      </c>
      <c r="G109" s="4" t="s">
        <v>14</v>
      </c>
      <c r="H109" s="4">
        <v>38.357999999999997</v>
      </c>
      <c r="I109" s="5">
        <v>27</v>
      </c>
      <c r="J109" s="6">
        <f t="shared" si="6"/>
        <v>1035.6659999999999</v>
      </c>
      <c r="K109" s="7">
        <f t="shared" si="7"/>
        <v>12.279055216643204</v>
      </c>
    </row>
    <row r="110" spans="1:11" hidden="1" x14ac:dyDescent="0.3">
      <c r="A110" s="2">
        <f t="shared" si="4"/>
        <v>106</v>
      </c>
      <c r="B110" s="3">
        <v>46261</v>
      </c>
      <c r="C110" s="4" t="s">
        <v>33</v>
      </c>
      <c r="D110" s="9">
        <f>IF(C110="","",IFERROR(INDEX($E$5:$E$486,SUMPRODUCT(MAX(($C$5:$C$486=C110)*($A$5:$A$486&lt;A110)*$A$5:$A$486))),""))</f>
        <v>54569</v>
      </c>
      <c r="E110" s="4">
        <v>54569</v>
      </c>
      <c r="F110" s="2">
        <f t="shared" si="5"/>
        <v>0</v>
      </c>
      <c r="G110" s="4" t="s">
        <v>14</v>
      </c>
      <c r="H110" s="4">
        <v>145.85400000000001</v>
      </c>
      <c r="I110" s="5">
        <v>27</v>
      </c>
      <c r="J110" s="6">
        <f t="shared" si="6"/>
        <v>3938.0580000000004</v>
      </c>
      <c r="K110" s="7">
        <f t="shared" si="7"/>
        <v>0</v>
      </c>
    </row>
    <row r="111" spans="1:11" hidden="1" x14ac:dyDescent="0.3">
      <c r="A111" s="2">
        <f t="shared" si="4"/>
        <v>107</v>
      </c>
      <c r="B111" s="3">
        <v>46262</v>
      </c>
      <c r="C111" s="4" t="s">
        <v>42</v>
      </c>
      <c r="D111" s="9">
        <f>IF(C111="","",IFERROR(INDEX($E$5:$E$486,SUMPRODUCT(MAX(($C$5:$C$486=C111)*($A$5:$A$486&lt;A111)*$A$5:$A$486))),""))</f>
        <v>207156</v>
      </c>
      <c r="E111" s="4">
        <v>207364</v>
      </c>
      <c r="F111" s="2">
        <f t="shared" si="5"/>
        <v>208</v>
      </c>
      <c r="G111" s="4" t="s">
        <v>14</v>
      </c>
      <c r="H111" s="4">
        <v>43.936</v>
      </c>
      <c r="I111" s="5">
        <v>27</v>
      </c>
      <c r="J111" s="6">
        <f t="shared" si="6"/>
        <v>1186.2719999999999</v>
      </c>
      <c r="K111" s="7">
        <f t="shared" si="7"/>
        <v>4.7341587764020394</v>
      </c>
    </row>
    <row r="112" spans="1:11" hidden="1" x14ac:dyDescent="0.3">
      <c r="A112" s="2">
        <f t="shared" si="4"/>
        <v>108</v>
      </c>
      <c r="B112" s="3">
        <v>46262</v>
      </c>
      <c r="C112" s="4" t="s">
        <v>43</v>
      </c>
      <c r="D112" s="9">
        <f>IF(C112="","",IFERROR(INDEX($E$5:$E$486,SUMPRODUCT(MAX(($C$5:$C$486=C112)*($A$5:$A$486&lt;A112)*$A$5:$A$486))),""))</f>
        <v>231282</v>
      </c>
      <c r="E112" s="4">
        <v>231681</v>
      </c>
      <c r="F112" s="2">
        <f t="shared" si="5"/>
        <v>399</v>
      </c>
      <c r="G112" s="4" t="s">
        <v>14</v>
      </c>
      <c r="H112" s="4">
        <v>45.65</v>
      </c>
      <c r="I112" s="5">
        <v>27</v>
      </c>
      <c r="J112" s="6">
        <f t="shared" si="6"/>
        <v>1232.55</v>
      </c>
      <c r="K112" s="7">
        <f t="shared" si="7"/>
        <v>8.740416210295729</v>
      </c>
    </row>
    <row r="113" spans="1:19" hidden="1" x14ac:dyDescent="0.3">
      <c r="A113" s="2">
        <f t="shared" si="4"/>
        <v>109</v>
      </c>
      <c r="B113" s="3">
        <v>46262</v>
      </c>
      <c r="C113" s="4" t="s">
        <v>47</v>
      </c>
      <c r="D113" s="9">
        <f>IF(C113="","",IFERROR(INDEX($E$5:$E$486,SUMPRODUCT(MAX(($C$5:$C$486=C113)*($A$5:$A$486&lt;A113)*$A$5:$A$486))),""))</f>
        <v>111879</v>
      </c>
      <c r="E113" s="4">
        <v>112050</v>
      </c>
      <c r="F113" s="2">
        <f t="shared" si="5"/>
        <v>171</v>
      </c>
      <c r="G113" s="4" t="s">
        <v>13</v>
      </c>
      <c r="H113" s="4">
        <v>83.625</v>
      </c>
      <c r="I113" s="5">
        <v>23.98</v>
      </c>
      <c r="J113" s="6">
        <f t="shared" si="6"/>
        <v>2005.3275000000001</v>
      </c>
      <c r="K113" s="7">
        <f t="shared" si="7"/>
        <v>2.0448430493273544</v>
      </c>
    </row>
    <row r="114" spans="1:19" hidden="1" x14ac:dyDescent="0.3">
      <c r="A114" s="2">
        <f t="shared" si="4"/>
        <v>110</v>
      </c>
      <c r="B114" s="3">
        <v>46262</v>
      </c>
      <c r="C114" s="4" t="s">
        <v>54</v>
      </c>
      <c r="D114" s="9">
        <f>IF(C114="","",IFERROR(INDEX($E$5:$E$486,SUMPRODUCT(MAX(($C$5:$C$486=C114)*($A$5:$A$486&lt;A114)*$A$5:$A$486))),""))</f>
        <v>250475</v>
      </c>
      <c r="E114" s="4">
        <v>250874</v>
      </c>
      <c r="F114" s="2">
        <f t="shared" si="5"/>
        <v>399</v>
      </c>
      <c r="G114" s="4" t="s">
        <v>13</v>
      </c>
      <c r="H114" s="4">
        <v>55.939</v>
      </c>
      <c r="I114" s="5">
        <v>23.98</v>
      </c>
      <c r="J114" s="6">
        <f t="shared" si="6"/>
        <v>1341.41722</v>
      </c>
      <c r="K114" s="7">
        <f t="shared" si="7"/>
        <v>7.1327696240547738</v>
      </c>
      <c r="S114" s="22"/>
    </row>
    <row r="115" spans="1:19" hidden="1" x14ac:dyDescent="0.3">
      <c r="A115" s="2">
        <f t="shared" si="4"/>
        <v>111</v>
      </c>
      <c r="B115" s="3">
        <v>46262</v>
      </c>
      <c r="C115" s="4" t="s">
        <v>58</v>
      </c>
      <c r="D115" s="9">
        <f>IF(C115="","",IFERROR(INDEX($E$5:$E$486,SUMPRODUCT(MAX(($C$5:$C$486=C115)*($A$5:$A$486&lt;A115)*$A$5:$A$486))),""))</f>
        <v>178617</v>
      </c>
      <c r="E115" s="4">
        <v>178828</v>
      </c>
      <c r="F115" s="2">
        <f t="shared" si="5"/>
        <v>211</v>
      </c>
      <c r="G115" s="4" t="s">
        <v>13</v>
      </c>
      <c r="H115" s="4">
        <v>32.755000000000003</v>
      </c>
      <c r="I115" s="5">
        <v>23.98</v>
      </c>
      <c r="J115" s="6">
        <f t="shared" si="6"/>
        <v>785.46490000000006</v>
      </c>
      <c r="K115" s="7">
        <f t="shared" si="7"/>
        <v>6.441764616089146</v>
      </c>
    </row>
    <row r="116" spans="1:19" hidden="1" x14ac:dyDescent="0.3">
      <c r="A116" s="2">
        <f t="shared" si="4"/>
        <v>112</v>
      </c>
      <c r="B116" s="3">
        <v>46262</v>
      </c>
      <c r="C116" s="4" t="s">
        <v>62</v>
      </c>
      <c r="D116" s="9">
        <f>IF(C116="","",IFERROR(INDEX($E$5:$E$486,SUMPRODUCT(MAX(($C$5:$C$486=C116)*($A$5:$A$486&lt;A116)*$A$5:$A$486))),""))</f>
        <v>3574</v>
      </c>
      <c r="E116" s="4">
        <v>3598</v>
      </c>
      <c r="F116" s="2">
        <f t="shared" si="5"/>
        <v>24</v>
      </c>
      <c r="G116" s="4" t="s">
        <v>14</v>
      </c>
      <c r="H116" s="4">
        <v>47.637999999999998</v>
      </c>
      <c r="I116" s="5">
        <v>27</v>
      </c>
      <c r="J116" s="6">
        <f t="shared" si="6"/>
        <v>1286.2259999999999</v>
      </c>
      <c r="K116" s="7">
        <f t="shared" si="7"/>
        <v>0.50379948780385408</v>
      </c>
    </row>
    <row r="117" spans="1:19" ht="27.6" hidden="1" x14ac:dyDescent="0.3">
      <c r="A117" s="2">
        <f t="shared" si="4"/>
        <v>113</v>
      </c>
      <c r="B117" s="3">
        <v>46262</v>
      </c>
      <c r="C117" s="4" t="s">
        <v>71</v>
      </c>
      <c r="D117" s="9">
        <f>IF(C117="","",IFERROR(INDEX($E$5:$E$486,SUMPRODUCT(MAX(($C$5:$C$486=C117)*($A$5:$A$486&lt;A117)*$A$5:$A$486))),""))</f>
        <v>0</v>
      </c>
      <c r="E117" s="4">
        <v>0</v>
      </c>
      <c r="F117" s="2">
        <f t="shared" si="5"/>
        <v>0</v>
      </c>
      <c r="G117" s="4" t="s">
        <v>13</v>
      </c>
      <c r="H117" s="4">
        <v>50</v>
      </c>
      <c r="I117" s="5">
        <v>100</v>
      </c>
      <c r="J117" s="6">
        <f t="shared" si="6"/>
        <v>5000</v>
      </c>
      <c r="K117" s="7">
        <f t="shared" si="7"/>
        <v>0</v>
      </c>
    </row>
    <row r="118" spans="1:19" ht="27.6" hidden="1" x14ac:dyDescent="0.3">
      <c r="A118" s="2">
        <f t="shared" si="4"/>
        <v>114</v>
      </c>
      <c r="B118" s="3">
        <v>46262</v>
      </c>
      <c r="C118" s="4" t="s">
        <v>72</v>
      </c>
      <c r="D118" s="9">
        <f>IF(C118="","",IFERROR(INDEX($E$5:$E$486,SUMPRODUCT(MAX(($C$5:$C$486=C118)*($A$5:$A$486&lt;A118)*$A$5:$A$486))),""))</f>
        <v>0</v>
      </c>
      <c r="E118" s="4">
        <v>0</v>
      </c>
      <c r="F118" s="2">
        <f t="shared" si="5"/>
        <v>0</v>
      </c>
      <c r="G118" s="4" t="s">
        <v>13</v>
      </c>
      <c r="H118" s="4">
        <v>50</v>
      </c>
      <c r="I118" s="5">
        <v>100</v>
      </c>
      <c r="J118" s="6">
        <f t="shared" si="6"/>
        <v>5000</v>
      </c>
      <c r="K118" s="7">
        <f t="shared" si="7"/>
        <v>0</v>
      </c>
    </row>
    <row r="119" spans="1:19" hidden="1" x14ac:dyDescent="0.3">
      <c r="A119" s="2">
        <f t="shared" si="4"/>
        <v>115</v>
      </c>
      <c r="B119" s="3">
        <v>46265</v>
      </c>
      <c r="C119" s="4" t="s">
        <v>44</v>
      </c>
      <c r="D119" s="9">
        <f>IF(C119="","",IFERROR(INDEX($E$5:$E$486,SUMPRODUCT(MAX(($C$5:$C$486=C119)*($A$5:$A$486&lt;A119)*$A$5:$A$486))),""))</f>
        <v>276931</v>
      </c>
      <c r="E119" s="4">
        <v>277385</v>
      </c>
      <c r="F119" s="2">
        <f t="shared" si="5"/>
        <v>454</v>
      </c>
      <c r="G119" s="4" t="s">
        <v>14</v>
      </c>
      <c r="H119" s="4">
        <v>65.218000000000004</v>
      </c>
      <c r="I119" s="5">
        <v>27</v>
      </c>
      <c r="J119" s="6">
        <f t="shared" si="6"/>
        <v>1760.8860000000002</v>
      </c>
      <c r="K119" s="7">
        <f t="shared" si="7"/>
        <v>6.9612683614952919</v>
      </c>
    </row>
    <row r="120" spans="1:19" hidden="1" x14ac:dyDescent="0.3">
      <c r="A120" s="2">
        <f t="shared" si="4"/>
        <v>116</v>
      </c>
      <c r="B120" s="3">
        <v>46265</v>
      </c>
      <c r="C120" s="4" t="s">
        <v>45</v>
      </c>
      <c r="D120" s="9">
        <f>IF(C120="","",IFERROR(INDEX($E$5:$E$486,SUMPRODUCT(MAX(($C$5:$C$486=C120)*($A$5:$A$486&lt;A120)*$A$5:$A$486))),""))</f>
        <v>206472</v>
      </c>
      <c r="E120" s="4">
        <v>206661</v>
      </c>
      <c r="F120" s="2">
        <f t="shared" si="5"/>
        <v>189</v>
      </c>
      <c r="G120" s="4" t="s">
        <v>14</v>
      </c>
      <c r="H120" s="4">
        <v>32.234000000000002</v>
      </c>
      <c r="I120" s="5">
        <v>27</v>
      </c>
      <c r="J120" s="6">
        <f t="shared" si="6"/>
        <v>870.3180000000001</v>
      </c>
      <c r="K120" s="7">
        <f t="shared" si="7"/>
        <v>5.8633740770614873</v>
      </c>
    </row>
    <row r="121" spans="1:19" hidden="1" x14ac:dyDescent="0.3">
      <c r="A121" s="2">
        <f t="shared" si="4"/>
        <v>117</v>
      </c>
      <c r="B121" s="3">
        <v>46265</v>
      </c>
      <c r="C121" s="4" t="s">
        <v>55</v>
      </c>
      <c r="D121" s="9">
        <f>IF(C121="","",IFERROR(INDEX($E$5:$E$486,SUMPRODUCT(MAX(($C$5:$C$486=C121)*($A$5:$A$486&lt;A121)*$A$5:$A$486))),""))</f>
        <v>217596</v>
      </c>
      <c r="E121" s="4">
        <v>217896</v>
      </c>
      <c r="F121" s="2">
        <f t="shared" si="5"/>
        <v>300</v>
      </c>
      <c r="G121" s="4" t="s">
        <v>13</v>
      </c>
      <c r="H121" s="4">
        <v>52.207999999999998</v>
      </c>
      <c r="I121" s="5">
        <v>23.98</v>
      </c>
      <c r="J121" s="6">
        <f t="shared" si="6"/>
        <v>1251.94784</v>
      </c>
      <c r="K121" s="7">
        <f t="shared" si="7"/>
        <v>5.7462457860864236</v>
      </c>
    </row>
    <row r="122" spans="1:19" hidden="1" x14ac:dyDescent="0.3">
      <c r="A122" s="2">
        <f t="shared" si="4"/>
        <v>118</v>
      </c>
      <c r="B122" s="3">
        <v>46265</v>
      </c>
      <c r="C122" s="4" t="s">
        <v>58</v>
      </c>
      <c r="D122" s="9">
        <f>IF(C122="","",IFERROR(INDEX($E$5:$E$486,SUMPRODUCT(MAX(($C$5:$C$486=C122)*($A$5:$A$486&lt;A122)*$A$5:$A$486))),""))</f>
        <v>178828</v>
      </c>
      <c r="E122" s="4">
        <v>179058</v>
      </c>
      <c r="F122" s="2">
        <f t="shared" si="5"/>
        <v>230</v>
      </c>
      <c r="G122" s="4" t="s">
        <v>13</v>
      </c>
      <c r="H122" s="4">
        <v>35.627000000000002</v>
      </c>
      <c r="I122" s="5">
        <v>23.98</v>
      </c>
      <c r="J122" s="6">
        <f t="shared" si="6"/>
        <v>854.33546000000013</v>
      </c>
      <c r="K122" s="7">
        <f t="shared" si="7"/>
        <v>6.455777921239509</v>
      </c>
    </row>
    <row r="123" spans="1:19" hidden="1" x14ac:dyDescent="0.3">
      <c r="A123" s="2">
        <f t="shared" si="4"/>
        <v>119</v>
      </c>
      <c r="B123" s="3">
        <v>46265</v>
      </c>
      <c r="C123" s="4" t="s">
        <v>48</v>
      </c>
      <c r="D123" s="9">
        <f>IF(C123="","",IFERROR(INDEX($E$5:$E$486,SUMPRODUCT(MAX(($C$5:$C$486=C123)*($A$5:$A$486&lt;A123)*$A$5:$A$486))),""))</f>
        <v>291249</v>
      </c>
      <c r="E123" s="4">
        <v>291526</v>
      </c>
      <c r="F123" s="2">
        <f t="shared" si="5"/>
        <v>277</v>
      </c>
      <c r="G123" s="4" t="s">
        <v>13</v>
      </c>
      <c r="H123" s="4">
        <v>46.034999999999997</v>
      </c>
      <c r="I123" s="5">
        <v>23.98</v>
      </c>
      <c r="J123" s="6">
        <f t="shared" si="6"/>
        <v>1103.9193</v>
      </c>
      <c r="K123" s="7">
        <f t="shared" si="7"/>
        <v>6.0171608558705341</v>
      </c>
    </row>
    <row r="124" spans="1:19" hidden="1" x14ac:dyDescent="0.3">
      <c r="A124" s="2">
        <f t="shared" si="4"/>
        <v>120</v>
      </c>
      <c r="B124" s="3">
        <v>46265</v>
      </c>
      <c r="C124" s="4" t="s">
        <v>64</v>
      </c>
      <c r="D124" s="9">
        <f>IF(C124="","",IFERROR(INDEX($E$5:$E$486,SUMPRODUCT(MAX(($C$5:$C$486=C124)*($A$5:$A$486&lt;A124)*$A$5:$A$486))),""))</f>
        <v>0</v>
      </c>
      <c r="E124" s="4"/>
      <c r="F124" s="2">
        <f t="shared" si="5"/>
        <v>0</v>
      </c>
      <c r="G124" s="4" t="s">
        <v>13</v>
      </c>
      <c r="H124" s="4">
        <v>10</v>
      </c>
      <c r="I124" s="5">
        <v>23.98</v>
      </c>
      <c r="J124" s="6">
        <f t="shared" si="6"/>
        <v>239.8</v>
      </c>
      <c r="K124" s="7">
        <f t="shared" si="7"/>
        <v>0</v>
      </c>
    </row>
    <row r="125" spans="1:19" ht="16.5" hidden="1" customHeight="1" x14ac:dyDescent="0.3">
      <c r="A125" s="2">
        <f t="shared" si="4"/>
        <v>121</v>
      </c>
      <c r="B125" s="3">
        <v>46266</v>
      </c>
      <c r="C125" s="4" t="s">
        <v>31</v>
      </c>
      <c r="D125" s="9">
        <f>IF(C125="","",IFERROR(INDEX($E$5:$E$486,SUMPRODUCT(MAX(($C$5:$C$486=C125)*($A$5:$A$486&lt;A125)*$A$5:$A$486))),""))</f>
        <v>121314</v>
      </c>
      <c r="E125" s="4">
        <v>121600</v>
      </c>
      <c r="F125" s="2">
        <f t="shared" si="5"/>
        <v>286</v>
      </c>
      <c r="G125" s="4" t="str">
        <f>IF(C125="","",IFERROR(VLOOKUP(C125,Listas!$A$2:$C$39,3,FALSE()),"Asigna combustible en hoja Listas"))</f>
        <v>Diesel</v>
      </c>
      <c r="H125" s="4">
        <v>110.00700000000001</v>
      </c>
      <c r="I125" s="5">
        <v>27</v>
      </c>
      <c r="J125" s="6">
        <f t="shared" si="6"/>
        <v>2970.1890000000003</v>
      </c>
      <c r="K125" s="7">
        <f t="shared" si="7"/>
        <v>2.5998345559828011</v>
      </c>
    </row>
    <row r="126" spans="1:19" ht="16.5" hidden="1" customHeight="1" x14ac:dyDescent="0.3">
      <c r="A126" s="2">
        <f t="shared" si="4"/>
        <v>122</v>
      </c>
      <c r="B126" s="3">
        <v>46266</v>
      </c>
      <c r="C126" s="4" t="s">
        <v>54</v>
      </c>
      <c r="D126" s="9">
        <f>IF(C126="","",IFERROR(INDEX($E$5:$E$486,SUMPRODUCT(MAX(($C$5:$C$486=C126)*($A$5:$A$486&lt;A126)*$A$5:$A$486))),""))</f>
        <v>250874</v>
      </c>
      <c r="E126" s="4">
        <v>251148</v>
      </c>
      <c r="F126" s="2">
        <f t="shared" si="5"/>
        <v>274</v>
      </c>
      <c r="G126" s="4" t="str">
        <f>IF(C126="","",IFERROR(VLOOKUP(C126,Listas!$A$2:$C$39,3,FALSE()),"Asigna combustible en hoja Listas"))</f>
        <v xml:space="preserve">Gasolina </v>
      </c>
      <c r="H126" s="4">
        <v>39.927</v>
      </c>
      <c r="I126" s="5">
        <v>23.98</v>
      </c>
      <c r="J126" s="6">
        <f t="shared" si="6"/>
        <v>957.44946000000004</v>
      </c>
      <c r="K126" s="7">
        <f t="shared" si="7"/>
        <v>6.8625241064943525</v>
      </c>
    </row>
    <row r="127" spans="1:19" hidden="1" x14ac:dyDescent="0.3">
      <c r="A127" s="2">
        <f t="shared" si="4"/>
        <v>123</v>
      </c>
      <c r="B127" s="3">
        <v>46266</v>
      </c>
      <c r="C127" s="4" t="s">
        <v>58</v>
      </c>
      <c r="D127" s="9">
        <f>IF(C127="","",IFERROR(INDEX($E$5:$E$486,SUMPRODUCT(MAX(($C$5:$C$486=C127)*($A$5:$A$486&lt;A127)*$A$5:$A$486))),""))</f>
        <v>179058</v>
      </c>
      <c r="E127" s="4">
        <v>179290</v>
      </c>
      <c r="F127" s="2">
        <f t="shared" si="5"/>
        <v>232</v>
      </c>
      <c r="G127" s="4" t="str">
        <f>IF(C127="","",IFERROR(VLOOKUP(C127,Listas!$A$2:$C$39,3,FALSE()),"Asigna combustible en hoja Listas"))</f>
        <v xml:space="preserve">Gasolina </v>
      </c>
      <c r="H127" s="4">
        <v>36.396000000000001</v>
      </c>
      <c r="I127" s="5">
        <v>23.98</v>
      </c>
      <c r="J127" s="6">
        <f t="shared" si="6"/>
        <v>872.77607999999998</v>
      </c>
      <c r="K127" s="7">
        <f t="shared" si="7"/>
        <v>6.374326849104297</v>
      </c>
    </row>
    <row r="128" spans="1:19" hidden="1" x14ac:dyDescent="0.3">
      <c r="A128" s="2">
        <f t="shared" si="4"/>
        <v>124</v>
      </c>
      <c r="B128" s="3">
        <v>46267</v>
      </c>
      <c r="C128" s="4" t="s">
        <v>40</v>
      </c>
      <c r="D128" s="9">
        <f>IF(C128="","",IFERROR(INDEX($E$5:$E$486,SUMPRODUCT(MAX(($C$5:$C$486=C128)*($A$5:$A$486&lt;A128)*$A$5:$A$486))),""))</f>
        <v>214087</v>
      </c>
      <c r="E128" s="4">
        <v>214325</v>
      </c>
      <c r="F128" s="2">
        <f t="shared" si="5"/>
        <v>238</v>
      </c>
      <c r="G128" s="4" t="str">
        <f>IF(C128="","",IFERROR(VLOOKUP(C128,Listas!$A$2:$C$39,3,FALSE()),"Asigna combustible en hoja Listas"))</f>
        <v>Diesel</v>
      </c>
      <c r="H128" s="4">
        <v>39.945999999999998</v>
      </c>
      <c r="I128" s="5">
        <v>27</v>
      </c>
      <c r="J128" s="6">
        <f t="shared" si="6"/>
        <v>1078.5419999999999</v>
      </c>
      <c r="K128" s="7">
        <f t="shared" si="7"/>
        <v>5.9580433585340211</v>
      </c>
    </row>
    <row r="129" spans="1:11" hidden="1" x14ac:dyDescent="0.3">
      <c r="A129" s="2">
        <f t="shared" si="4"/>
        <v>125</v>
      </c>
      <c r="B129" s="3">
        <v>46267</v>
      </c>
      <c r="C129" s="4" t="s">
        <v>57</v>
      </c>
      <c r="D129" s="9">
        <f>IF(C129="","",IFERROR(INDEX($E$5:$E$486,SUMPRODUCT(MAX(($C$5:$C$486=C129)*($A$5:$A$486&lt;A129)*$A$5:$A$486))),""))</f>
        <v>270633</v>
      </c>
      <c r="E129" s="4">
        <v>271045</v>
      </c>
      <c r="F129" s="2">
        <f t="shared" si="5"/>
        <v>412</v>
      </c>
      <c r="G129" s="4" t="str">
        <f>IF(C129="","",IFERROR(VLOOKUP(C129,Listas!$A$2:$C$39,3,FALSE()),"Asigna combustible en hoja Listas"))</f>
        <v xml:space="preserve">Gasolina </v>
      </c>
      <c r="H129" s="4">
        <v>49.170999999999999</v>
      </c>
      <c r="I129" s="5">
        <v>23.98</v>
      </c>
      <c r="J129" s="6">
        <f t="shared" si="6"/>
        <v>1179.12058</v>
      </c>
      <c r="K129" s="7">
        <f t="shared" si="7"/>
        <v>8.3789225356409265</v>
      </c>
    </row>
    <row r="130" spans="1:11" hidden="1" x14ac:dyDescent="0.3">
      <c r="A130" s="2">
        <f t="shared" si="4"/>
        <v>126</v>
      </c>
      <c r="B130" s="3">
        <v>46267</v>
      </c>
      <c r="C130" s="4" t="s">
        <v>58</v>
      </c>
      <c r="D130" s="9">
        <f>IF(C130="","",IFERROR(INDEX($E$5:$E$486,SUMPRODUCT(MAX(($C$5:$C$486=C130)*($A$5:$A$486&lt;A130)*$A$5:$A$486))),""))</f>
        <v>179290</v>
      </c>
      <c r="E130" s="4">
        <v>179522</v>
      </c>
      <c r="F130" s="2">
        <f t="shared" si="5"/>
        <v>232</v>
      </c>
      <c r="G130" s="4" t="str">
        <f>IF(C130="","",IFERROR(VLOOKUP(C130,Listas!$A$2:$C$39,3,FALSE()),"Asigna combustible en hoja Listas"))</f>
        <v xml:space="preserve">Gasolina </v>
      </c>
      <c r="H130" s="4">
        <v>37.484999999999999</v>
      </c>
      <c r="I130" s="5">
        <v>23.98</v>
      </c>
      <c r="J130" s="6">
        <f t="shared" si="6"/>
        <v>898.89030000000002</v>
      </c>
      <c r="K130" s="7">
        <f t="shared" si="7"/>
        <v>6.1891423235961049</v>
      </c>
    </row>
    <row r="131" spans="1:11" hidden="1" x14ac:dyDescent="0.3">
      <c r="A131" s="2">
        <f t="shared" si="4"/>
        <v>127</v>
      </c>
      <c r="B131" s="3">
        <v>46267</v>
      </c>
      <c r="C131" s="4" t="s">
        <v>61</v>
      </c>
      <c r="D131" s="9">
        <f>IF(C131="","",IFERROR(INDEX($E$5:$E$486,SUMPRODUCT(MAX(($C$5:$C$486=C131)*($A$5:$A$486&lt;A131)*$A$5:$A$486))),""))</f>
        <v>3082</v>
      </c>
      <c r="E131" s="4">
        <v>3811.1</v>
      </c>
      <c r="F131" s="2">
        <f t="shared" si="5"/>
        <v>729.09999999999991</v>
      </c>
      <c r="G131" s="4" t="str">
        <f>IF(C131="","",IFERROR(VLOOKUP(C131,Listas!$A$2:$C$39,3,FALSE()),"Asigna combustible en hoja Listas"))</f>
        <v>Diesel</v>
      </c>
      <c r="H131" s="4">
        <v>55.134</v>
      </c>
      <c r="I131" s="5">
        <v>27</v>
      </c>
      <c r="J131" s="6">
        <f t="shared" si="6"/>
        <v>1488.6179999999999</v>
      </c>
      <c r="K131" s="7">
        <f t="shared" si="7"/>
        <v>13.224144810824535</v>
      </c>
    </row>
    <row r="132" spans="1:11" hidden="1" x14ac:dyDescent="0.3">
      <c r="A132" s="2">
        <f t="shared" si="4"/>
        <v>128</v>
      </c>
      <c r="B132" s="3">
        <v>46268</v>
      </c>
      <c r="C132" s="4" t="s">
        <v>32</v>
      </c>
      <c r="D132" s="9">
        <f>IF(C132="","",IFERROR(INDEX($E$5:$E$486,SUMPRODUCT(MAX(($C$5:$C$486=C132)*($A$5:$A$486&lt;A132)*$A$5:$A$486))),""))</f>
        <v>530834</v>
      </c>
      <c r="E132" s="4">
        <v>531046</v>
      </c>
      <c r="F132" s="2">
        <f t="shared" si="5"/>
        <v>212</v>
      </c>
      <c r="G132" s="4" t="str">
        <f>IF(C132="","",IFERROR(VLOOKUP(C132,Listas!$A$2:$C$39,3,FALSE()),"Asigna combustible en hoja Listas"))</f>
        <v xml:space="preserve">Gasolina </v>
      </c>
      <c r="H132" s="4">
        <v>32.186999999999998</v>
      </c>
      <c r="I132" s="5">
        <v>23.98</v>
      </c>
      <c r="J132" s="6">
        <f t="shared" si="6"/>
        <v>771.84425999999996</v>
      </c>
      <c r="K132" s="7">
        <f t="shared" si="7"/>
        <v>6.5865100817100073</v>
      </c>
    </row>
    <row r="133" spans="1:11" hidden="1" x14ac:dyDescent="0.3">
      <c r="A133" s="2">
        <f t="shared" ref="A133:A196" si="8">ROW()-4</f>
        <v>129</v>
      </c>
      <c r="B133" s="3">
        <v>46268</v>
      </c>
      <c r="C133" s="4" t="s">
        <v>42</v>
      </c>
      <c r="D133" s="9">
        <f>IF(C133="","",IFERROR(INDEX($E$5:$E$486,SUMPRODUCT(MAX(($C$5:$C$486=C133)*($A$5:$A$486&lt;A133)*$A$5:$A$486))),""))</f>
        <v>207364</v>
      </c>
      <c r="E133" s="4">
        <v>207641</v>
      </c>
      <c r="F133" s="2">
        <f t="shared" ref="F133:F196" si="9">IFERROR(E133-D133,0)</f>
        <v>277</v>
      </c>
      <c r="G133" s="4" t="str">
        <f>IF(C133="","",IFERROR(VLOOKUP(C133,Listas!$A$2:$C$39,3,FALSE()),"Asigna combustible en hoja Listas"))</f>
        <v>Diesel</v>
      </c>
      <c r="H133" s="4">
        <v>57.006</v>
      </c>
      <c r="I133" s="5">
        <v>27</v>
      </c>
      <c r="J133" s="6">
        <f t="shared" ref="J133:J196" si="10">H133*I133</f>
        <v>1539.162</v>
      </c>
      <c r="K133" s="7">
        <f t="shared" ref="K133:K196" si="11">IFERROR(F133/H133,0)</f>
        <v>4.8591376346349504</v>
      </c>
    </row>
    <row r="134" spans="1:11" hidden="1" x14ac:dyDescent="0.3">
      <c r="A134" s="2">
        <f t="shared" si="8"/>
        <v>130</v>
      </c>
      <c r="B134" s="3">
        <v>46268</v>
      </c>
      <c r="C134" s="4" t="s">
        <v>52</v>
      </c>
      <c r="D134" s="9">
        <f>IF(C134="","",IFERROR(INDEX($E$5:$E$486,SUMPRODUCT(MAX(($C$5:$C$486=C134)*($A$5:$A$486&lt;A134)*$A$5:$A$486))),""))</f>
        <v>219828</v>
      </c>
      <c r="E134" s="4">
        <v>220150</v>
      </c>
      <c r="F134" s="2">
        <f t="shared" si="9"/>
        <v>322</v>
      </c>
      <c r="G134" s="4" t="str">
        <f>IF(C134="","",IFERROR(VLOOKUP(C134,Listas!$A$2:$C$39,3,FALSE()),"Asigna combustible en hoja Listas"))</f>
        <v xml:space="preserve">Gasolina </v>
      </c>
      <c r="H134" s="4">
        <v>51.454000000000001</v>
      </c>
      <c r="I134" s="5">
        <v>23.98</v>
      </c>
      <c r="J134" s="6">
        <f t="shared" si="10"/>
        <v>1233.8669199999999</v>
      </c>
      <c r="K134" s="7">
        <f t="shared" si="11"/>
        <v>6.2580168694367782</v>
      </c>
    </row>
    <row r="135" spans="1:11" hidden="1" x14ac:dyDescent="0.3">
      <c r="A135" s="2">
        <f t="shared" si="8"/>
        <v>131</v>
      </c>
      <c r="B135" s="3">
        <v>46268</v>
      </c>
      <c r="C135" s="4" t="s">
        <v>58</v>
      </c>
      <c r="D135" s="9">
        <f>IF(C135="","",IFERROR(INDEX($E$5:$E$486,SUMPRODUCT(MAX(($C$5:$C$486=C135)*($A$5:$A$486&lt;A135)*$A$5:$A$486))),""))</f>
        <v>179522</v>
      </c>
      <c r="E135" s="4">
        <v>179730</v>
      </c>
      <c r="F135" s="2">
        <f t="shared" si="9"/>
        <v>208</v>
      </c>
      <c r="G135" s="4" t="str">
        <f>IF(C135="","",IFERROR(VLOOKUP(C135,Listas!$A$2:$C$39,3,FALSE()),"Asigna combustible en hoja Listas"))</f>
        <v xml:space="preserve">Gasolina </v>
      </c>
      <c r="H135" s="4">
        <v>32.292000000000002</v>
      </c>
      <c r="I135" s="5">
        <v>23.98</v>
      </c>
      <c r="J135" s="6">
        <f t="shared" si="10"/>
        <v>774.36216000000002</v>
      </c>
      <c r="K135" s="7">
        <f t="shared" si="11"/>
        <v>6.4412238325281796</v>
      </c>
    </row>
    <row r="136" spans="1:11" hidden="1" x14ac:dyDescent="0.3">
      <c r="A136" s="2">
        <f t="shared" si="8"/>
        <v>132</v>
      </c>
      <c r="B136" s="3">
        <v>46268</v>
      </c>
      <c r="C136" s="4" t="s">
        <v>48</v>
      </c>
      <c r="D136" s="9">
        <f>IF(C136="","",IFERROR(INDEX($E$5:$E$486,SUMPRODUCT(MAX(($C$5:$C$486=C136)*($A$5:$A$486&lt;A136)*$A$5:$A$486))),""))</f>
        <v>291526</v>
      </c>
      <c r="E136" s="4">
        <v>291720</v>
      </c>
      <c r="F136" s="2">
        <f t="shared" si="9"/>
        <v>194</v>
      </c>
      <c r="G136" s="4" t="str">
        <f>IF(C136="","",IFERROR(VLOOKUP(C136,Listas!$A$2:$C$39,3,FALSE()),"Asigna combustible en hoja Listas"))</f>
        <v xml:space="preserve">Gasolina </v>
      </c>
      <c r="H136" s="4">
        <v>37.350999999999999</v>
      </c>
      <c r="I136" s="5">
        <v>23.98</v>
      </c>
      <c r="J136" s="6">
        <f t="shared" si="10"/>
        <v>895.67697999999996</v>
      </c>
      <c r="K136" s="7">
        <f t="shared" si="11"/>
        <v>5.1939707102888812</v>
      </c>
    </row>
    <row r="137" spans="1:11" hidden="1" x14ac:dyDescent="0.3">
      <c r="A137" s="2">
        <f t="shared" si="8"/>
        <v>133</v>
      </c>
      <c r="B137" s="3">
        <v>46269</v>
      </c>
      <c r="C137" s="4" t="s">
        <v>39</v>
      </c>
      <c r="D137" s="9">
        <f>IF(C137="","",IFERROR(INDEX($E$5:$E$486,SUMPRODUCT(MAX(($C$5:$C$486=C137)*($A$5:$A$486&lt;A137)*$A$5:$A$486))),""))</f>
        <v>206510</v>
      </c>
      <c r="E137" s="4">
        <v>206828</v>
      </c>
      <c r="F137" s="2">
        <f t="shared" si="9"/>
        <v>318</v>
      </c>
      <c r="G137" s="4" t="str">
        <f>IF(C137="","",IFERROR(VLOOKUP(C137,Listas!$A$2:$C$39,3,FALSE()),"Asigna combustible en hoja Listas"))</f>
        <v>Diesel</v>
      </c>
      <c r="H137" s="4">
        <v>41.85</v>
      </c>
      <c r="I137" s="5">
        <v>27</v>
      </c>
      <c r="J137" s="6">
        <f t="shared" si="10"/>
        <v>1129.95</v>
      </c>
      <c r="K137" s="7">
        <f t="shared" si="11"/>
        <v>7.5985663082437274</v>
      </c>
    </row>
    <row r="138" spans="1:11" hidden="1" x14ac:dyDescent="0.3">
      <c r="A138" s="2">
        <f t="shared" si="8"/>
        <v>134</v>
      </c>
      <c r="B138" s="3">
        <v>46269</v>
      </c>
      <c r="C138" s="4" t="s">
        <v>45</v>
      </c>
      <c r="D138" s="9">
        <f>IF(C138="","",IFERROR(INDEX($E$5:$E$486,SUMPRODUCT(MAX(($C$5:$C$486=C138)*($A$5:$A$486&lt;A138)*$A$5:$A$486))),""))</f>
        <v>206661</v>
      </c>
      <c r="E138" s="4">
        <v>206872</v>
      </c>
      <c r="F138" s="2">
        <f t="shared" si="9"/>
        <v>211</v>
      </c>
      <c r="G138" s="4" t="str">
        <f>IF(C138="","",IFERROR(VLOOKUP(C138,Listas!$A$2:$C$39,3,FALSE()),"Asigna combustible en hoja Listas"))</f>
        <v>Diesel</v>
      </c>
      <c r="H138" s="4">
        <v>33.19</v>
      </c>
      <c r="I138" s="5">
        <v>27</v>
      </c>
      <c r="J138" s="6">
        <f t="shared" si="10"/>
        <v>896.12999999999988</v>
      </c>
      <c r="K138" s="7">
        <f t="shared" si="11"/>
        <v>6.357336547152757</v>
      </c>
    </row>
    <row r="139" spans="1:11" hidden="1" x14ac:dyDescent="0.3">
      <c r="A139" s="2">
        <f t="shared" si="8"/>
        <v>135</v>
      </c>
      <c r="B139" s="3">
        <v>46269</v>
      </c>
      <c r="C139" s="4" t="s">
        <v>54</v>
      </c>
      <c r="D139" s="9">
        <f>IF(C139="","",IFERROR(INDEX($E$5:$E$486,SUMPRODUCT(MAX(($C$5:$C$486=C139)*($A$5:$A$486&lt;A139)*$A$5:$A$486))),""))</f>
        <v>251148</v>
      </c>
      <c r="E139" s="4">
        <v>251554</v>
      </c>
      <c r="F139" s="2">
        <f t="shared" si="9"/>
        <v>406</v>
      </c>
      <c r="G139" s="4" t="str">
        <f>IF(C139="","",IFERROR(VLOOKUP(C139,Listas!$A$2:$C$39,3,FALSE()),"Asigna combustible en hoja Listas"))</f>
        <v xml:space="preserve">Gasolina </v>
      </c>
      <c r="H139" s="4">
        <v>57.438000000000002</v>
      </c>
      <c r="I139" s="5">
        <v>23.98</v>
      </c>
      <c r="J139" s="6">
        <f t="shared" si="10"/>
        <v>1377.3632400000001</v>
      </c>
      <c r="K139" s="7">
        <f t="shared" si="11"/>
        <v>7.0684912427312927</v>
      </c>
    </row>
    <row r="140" spans="1:11" hidden="1" x14ac:dyDescent="0.3">
      <c r="A140" s="2">
        <f t="shared" si="8"/>
        <v>136</v>
      </c>
      <c r="B140" s="3">
        <v>46269</v>
      </c>
      <c r="C140" s="4" t="s">
        <v>58</v>
      </c>
      <c r="D140" s="9">
        <f>IF(C140="","",IFERROR(INDEX($E$5:$E$486,SUMPRODUCT(MAX(($C$5:$C$486=C140)*($A$5:$A$486&lt;A140)*$A$5:$A$486))),""))</f>
        <v>179730</v>
      </c>
      <c r="E140" s="4">
        <v>179938</v>
      </c>
      <c r="F140" s="2">
        <f t="shared" si="9"/>
        <v>208</v>
      </c>
      <c r="G140" s="4" t="str">
        <f>IF(C140="","",IFERROR(VLOOKUP(C140,Listas!$A$2:$C$39,3,FALSE()),"Asigna combustible en hoja Listas"))</f>
        <v xml:space="preserve">Gasolina </v>
      </c>
      <c r="H140" s="4">
        <v>33.286999999999999</v>
      </c>
      <c r="I140" s="5">
        <v>23.98</v>
      </c>
      <c r="J140" s="6">
        <f t="shared" si="10"/>
        <v>798.22226000000001</v>
      </c>
      <c r="K140" s="7">
        <f t="shared" si="11"/>
        <v>6.2486856730855891</v>
      </c>
    </row>
    <row r="141" spans="1:11" hidden="1" x14ac:dyDescent="0.3">
      <c r="A141" s="2">
        <f t="shared" si="8"/>
        <v>137</v>
      </c>
      <c r="B141" s="3">
        <v>46269</v>
      </c>
      <c r="C141" s="4" t="s">
        <v>61</v>
      </c>
      <c r="D141" s="9">
        <f>IF(C141="","",IFERROR(INDEX($E$5:$E$486,SUMPRODUCT(MAX(($C$5:$C$486=C141)*($A$5:$A$486&lt;A141)*$A$5:$A$486))),""))</f>
        <v>3811.1</v>
      </c>
      <c r="E141" s="4">
        <v>4129.8</v>
      </c>
      <c r="F141" s="2">
        <f t="shared" si="9"/>
        <v>318.70000000000027</v>
      </c>
      <c r="G141" s="4" t="str">
        <f>IF(C141="","",IFERROR(VLOOKUP(C141,Listas!$A$2:$C$39,3,FALSE()),"Asigna combustible en hoja Listas"))</f>
        <v>Diesel</v>
      </c>
      <c r="H141" s="4">
        <v>34.543999999999997</v>
      </c>
      <c r="I141" s="5">
        <v>27</v>
      </c>
      <c r="J141" s="6">
        <f t="shared" si="10"/>
        <v>932.68799999999987</v>
      </c>
      <c r="K141" s="7">
        <f t="shared" si="11"/>
        <v>9.2259147753589712</v>
      </c>
    </row>
    <row r="142" spans="1:11" hidden="1" x14ac:dyDescent="0.3">
      <c r="A142" s="2">
        <f t="shared" si="8"/>
        <v>138</v>
      </c>
      <c r="B142" s="3">
        <v>46269</v>
      </c>
      <c r="C142" s="4" t="s">
        <v>49</v>
      </c>
      <c r="D142" s="9">
        <f>IF(C142="","",IFERROR(INDEX($E$5:$E$486,SUMPRODUCT(MAX(($C$5:$C$486=C142)*($A$5:$A$486&lt;A142)*$A$5:$A$486))),""))</f>
        <v>306015</v>
      </c>
      <c r="E142" s="4">
        <v>306264</v>
      </c>
      <c r="F142" s="2">
        <f t="shared" si="9"/>
        <v>249</v>
      </c>
      <c r="G142" s="4" t="str">
        <f>IF(C142="","",IFERROR(VLOOKUP(C142,Listas!$A$2:$C$39,3,FALSE()),"Asigna combustible en hoja Listas"))</f>
        <v xml:space="preserve">Gasolina </v>
      </c>
      <c r="H142" s="4">
        <v>35.075000000000003</v>
      </c>
      <c r="I142" s="5">
        <v>23.98</v>
      </c>
      <c r="J142" s="6">
        <f t="shared" si="10"/>
        <v>841.09850000000006</v>
      </c>
      <c r="K142" s="7">
        <f t="shared" si="11"/>
        <v>7.0990734141126151</v>
      </c>
    </row>
    <row r="143" spans="1:11" hidden="1" x14ac:dyDescent="0.3">
      <c r="A143" s="2">
        <f t="shared" si="8"/>
        <v>139</v>
      </c>
      <c r="B143" s="3">
        <v>46269</v>
      </c>
      <c r="C143" s="4" t="s">
        <v>64</v>
      </c>
      <c r="D143" s="9">
        <f>IF(C143="","",IFERROR(INDEX($E$5:$E$486,SUMPRODUCT(MAX(($C$5:$C$486=C143)*($A$5:$A$486&lt;A143)*$A$5:$A$486))),""))</f>
        <v>0</v>
      </c>
      <c r="E143" s="4"/>
      <c r="F143" s="2">
        <f t="shared" si="9"/>
        <v>0</v>
      </c>
      <c r="G143" s="4" t="s">
        <v>13</v>
      </c>
      <c r="H143" s="4">
        <v>20</v>
      </c>
      <c r="I143" s="5">
        <v>23.98</v>
      </c>
      <c r="J143" s="6">
        <f t="shared" si="10"/>
        <v>479.6</v>
      </c>
      <c r="K143" s="7">
        <f t="shared" si="11"/>
        <v>0</v>
      </c>
    </row>
    <row r="144" spans="1:11" hidden="1" x14ac:dyDescent="0.3">
      <c r="A144" s="2">
        <f t="shared" si="8"/>
        <v>140</v>
      </c>
      <c r="B144" s="3">
        <v>46269</v>
      </c>
      <c r="C144" s="4" t="s">
        <v>64</v>
      </c>
      <c r="D144" s="9">
        <f>IF(C144="","",IFERROR(INDEX($E$5:$E$486,SUMPRODUCT(MAX(($C$5:$C$486=C144)*($A$5:$A$486&lt;A144)*$A$5:$A$486))),""))</f>
        <v>0</v>
      </c>
      <c r="E144" s="4"/>
      <c r="F144" s="2">
        <f t="shared" si="9"/>
        <v>0</v>
      </c>
      <c r="G144" s="4" t="s">
        <v>13</v>
      </c>
      <c r="H144" s="4">
        <v>31.2</v>
      </c>
      <c r="I144" s="5">
        <v>23.98</v>
      </c>
      <c r="J144" s="6">
        <f t="shared" si="10"/>
        <v>748.17600000000004</v>
      </c>
      <c r="K144" s="7">
        <f t="shared" si="11"/>
        <v>0</v>
      </c>
    </row>
    <row r="145" spans="1:11" ht="27.6" hidden="1" x14ac:dyDescent="0.3">
      <c r="A145" s="2">
        <f t="shared" si="8"/>
        <v>141</v>
      </c>
      <c r="B145" s="3">
        <v>46269</v>
      </c>
      <c r="C145" s="4" t="s">
        <v>71</v>
      </c>
      <c r="D145" s="9">
        <f>IF(C145="","",IFERROR(INDEX($E$5:$E$486,SUMPRODUCT(MAX(($C$5:$C$486=C145)*($A$5:$A$486&lt;A145)*$A$5:$A$486))),""))</f>
        <v>0</v>
      </c>
      <c r="E145" s="4"/>
      <c r="F145" s="2">
        <f t="shared" si="9"/>
        <v>0</v>
      </c>
      <c r="G145" s="4" t="str">
        <f>IF(C145="","",IFERROR(VLOOKUP(C145,Listas!$A$2:$C$39,3,FALSE()),"Asigna combustible en hoja Listas"))</f>
        <v xml:space="preserve">Gasolina </v>
      </c>
      <c r="H145" s="4">
        <v>50</v>
      </c>
      <c r="I145" s="5">
        <v>100</v>
      </c>
      <c r="J145" s="6">
        <f t="shared" si="10"/>
        <v>5000</v>
      </c>
      <c r="K145" s="7">
        <f t="shared" si="11"/>
        <v>0</v>
      </c>
    </row>
    <row r="146" spans="1:11" ht="27.6" hidden="1" x14ac:dyDescent="0.3">
      <c r="A146" s="2">
        <f t="shared" si="8"/>
        <v>142</v>
      </c>
      <c r="B146" s="3">
        <v>46269</v>
      </c>
      <c r="C146" s="4" t="s">
        <v>72</v>
      </c>
      <c r="D146" s="9">
        <f>IF(C146="","",IFERROR(INDEX($E$5:$E$486,SUMPRODUCT(MAX(($C$5:$C$486=C146)*($A$5:$A$486&lt;A146)*$A$5:$A$486))),""))</f>
        <v>0</v>
      </c>
      <c r="E146" s="4"/>
      <c r="F146" s="2">
        <f t="shared" si="9"/>
        <v>0</v>
      </c>
      <c r="G146" s="4" t="str">
        <f>IF(C146="","",IFERROR(VLOOKUP(C146,Listas!$A$2:$C$39,3,FALSE()),"Asigna combustible en hoja Listas"))</f>
        <v xml:space="preserve">Gasolina </v>
      </c>
      <c r="H146" s="4">
        <v>50</v>
      </c>
      <c r="I146" s="5">
        <v>100</v>
      </c>
      <c r="J146" s="6">
        <f t="shared" si="10"/>
        <v>5000</v>
      </c>
      <c r="K146" s="7">
        <f t="shared" si="11"/>
        <v>0</v>
      </c>
    </row>
    <row r="147" spans="1:11" hidden="1" x14ac:dyDescent="0.3">
      <c r="A147" s="2">
        <f t="shared" si="8"/>
        <v>143</v>
      </c>
      <c r="B147" s="3">
        <v>46272</v>
      </c>
      <c r="C147" s="4" t="s">
        <v>31</v>
      </c>
      <c r="D147" s="9">
        <f>IF(C147="","",IFERROR(INDEX($E$5:$E$486,SUMPRODUCT(MAX(($C$5:$C$486=C147)*($A$5:$A$486&lt;A147)*$A$5:$A$486))),""))</f>
        <v>121600</v>
      </c>
      <c r="E147" s="4">
        <v>121686</v>
      </c>
      <c r="F147" s="2">
        <f t="shared" si="9"/>
        <v>86</v>
      </c>
      <c r="G147" s="4" t="str">
        <f>IF(C147="","",IFERROR(VLOOKUP(C147,Listas!$A$2:$C$39,3,FALSE()),"Asigna combustible en hoja Listas"))</f>
        <v>Diesel</v>
      </c>
      <c r="H147" s="4">
        <v>45</v>
      </c>
      <c r="I147" s="5">
        <v>27</v>
      </c>
      <c r="J147" s="6">
        <f t="shared" si="10"/>
        <v>1215</v>
      </c>
      <c r="K147" s="7">
        <f t="shared" si="11"/>
        <v>1.9111111111111112</v>
      </c>
    </row>
    <row r="148" spans="1:11" hidden="1" x14ac:dyDescent="0.3">
      <c r="A148" s="2">
        <f t="shared" si="8"/>
        <v>144</v>
      </c>
      <c r="B148" s="3">
        <v>46272</v>
      </c>
      <c r="C148" s="4" t="s">
        <v>40</v>
      </c>
      <c r="D148" s="9">
        <f>IF(C148="","",IFERROR(INDEX($E$5:$E$486,SUMPRODUCT(MAX(($C$5:$C$486=C148)*($A$5:$A$486&lt;A148)*$A$5:$A$486))),""))</f>
        <v>214325</v>
      </c>
      <c r="E148" s="4">
        <v>214550</v>
      </c>
      <c r="F148" s="2">
        <f t="shared" si="9"/>
        <v>225</v>
      </c>
      <c r="G148" s="4" t="str">
        <f>IF(C148="","",IFERROR(VLOOKUP(C148,Listas!$A$2:$C$39,3,FALSE()),"Asigna combustible en hoja Listas"))</f>
        <v>Diesel</v>
      </c>
      <c r="H148" s="4">
        <v>32.405999999999999</v>
      </c>
      <c r="I148" s="5">
        <v>27</v>
      </c>
      <c r="J148" s="6">
        <f t="shared" si="10"/>
        <v>874.96199999999999</v>
      </c>
      <c r="K148" s="7">
        <f t="shared" si="11"/>
        <v>6.9431586743195703</v>
      </c>
    </row>
    <row r="149" spans="1:11" hidden="1" x14ac:dyDescent="0.3">
      <c r="A149" s="2">
        <f t="shared" si="8"/>
        <v>145</v>
      </c>
      <c r="B149" s="3">
        <v>46272</v>
      </c>
      <c r="C149" s="4" t="s">
        <v>41</v>
      </c>
      <c r="D149" s="9">
        <f>IF(C149="","",IFERROR(INDEX($E$5:$E$486,SUMPRODUCT(MAX(($C$5:$C$486=C149)*($A$5:$A$486&lt;A149)*$A$5:$A$486))),""))</f>
        <v>184032</v>
      </c>
      <c r="E149" s="4">
        <v>184202</v>
      </c>
      <c r="F149" s="2">
        <f t="shared" si="9"/>
        <v>170</v>
      </c>
      <c r="G149" s="4" t="str">
        <f>IF(C149="","",IFERROR(VLOOKUP(C149,Listas!$A$2:$C$39,3,FALSE()),"Asigna combustible en hoja Listas"))</f>
        <v>Diesel</v>
      </c>
      <c r="H149" s="4">
        <v>40.011000000000003</v>
      </c>
      <c r="I149" s="5">
        <v>27</v>
      </c>
      <c r="J149" s="6">
        <f t="shared" si="10"/>
        <v>1080.297</v>
      </c>
      <c r="K149" s="7">
        <f t="shared" si="11"/>
        <v>4.2488315713178872</v>
      </c>
    </row>
    <row r="150" spans="1:11" hidden="1" x14ac:dyDescent="0.3">
      <c r="A150" s="2">
        <f t="shared" si="8"/>
        <v>146</v>
      </c>
      <c r="B150" s="3">
        <v>46272</v>
      </c>
      <c r="C150" s="4" t="s">
        <v>42</v>
      </c>
      <c r="D150" s="9">
        <f>IF(C150="","",IFERROR(INDEX($E$5:$E$486,SUMPRODUCT(MAX(($C$5:$C$486=C150)*($A$5:$A$486&lt;A150)*$A$5:$A$486))),""))</f>
        <v>207641</v>
      </c>
      <c r="E150" s="4">
        <v>207942</v>
      </c>
      <c r="F150" s="2">
        <f t="shared" si="9"/>
        <v>301</v>
      </c>
      <c r="G150" s="4" t="str">
        <f>IF(C150="","",IFERROR(VLOOKUP(C150,Listas!$A$2:$C$39,3,FALSE()),"Asigna combustible en hoja Listas"))</f>
        <v>Diesel</v>
      </c>
      <c r="H150" s="4">
        <v>50.588999999999999</v>
      </c>
      <c r="I150" s="5">
        <v>27</v>
      </c>
      <c r="J150" s="6">
        <f t="shared" si="10"/>
        <v>1365.903</v>
      </c>
      <c r="K150" s="7">
        <f t="shared" si="11"/>
        <v>5.9499100594991008</v>
      </c>
    </row>
    <row r="151" spans="1:11" hidden="1" x14ac:dyDescent="0.3">
      <c r="A151" s="2">
        <f t="shared" si="8"/>
        <v>147</v>
      </c>
      <c r="B151" s="3">
        <v>46272</v>
      </c>
      <c r="C151" s="4" t="s">
        <v>44</v>
      </c>
      <c r="D151" s="9">
        <f>IF(C151="","",IFERROR(INDEX($E$5:$E$486,SUMPRODUCT(MAX(($C$5:$C$486=C151)*($A$5:$A$486&lt;A151)*$A$5:$A$486))),""))</f>
        <v>277385</v>
      </c>
      <c r="E151" s="4">
        <v>277798</v>
      </c>
      <c r="F151" s="2">
        <f t="shared" si="9"/>
        <v>413</v>
      </c>
      <c r="G151" s="4" t="str">
        <f>IF(C151="","",IFERROR(VLOOKUP(C151,Listas!$A$2:$C$39,3,FALSE()),"Asigna combustible en hoja Listas"))</f>
        <v>Diesel</v>
      </c>
      <c r="H151" s="4">
        <v>65.433999999999997</v>
      </c>
      <c r="I151" s="5">
        <v>27</v>
      </c>
      <c r="J151" s="6">
        <f t="shared" si="10"/>
        <v>1766.7179999999998</v>
      </c>
      <c r="K151" s="7">
        <f t="shared" si="11"/>
        <v>6.3117033957881228</v>
      </c>
    </row>
    <row r="152" spans="1:11" hidden="1" x14ac:dyDescent="0.3">
      <c r="A152" s="2">
        <f t="shared" si="8"/>
        <v>148</v>
      </c>
      <c r="B152" s="3">
        <v>46272</v>
      </c>
      <c r="C152" s="4" t="s">
        <v>47</v>
      </c>
      <c r="D152" s="9">
        <f>IF(C152="","",IFERROR(INDEX($E$5:$E$486,SUMPRODUCT(MAX(($C$5:$C$486=C152)*($A$5:$A$486&lt;A152)*$A$5:$A$486))),""))</f>
        <v>112050</v>
      </c>
      <c r="E152" s="4">
        <v>112258</v>
      </c>
      <c r="F152" s="2">
        <f t="shared" si="9"/>
        <v>208</v>
      </c>
      <c r="G152" s="4" t="str">
        <f>IF(C152="","",IFERROR(VLOOKUP(C152,Listas!$A$2:$C$39,3,FALSE()),"Asigna combustible en hoja Listas"))</f>
        <v>Gasolina</v>
      </c>
      <c r="H152" s="4">
        <v>83.625</v>
      </c>
      <c r="I152" s="5">
        <v>23.98</v>
      </c>
      <c r="J152" s="6">
        <f t="shared" si="10"/>
        <v>2005.3275000000001</v>
      </c>
      <c r="K152" s="7">
        <f t="shared" si="11"/>
        <v>2.4872944693572494</v>
      </c>
    </row>
    <row r="153" spans="1:11" hidden="1" x14ac:dyDescent="0.3">
      <c r="A153" s="2">
        <f t="shared" si="8"/>
        <v>149</v>
      </c>
      <c r="B153" s="3">
        <v>46272</v>
      </c>
      <c r="C153" s="4" t="s">
        <v>57</v>
      </c>
      <c r="D153" s="9">
        <f>IF(C153="","",IFERROR(INDEX($E$5:$E$486,SUMPRODUCT(MAX(($C$5:$C$486=C153)*($A$5:$A$486&lt;A153)*$A$5:$A$486))),""))</f>
        <v>271045</v>
      </c>
      <c r="E153" s="4">
        <v>271537</v>
      </c>
      <c r="F153" s="2">
        <f t="shared" si="9"/>
        <v>492</v>
      </c>
      <c r="G153" s="4" t="str">
        <f>IF(C153="","",IFERROR(VLOOKUP(C153,Listas!$A$2:$C$39,3,FALSE()),"Asigna combustible en hoja Listas"))</f>
        <v xml:space="preserve">Gasolina </v>
      </c>
      <c r="H153" s="4">
        <v>32.055999999999997</v>
      </c>
      <c r="I153" s="5">
        <v>23.98</v>
      </c>
      <c r="J153" s="6">
        <f t="shared" si="10"/>
        <v>768.70287999999994</v>
      </c>
      <c r="K153" s="7">
        <f t="shared" si="11"/>
        <v>15.34814075368106</v>
      </c>
    </row>
    <row r="154" spans="1:11" hidden="1" x14ac:dyDescent="0.3">
      <c r="A154" s="2">
        <f t="shared" si="8"/>
        <v>150</v>
      </c>
      <c r="B154" s="3">
        <v>46272</v>
      </c>
      <c r="C154" s="4" t="s">
        <v>58</v>
      </c>
      <c r="D154" s="9">
        <f>IF(C154="","",IFERROR(INDEX($E$5:$E$486,SUMPRODUCT(MAX(($C$5:$C$486=C154)*($A$5:$A$486&lt;A154)*$A$5:$A$486))),""))</f>
        <v>179938</v>
      </c>
      <c r="E154" s="4">
        <v>180175</v>
      </c>
      <c r="F154" s="2">
        <f t="shared" si="9"/>
        <v>237</v>
      </c>
      <c r="G154" s="4" t="str">
        <f>IF(C154="","",IFERROR(VLOOKUP(C154,Listas!$A$2:$C$39,3,FALSE()),"Asigna combustible en hoja Listas"))</f>
        <v xml:space="preserve">Gasolina </v>
      </c>
      <c r="H154" s="4">
        <v>38.255000000000003</v>
      </c>
      <c r="I154" s="5">
        <v>23.98</v>
      </c>
      <c r="J154" s="6">
        <f t="shared" si="10"/>
        <v>917.35490000000004</v>
      </c>
      <c r="K154" s="7">
        <f t="shared" si="11"/>
        <v>6.1952685923408701</v>
      </c>
    </row>
    <row r="155" spans="1:11" hidden="1" x14ac:dyDescent="0.3">
      <c r="A155" s="2">
        <f t="shared" si="8"/>
        <v>151</v>
      </c>
      <c r="B155" s="3">
        <v>46272</v>
      </c>
      <c r="C155" s="4" t="s">
        <v>62</v>
      </c>
      <c r="D155" s="9">
        <f>IF(C155="","",IFERROR(INDEX($E$5:$E$486,SUMPRODUCT(MAX(($C$5:$C$486=C155)*($A$5:$A$486&lt;A155)*$A$5:$A$486))),""))</f>
        <v>3598</v>
      </c>
      <c r="E155" s="4"/>
      <c r="F155" s="2">
        <f t="shared" si="9"/>
        <v>-3598</v>
      </c>
      <c r="G155" s="4" t="str">
        <f>IF(C155="","",IFERROR(VLOOKUP(C155,Listas!$A$2:$C$39,3,FALSE()),"Asigna combustible en hoja Listas"))</f>
        <v>Diesel</v>
      </c>
      <c r="H155" s="4">
        <v>31.334</v>
      </c>
      <c r="I155" s="5">
        <v>27</v>
      </c>
      <c r="J155" s="6">
        <f t="shared" si="10"/>
        <v>846.01800000000003</v>
      </c>
      <c r="K155" s="7">
        <f t="shared" si="11"/>
        <v>-114.82734409906172</v>
      </c>
    </row>
    <row r="156" spans="1:11" hidden="1" x14ac:dyDescent="0.3">
      <c r="A156" s="2">
        <f t="shared" si="8"/>
        <v>152</v>
      </c>
      <c r="B156" s="3">
        <v>46273</v>
      </c>
      <c r="C156" s="4" t="s">
        <v>45</v>
      </c>
      <c r="D156" s="9">
        <f>IF(C156="","",IFERROR(INDEX($E$5:$E$486,SUMPRODUCT(MAX(($C$5:$C$486=C156)*($A$5:$A$486&lt;A156)*$A$5:$A$486))),""))</f>
        <v>206872</v>
      </c>
      <c r="E156" s="4">
        <v>207081</v>
      </c>
      <c r="F156" s="2">
        <f t="shared" si="9"/>
        <v>209</v>
      </c>
      <c r="G156" s="4" t="str">
        <f>IF(C156="","",IFERROR(VLOOKUP(C156,Listas!$A$2:$C$39,3,FALSE()),"Asigna combustible en hoja Listas"))</f>
        <v>Diesel</v>
      </c>
      <c r="H156" s="4">
        <v>30.489000000000001</v>
      </c>
      <c r="I156" s="5">
        <v>27</v>
      </c>
      <c r="J156" s="6">
        <f t="shared" si="10"/>
        <v>823.20299999999997</v>
      </c>
      <c r="K156" s="7">
        <f t="shared" si="11"/>
        <v>6.854931286693561</v>
      </c>
    </row>
    <row r="157" spans="1:11" hidden="1" x14ac:dyDescent="0.3">
      <c r="A157" s="2">
        <f t="shared" si="8"/>
        <v>153</v>
      </c>
      <c r="B157" s="3">
        <v>46273</v>
      </c>
      <c r="C157" s="4" t="s">
        <v>54</v>
      </c>
      <c r="D157" s="9">
        <f>IF(C157="","",IFERROR(INDEX($E$5:$E$486,SUMPRODUCT(MAX(($C$5:$C$486=C157)*($A$5:$A$486&lt;A157)*$A$5:$A$486))),""))</f>
        <v>251554</v>
      </c>
      <c r="E157" s="4">
        <v>251818</v>
      </c>
      <c r="F157" s="2">
        <f t="shared" si="9"/>
        <v>264</v>
      </c>
      <c r="G157" s="4" t="str">
        <f>IF(C157="","",IFERROR(VLOOKUP(C157,Listas!$A$2:$C$39,3,FALSE()),"Asigna combustible en hoja Listas"))</f>
        <v xml:space="preserve">Gasolina </v>
      </c>
      <c r="H157" s="4">
        <v>38.253999999999998</v>
      </c>
      <c r="I157" s="5">
        <v>23.98</v>
      </c>
      <c r="J157" s="6">
        <f t="shared" si="10"/>
        <v>917.33091999999999</v>
      </c>
      <c r="K157" s="7">
        <f t="shared" si="11"/>
        <v>6.9012390861086423</v>
      </c>
    </row>
    <row r="158" spans="1:11" hidden="1" x14ac:dyDescent="0.3">
      <c r="A158" s="2">
        <f t="shared" si="8"/>
        <v>154</v>
      </c>
      <c r="B158" s="3">
        <v>46273</v>
      </c>
      <c r="C158" s="4" t="s">
        <v>56</v>
      </c>
      <c r="D158" s="9">
        <f>IF(C158="","",IFERROR(INDEX($E$5:$E$486,SUMPRODUCT(MAX(($C$5:$C$486=C158)*($A$5:$A$486&lt;A158)*$A$5:$A$486))),""))</f>
        <v>292867</v>
      </c>
      <c r="E158" s="4">
        <v>293119</v>
      </c>
      <c r="F158" s="2">
        <f t="shared" si="9"/>
        <v>252</v>
      </c>
      <c r="G158" s="4" t="str">
        <f>IF(C158="","",IFERROR(VLOOKUP(C158,Listas!$A$2:$C$39,3,FALSE()),"Asigna combustible en hoja Listas"))</f>
        <v xml:space="preserve">Gasolina </v>
      </c>
      <c r="H158" s="4">
        <v>47.451000000000001</v>
      </c>
      <c r="I158" s="5">
        <v>23.98</v>
      </c>
      <c r="J158" s="6">
        <f t="shared" si="10"/>
        <v>1137.8749800000001</v>
      </c>
      <c r="K158" s="7">
        <f t="shared" si="11"/>
        <v>5.3107416071315674</v>
      </c>
    </row>
    <row r="159" spans="1:11" hidden="1" x14ac:dyDescent="0.3">
      <c r="A159" s="2">
        <f t="shared" si="8"/>
        <v>155</v>
      </c>
      <c r="B159" s="3">
        <v>46273</v>
      </c>
      <c r="C159" s="4" t="s">
        <v>58</v>
      </c>
      <c r="D159" s="9">
        <f>IF(C159="","",IFERROR(INDEX($E$5:$E$486,SUMPRODUCT(MAX(($C$5:$C$486=C159)*($A$5:$A$486&lt;A159)*$A$5:$A$486))),""))</f>
        <v>180175</v>
      </c>
      <c r="E159" s="4">
        <v>180399</v>
      </c>
      <c r="F159" s="2">
        <f t="shared" si="9"/>
        <v>224</v>
      </c>
      <c r="G159" s="4" t="str">
        <f>IF(C159="","",IFERROR(VLOOKUP(C159,Listas!$A$2:$C$39,3,FALSE()),"Asigna combustible en hoja Listas"))</f>
        <v xml:space="preserve">Gasolina </v>
      </c>
      <c r="H159" s="4">
        <v>33.954000000000001</v>
      </c>
      <c r="I159" s="5">
        <v>23.98</v>
      </c>
      <c r="J159" s="6">
        <f t="shared" si="10"/>
        <v>814.21692000000007</v>
      </c>
      <c r="K159" s="7">
        <f t="shared" si="11"/>
        <v>6.5971608646992985</v>
      </c>
    </row>
    <row r="160" spans="1:11" hidden="1" x14ac:dyDescent="0.3">
      <c r="A160" s="2">
        <f t="shared" si="8"/>
        <v>156</v>
      </c>
      <c r="B160" s="3">
        <v>46273</v>
      </c>
      <c r="C160" s="4" t="s">
        <v>61</v>
      </c>
      <c r="D160" s="9">
        <f>IF(C160="","",IFERROR(INDEX($E$5:$E$486,SUMPRODUCT(MAX(($C$5:$C$486=C160)*($A$5:$A$486&lt;A160)*$A$5:$A$486))),""))</f>
        <v>4129.8</v>
      </c>
      <c r="E160" s="4">
        <v>4525</v>
      </c>
      <c r="F160" s="2">
        <f t="shared" si="9"/>
        <v>395.19999999999982</v>
      </c>
      <c r="G160" s="4" t="str">
        <f>IF(C160="","",IFERROR(VLOOKUP(C160,Listas!$A$2:$C$39,3,FALSE()),"Asigna combustible en hoja Listas"))</f>
        <v>Diesel</v>
      </c>
      <c r="H160" s="4">
        <v>34.735999999999997</v>
      </c>
      <c r="I160" s="5">
        <v>27</v>
      </c>
      <c r="J160" s="6">
        <f t="shared" si="10"/>
        <v>937.87199999999996</v>
      </c>
      <c r="K160" s="7">
        <f t="shared" si="11"/>
        <v>11.377245508982032</v>
      </c>
    </row>
    <row r="161" spans="1:11" hidden="1" x14ac:dyDescent="0.3">
      <c r="A161" s="2">
        <f t="shared" si="8"/>
        <v>157</v>
      </c>
      <c r="B161" s="3">
        <v>46273</v>
      </c>
      <c r="C161" s="4" t="s">
        <v>48</v>
      </c>
      <c r="D161" s="9">
        <f>IF(C161="","",IFERROR(INDEX($E$5:$E$486,SUMPRODUCT(MAX(($C$5:$C$486=C161)*($A$5:$A$486&lt;A161)*$A$5:$A$486))),""))</f>
        <v>291720</v>
      </c>
      <c r="E161" s="4">
        <v>291986</v>
      </c>
      <c r="F161" s="2">
        <f t="shared" si="9"/>
        <v>266</v>
      </c>
      <c r="G161" s="4" t="str">
        <f>IF(C161="","",IFERROR(VLOOKUP(C161,Listas!$A$2:$C$39,3,FALSE()),"Asigna combustible en hoja Listas"))</f>
        <v xml:space="preserve">Gasolina </v>
      </c>
      <c r="H161" s="4">
        <v>42.613</v>
      </c>
      <c r="I161" s="5">
        <v>23.98</v>
      </c>
      <c r="J161" s="6">
        <f t="shared" si="10"/>
        <v>1021.85974</v>
      </c>
      <c r="K161" s="7">
        <f t="shared" si="11"/>
        <v>6.2422265505831556</v>
      </c>
    </row>
    <row r="162" spans="1:11" hidden="1" x14ac:dyDescent="0.3">
      <c r="A162" s="2">
        <f t="shared" si="8"/>
        <v>158</v>
      </c>
      <c r="B162" s="3">
        <v>46274</v>
      </c>
      <c r="C162" s="4" t="s">
        <v>32</v>
      </c>
      <c r="D162" s="9">
        <f>IF(C162="","",IFERROR(INDEX($E$5:$E$486,SUMPRODUCT(MAX(($C$5:$C$486=C162)*($A$5:$A$486&lt;A162)*$A$5:$A$486))),""))</f>
        <v>531046</v>
      </c>
      <c r="E162" s="4">
        <v>531203</v>
      </c>
      <c r="F162" s="2">
        <f t="shared" si="9"/>
        <v>157</v>
      </c>
      <c r="G162" s="4" t="str">
        <f>IF(C162="","",IFERROR(VLOOKUP(C162,Listas!$A$2:$C$39,3,FALSE()),"Asigna combustible en hoja Listas"))</f>
        <v xml:space="preserve">Gasolina </v>
      </c>
      <c r="H162" s="4">
        <v>23.353000000000002</v>
      </c>
      <c r="I162" s="5">
        <v>23.98</v>
      </c>
      <c r="J162" s="6">
        <f t="shared" si="10"/>
        <v>560.00494000000003</v>
      </c>
      <c r="K162" s="7">
        <f t="shared" si="11"/>
        <v>6.7229049800882112</v>
      </c>
    </row>
    <row r="163" spans="1:11" hidden="1" x14ac:dyDescent="0.3">
      <c r="A163" s="2">
        <f t="shared" si="8"/>
        <v>159</v>
      </c>
      <c r="B163" s="3">
        <v>46274</v>
      </c>
      <c r="C163" s="4" t="s">
        <v>58</v>
      </c>
      <c r="D163" s="9">
        <f>IF(C163="","",IFERROR(INDEX($E$5:$E$486,SUMPRODUCT(MAX(($C$5:$C$486=C163)*($A$5:$A$486&lt;A163)*$A$5:$A$486))),""))</f>
        <v>180399</v>
      </c>
      <c r="E163" s="4">
        <v>180626</v>
      </c>
      <c r="F163" s="2">
        <f t="shared" si="9"/>
        <v>227</v>
      </c>
      <c r="G163" s="4" t="str">
        <f>IF(C163="","",IFERROR(VLOOKUP(C163,Listas!$A$2:$C$39,3,FALSE()),"Asigna combustible en hoja Listas"))</f>
        <v xml:space="preserve">Gasolina </v>
      </c>
      <c r="H163" s="4">
        <v>34.581000000000003</v>
      </c>
      <c r="I163" s="5">
        <v>23.98</v>
      </c>
      <c r="J163" s="6">
        <f t="shared" si="10"/>
        <v>829.25238000000013</v>
      </c>
      <c r="K163" s="7">
        <f t="shared" si="11"/>
        <v>6.5642983141031195</v>
      </c>
    </row>
    <row r="164" spans="1:11" hidden="1" x14ac:dyDescent="0.3">
      <c r="A164" s="2">
        <f t="shared" si="8"/>
        <v>160</v>
      </c>
      <c r="B164" s="3">
        <v>46274</v>
      </c>
      <c r="C164" s="4" t="s">
        <v>64</v>
      </c>
      <c r="D164" s="9">
        <f>IF(C164="","",IFERROR(INDEX($E$5:$E$486,SUMPRODUCT(MAX(($C$5:$C$486=C164)*($A$5:$A$486&lt;A164)*$A$5:$A$486))),""))</f>
        <v>0</v>
      </c>
      <c r="E164" s="4"/>
      <c r="F164" s="2">
        <f t="shared" si="9"/>
        <v>0</v>
      </c>
      <c r="G164" s="4" t="str">
        <f>IF(C164="","",IFERROR(VLOOKUP(C164,Listas!$A$2:$C$39,3,FALSE()),"Asigna combustible en hoja Listas"))</f>
        <v>Gasolina</v>
      </c>
      <c r="H164" s="4">
        <v>10</v>
      </c>
      <c r="I164" s="5">
        <v>23.98</v>
      </c>
      <c r="J164" s="6">
        <f t="shared" si="10"/>
        <v>239.8</v>
      </c>
      <c r="K164" s="7">
        <f t="shared" si="11"/>
        <v>0</v>
      </c>
    </row>
    <row r="165" spans="1:11" hidden="1" x14ac:dyDescent="0.3">
      <c r="A165" s="2">
        <f t="shared" si="8"/>
        <v>161</v>
      </c>
      <c r="B165" s="3">
        <v>46275</v>
      </c>
      <c r="C165" s="4" t="s">
        <v>55</v>
      </c>
      <c r="D165" s="9">
        <f>IF(C165="","",IFERROR(INDEX($E$5:$E$486,SUMPRODUCT(MAX(($C$5:$C$486=C165)*($A$5:$A$486&lt;A165)*$A$5:$A$486))),""))</f>
        <v>217896</v>
      </c>
      <c r="E165" s="4">
        <v>218167</v>
      </c>
      <c r="F165" s="2">
        <f t="shared" si="9"/>
        <v>271</v>
      </c>
      <c r="G165" s="4" t="str">
        <f>IF(C165="","",IFERROR(VLOOKUP(C165,Listas!$A$2:$C$39,3,FALSE()),"Asigna combustible en hoja Listas"))</f>
        <v xml:space="preserve">Gasolina </v>
      </c>
      <c r="H165" s="4">
        <v>47.250999999999998</v>
      </c>
      <c r="I165" s="5">
        <v>23.98</v>
      </c>
      <c r="J165" s="6">
        <f t="shared" si="10"/>
        <v>1133.07898</v>
      </c>
      <c r="K165" s="7">
        <f t="shared" si="11"/>
        <v>5.7353283528390939</v>
      </c>
    </row>
    <row r="166" spans="1:11" hidden="1" x14ac:dyDescent="0.3">
      <c r="A166" s="2">
        <f t="shared" si="8"/>
        <v>162</v>
      </c>
      <c r="B166" s="3">
        <v>46275</v>
      </c>
      <c r="C166" s="4" t="s">
        <v>57</v>
      </c>
      <c r="D166" s="9">
        <f>IF(C166="","",IFERROR(INDEX($E$5:$E$486,SUMPRODUCT(MAX(($C$5:$C$486=C166)*($A$5:$A$486&lt;A166)*$A$5:$A$486))),""))</f>
        <v>271537</v>
      </c>
      <c r="E166" s="4">
        <v>271853</v>
      </c>
      <c r="F166" s="2">
        <f t="shared" si="9"/>
        <v>316</v>
      </c>
      <c r="G166" s="4" t="str">
        <f>IF(C166="","",IFERROR(VLOOKUP(C166,Listas!$A$2:$C$39,3,FALSE()),"Asigna combustible en hoja Listas"))</f>
        <v xml:space="preserve">Gasolina </v>
      </c>
      <c r="H166" s="4">
        <v>38.232999999999997</v>
      </c>
      <c r="I166" s="5">
        <v>23.98</v>
      </c>
      <c r="J166" s="6">
        <f t="shared" si="10"/>
        <v>916.82733999999994</v>
      </c>
      <c r="K166" s="7">
        <f t="shared" si="11"/>
        <v>8.2651112912928628</v>
      </c>
    </row>
    <row r="167" spans="1:11" hidden="1" x14ac:dyDescent="0.3">
      <c r="A167" s="2">
        <f t="shared" si="8"/>
        <v>163</v>
      </c>
      <c r="B167" s="3">
        <v>46275</v>
      </c>
      <c r="C167" s="4" t="s">
        <v>58</v>
      </c>
      <c r="D167" s="9">
        <f>IF(C167="","",IFERROR(INDEX($E$5:$E$486,SUMPRODUCT(MAX(($C$5:$C$486=C167)*($A$5:$A$486&lt;A167)*$A$5:$A$486))),""))</f>
        <v>180626</v>
      </c>
      <c r="E167" s="4">
        <v>180853</v>
      </c>
      <c r="F167" s="2">
        <f t="shared" si="9"/>
        <v>227</v>
      </c>
      <c r="G167" s="4" t="str">
        <f>IF(C167="","",IFERROR(VLOOKUP(C167,Listas!$A$2:$C$39,3,FALSE()),"Asigna combustible en hoja Listas"))</f>
        <v xml:space="preserve">Gasolina </v>
      </c>
      <c r="H167" s="4">
        <v>32.715000000000003</v>
      </c>
      <c r="I167" s="5">
        <v>23.98</v>
      </c>
      <c r="J167" s="6">
        <f t="shared" si="10"/>
        <v>784.50570000000005</v>
      </c>
      <c r="K167" s="7">
        <f t="shared" si="11"/>
        <v>6.9387131285343111</v>
      </c>
    </row>
    <row r="168" spans="1:11" hidden="1" x14ac:dyDescent="0.3">
      <c r="A168" s="2">
        <f t="shared" si="8"/>
        <v>164</v>
      </c>
      <c r="B168" s="3">
        <v>46275</v>
      </c>
      <c r="C168" s="4" t="s">
        <v>60</v>
      </c>
      <c r="D168" s="9">
        <f>IF(C168="","",IFERROR(INDEX($E$5:$E$486,SUMPRODUCT(MAX(($C$5:$C$486=C168)*($A$5:$A$486&lt;A168)*$A$5:$A$486))),""))</f>
        <v>5552</v>
      </c>
      <c r="E168" s="4">
        <v>5908</v>
      </c>
      <c r="F168" s="2">
        <f t="shared" si="9"/>
        <v>356</v>
      </c>
      <c r="G168" s="4" t="str">
        <f>IF(C168="","",IFERROR(VLOOKUP(C168,Listas!$A$2:$C$39,3,FALSE()),"Asigna combustible en hoja Listas"))</f>
        <v xml:space="preserve">Gasolina </v>
      </c>
      <c r="H168" s="4">
        <v>48.078000000000003</v>
      </c>
      <c r="I168" s="5">
        <v>23.98</v>
      </c>
      <c r="J168" s="6">
        <f t="shared" si="10"/>
        <v>1152.9104400000001</v>
      </c>
      <c r="K168" s="7">
        <f t="shared" si="11"/>
        <v>7.4046341361953489</v>
      </c>
    </row>
    <row r="169" spans="1:11" hidden="1" x14ac:dyDescent="0.3">
      <c r="A169" s="2">
        <f t="shared" si="8"/>
        <v>165</v>
      </c>
      <c r="B169" s="3">
        <v>46276</v>
      </c>
      <c r="C169" s="4" t="s">
        <v>39</v>
      </c>
      <c r="D169" s="9">
        <f>IF(C169="","",IFERROR(INDEX($E$5:$E$486,SUMPRODUCT(MAX(($C$5:$C$486=C169)*($A$5:$A$486&lt;A169)*$A$5:$A$486))),""))</f>
        <v>206828</v>
      </c>
      <c r="E169" s="4">
        <v>207040</v>
      </c>
      <c r="F169" s="2">
        <f t="shared" si="9"/>
        <v>212</v>
      </c>
      <c r="G169" s="4" t="str">
        <f>IF(C169="","",IFERROR(VLOOKUP(C169,Listas!$A$2:$C$39,3,FALSE()),"Asigna combustible en hoja Listas"))</f>
        <v>Diesel</v>
      </c>
      <c r="H169" s="4">
        <v>33.396000000000001</v>
      </c>
      <c r="I169" s="5">
        <v>27</v>
      </c>
      <c r="J169" s="6">
        <f t="shared" si="10"/>
        <v>901.69200000000001</v>
      </c>
      <c r="K169" s="7">
        <f t="shared" si="11"/>
        <v>6.3480656366031862</v>
      </c>
    </row>
    <row r="170" spans="1:11" hidden="1" x14ac:dyDescent="0.3">
      <c r="A170" s="2">
        <f t="shared" si="8"/>
        <v>166</v>
      </c>
      <c r="B170" s="3">
        <v>46276</v>
      </c>
      <c r="C170" s="4" t="s">
        <v>41</v>
      </c>
      <c r="D170" s="9">
        <f>IF(C170="","",IFERROR(INDEX($E$5:$E$486,SUMPRODUCT(MAX(($C$5:$C$486=C170)*($A$5:$A$486&lt;A170)*$A$5:$A$486))),""))</f>
        <v>184202</v>
      </c>
      <c r="E170" s="4">
        <v>184552</v>
      </c>
      <c r="F170" s="2">
        <f t="shared" si="9"/>
        <v>350</v>
      </c>
      <c r="G170" s="4" t="str">
        <f>IF(C170="","",IFERROR(VLOOKUP(C170,Listas!$A$2:$C$39,3,FALSE()),"Asigna combustible en hoja Listas"))</f>
        <v>Diesel</v>
      </c>
      <c r="H170" s="4">
        <v>47.762</v>
      </c>
      <c r="I170" s="5">
        <v>27</v>
      </c>
      <c r="J170" s="6">
        <f t="shared" si="10"/>
        <v>1289.5740000000001</v>
      </c>
      <c r="K170" s="7">
        <f t="shared" si="11"/>
        <v>7.328001339977388</v>
      </c>
    </row>
    <row r="171" spans="1:11" hidden="1" x14ac:dyDescent="0.3">
      <c r="A171" s="2">
        <f t="shared" si="8"/>
        <v>167</v>
      </c>
      <c r="B171" s="3">
        <v>46276</v>
      </c>
      <c r="C171" s="4" t="s">
        <v>42</v>
      </c>
      <c r="D171" s="9">
        <f>IF(C171="","",IFERROR(INDEX($E$5:$E$486,SUMPRODUCT(MAX(($C$5:$C$486=C171)*($A$5:$A$486&lt;A171)*$A$5:$A$486))),""))</f>
        <v>207942</v>
      </c>
      <c r="E171" s="4">
        <v>208195</v>
      </c>
      <c r="F171" s="2">
        <f t="shared" si="9"/>
        <v>253</v>
      </c>
      <c r="G171" s="4" t="str">
        <f>IF(C171="","",IFERROR(VLOOKUP(C171,Listas!$A$2:$C$39,3,FALSE()),"Asigna combustible en hoja Listas"))</f>
        <v>Diesel</v>
      </c>
      <c r="H171" s="4">
        <v>47.356999999999999</v>
      </c>
      <c r="I171" s="5">
        <v>27</v>
      </c>
      <c r="J171" s="6">
        <f t="shared" si="10"/>
        <v>1278.6389999999999</v>
      </c>
      <c r="K171" s="7">
        <f t="shared" si="11"/>
        <v>5.3423992229237491</v>
      </c>
    </row>
    <row r="172" spans="1:11" hidden="1" x14ac:dyDescent="0.3">
      <c r="A172" s="2">
        <f t="shared" si="8"/>
        <v>168</v>
      </c>
      <c r="B172" s="3">
        <v>46276</v>
      </c>
      <c r="C172" s="4" t="s">
        <v>44</v>
      </c>
      <c r="D172" s="9">
        <f>IF(C172="","",IFERROR(INDEX($E$5:$E$486,SUMPRODUCT(MAX(($C$5:$C$486=C172)*($A$5:$A$486&lt;A172)*$A$5:$A$486))),""))</f>
        <v>277798</v>
      </c>
      <c r="E172" s="4">
        <v>278160</v>
      </c>
      <c r="F172" s="2">
        <f t="shared" si="9"/>
        <v>362</v>
      </c>
      <c r="G172" s="4" t="str">
        <f>IF(C172="","",IFERROR(VLOOKUP(C172,Listas!$A$2:$C$39,3,FALSE()),"Asigna combustible en hoja Listas"))</f>
        <v>Diesel</v>
      </c>
      <c r="H172" s="4">
        <v>53.594999999999999</v>
      </c>
      <c r="I172" s="5">
        <v>27</v>
      </c>
      <c r="J172" s="6">
        <f t="shared" si="10"/>
        <v>1447.0650000000001</v>
      </c>
      <c r="K172" s="7">
        <f t="shared" si="11"/>
        <v>6.7543614143110364</v>
      </c>
    </row>
    <row r="173" spans="1:11" hidden="1" x14ac:dyDescent="0.3">
      <c r="A173" s="2">
        <f t="shared" si="8"/>
        <v>169</v>
      </c>
      <c r="B173" s="3">
        <v>46276</v>
      </c>
      <c r="C173" s="4" t="s">
        <v>54</v>
      </c>
      <c r="D173" s="9">
        <f>IF(C173="","",IFERROR(INDEX($E$5:$E$486,SUMPRODUCT(MAX(($C$5:$C$486=C173)*($A$5:$A$486&lt;A173)*$A$5:$A$486))),""))</f>
        <v>251818</v>
      </c>
      <c r="E173" s="4">
        <v>252262</v>
      </c>
      <c r="F173" s="2">
        <f t="shared" si="9"/>
        <v>444</v>
      </c>
      <c r="G173" s="4" t="str">
        <f>IF(C173="","",IFERROR(VLOOKUP(C173,Listas!$A$2:$C$39,3,FALSE()),"Asigna combustible en hoja Listas"))</f>
        <v xml:space="preserve">Gasolina </v>
      </c>
      <c r="H173" s="4">
        <v>61.241</v>
      </c>
      <c r="I173" s="5">
        <v>23.98</v>
      </c>
      <c r="J173" s="6">
        <f t="shared" si="10"/>
        <v>1468.55918</v>
      </c>
      <c r="K173" s="7">
        <f t="shared" si="11"/>
        <v>7.250044904557404</v>
      </c>
    </row>
    <row r="174" spans="1:11" hidden="1" x14ac:dyDescent="0.3">
      <c r="A174" s="2">
        <f t="shared" si="8"/>
        <v>170</v>
      </c>
      <c r="B174" s="3">
        <v>46276</v>
      </c>
      <c r="C174" s="4" t="s">
        <v>58</v>
      </c>
      <c r="D174" s="9">
        <f>IF(C174="","",IFERROR(INDEX($E$5:$E$486,SUMPRODUCT(MAX(($C$5:$C$486=C174)*($A$5:$A$486&lt;A174)*$A$5:$A$486))),""))</f>
        <v>180853</v>
      </c>
      <c r="E174" s="4">
        <v>181061</v>
      </c>
      <c r="F174" s="2">
        <f t="shared" si="9"/>
        <v>208</v>
      </c>
      <c r="G174" s="4" t="str">
        <f>IF(C174="","",IFERROR(VLOOKUP(C174,Listas!$A$2:$C$39,3,FALSE()),"Asigna combustible en hoja Listas"))</f>
        <v xml:space="preserve">Gasolina </v>
      </c>
      <c r="H174" s="4">
        <v>31.853999999999999</v>
      </c>
      <c r="I174" s="5">
        <v>23.98</v>
      </c>
      <c r="J174" s="6">
        <f t="shared" si="10"/>
        <v>763.85892000000001</v>
      </c>
      <c r="K174" s="7">
        <f t="shared" si="11"/>
        <v>6.5297921768066809</v>
      </c>
    </row>
    <row r="175" spans="1:11" hidden="1" x14ac:dyDescent="0.3">
      <c r="A175" s="2">
        <f t="shared" si="8"/>
        <v>171</v>
      </c>
      <c r="B175" s="3">
        <v>46276</v>
      </c>
      <c r="C175" s="4" t="s">
        <v>61</v>
      </c>
      <c r="D175" s="9">
        <f>IF(C175="","",IFERROR(INDEX($E$5:$E$486,SUMPRODUCT(MAX(($C$5:$C$486=C175)*($A$5:$A$486&lt;A175)*$A$5:$A$486))),""))</f>
        <v>4525</v>
      </c>
      <c r="E175" s="4">
        <v>5008</v>
      </c>
      <c r="F175" s="2">
        <f t="shared" si="9"/>
        <v>483</v>
      </c>
      <c r="G175" s="4" t="str">
        <f>IF(C175="","",IFERROR(VLOOKUP(C175,Listas!$A$2:$C$39,3,FALSE()),"Asigna combustible en hoja Listas"))</f>
        <v>Diesel</v>
      </c>
      <c r="H175" s="4">
        <v>39.003999999999998</v>
      </c>
      <c r="I175" s="5">
        <v>27</v>
      </c>
      <c r="J175" s="6">
        <f t="shared" si="10"/>
        <v>1053.1079999999999</v>
      </c>
      <c r="K175" s="7">
        <f t="shared" si="11"/>
        <v>12.383345297918163</v>
      </c>
    </row>
    <row r="176" spans="1:11" hidden="1" x14ac:dyDescent="0.3">
      <c r="A176" s="2">
        <f t="shared" si="8"/>
        <v>172</v>
      </c>
      <c r="B176" s="3">
        <v>46276</v>
      </c>
      <c r="C176" s="4" t="s">
        <v>48</v>
      </c>
      <c r="D176" s="9">
        <f>IF(C176="","",IFERROR(INDEX($E$5:$E$486,SUMPRODUCT(MAX(($C$5:$C$486=C176)*($A$5:$A$486&lt;A176)*$A$5:$A$486))),""))</f>
        <v>291986</v>
      </c>
      <c r="E176" s="4">
        <v>292251</v>
      </c>
      <c r="F176" s="2">
        <f t="shared" si="9"/>
        <v>265</v>
      </c>
      <c r="G176" s="4" t="str">
        <f>IF(C176="","",IFERROR(VLOOKUP(C176,Listas!$A$2:$C$39,3,FALSE()),"Asigna combustible en hoja Listas"))</f>
        <v xml:space="preserve">Gasolina </v>
      </c>
      <c r="H176" s="4">
        <v>43.472999999999999</v>
      </c>
      <c r="I176" s="5">
        <v>23.98</v>
      </c>
      <c r="J176" s="6">
        <f t="shared" si="10"/>
        <v>1042.48254</v>
      </c>
      <c r="K176" s="7">
        <f t="shared" si="11"/>
        <v>6.0957375842476944</v>
      </c>
    </row>
    <row r="177" spans="1:11" ht="27.6" hidden="1" x14ac:dyDescent="0.3">
      <c r="A177" s="2">
        <f t="shared" si="8"/>
        <v>173</v>
      </c>
      <c r="B177" s="3">
        <v>46276</v>
      </c>
      <c r="C177" s="4" t="s">
        <v>71</v>
      </c>
      <c r="D177" s="9">
        <f>IF(C177="","",IFERROR(INDEX($E$5:$E$486,SUMPRODUCT(MAX(($C$5:$C$486=C177)*($A$5:$A$486&lt;A177)*$A$5:$A$486))),""))</f>
        <v>0</v>
      </c>
      <c r="E177" s="4"/>
      <c r="F177" s="2">
        <f t="shared" si="9"/>
        <v>0</v>
      </c>
      <c r="G177" s="4" t="str">
        <f>IF(C177="","",IFERROR(VLOOKUP(C177,Listas!$A$2:$C$39,3,FALSE()),"Asigna combustible en hoja Listas"))</f>
        <v xml:space="preserve">Gasolina </v>
      </c>
      <c r="H177" s="4">
        <v>50</v>
      </c>
      <c r="I177" s="5">
        <v>100</v>
      </c>
      <c r="J177" s="6">
        <f t="shared" si="10"/>
        <v>5000</v>
      </c>
      <c r="K177" s="7">
        <f t="shared" si="11"/>
        <v>0</v>
      </c>
    </row>
    <row r="178" spans="1:11" ht="27.6" hidden="1" x14ac:dyDescent="0.3">
      <c r="A178" s="2">
        <f t="shared" si="8"/>
        <v>174</v>
      </c>
      <c r="B178" s="3">
        <v>46276</v>
      </c>
      <c r="C178" s="4" t="s">
        <v>72</v>
      </c>
      <c r="D178" s="9">
        <f>IF(C178="","",IFERROR(INDEX($E$5:$E$486,SUMPRODUCT(MAX(($C$5:$C$486=C178)*($A$5:$A$486&lt;A178)*$A$5:$A$486))),""))</f>
        <v>0</v>
      </c>
      <c r="E178" s="4"/>
      <c r="F178" s="2">
        <f t="shared" si="9"/>
        <v>0</v>
      </c>
      <c r="G178" s="4" t="str">
        <f>IF(C178="","",IFERROR(VLOOKUP(C178,Listas!$A$2:$C$39,3,FALSE()),"Asigna combustible en hoja Listas"))</f>
        <v xml:space="preserve">Gasolina </v>
      </c>
      <c r="H178" s="4">
        <v>50</v>
      </c>
      <c r="I178" s="5">
        <v>100</v>
      </c>
      <c r="J178" s="6">
        <f t="shared" si="10"/>
        <v>5000</v>
      </c>
      <c r="K178" s="7">
        <f t="shared" si="11"/>
        <v>0</v>
      </c>
    </row>
    <row r="179" spans="1:11" hidden="1" x14ac:dyDescent="0.3">
      <c r="A179" s="2">
        <f t="shared" si="8"/>
        <v>175</v>
      </c>
      <c r="B179" s="3">
        <v>46279</v>
      </c>
      <c r="C179" s="4" t="s">
        <v>32</v>
      </c>
      <c r="D179" s="9">
        <f>IF(C179="","",IFERROR(INDEX($E$5:$E$486,SUMPRODUCT(MAX(($C$5:$C$486=C179)*($A$5:$A$486&lt;A179)*$A$5:$A$486))),""))</f>
        <v>531203</v>
      </c>
      <c r="E179" s="4">
        <v>531364</v>
      </c>
      <c r="F179" s="2">
        <f t="shared" si="9"/>
        <v>161</v>
      </c>
      <c r="G179" s="4" t="str">
        <f>IF(C179="","",IFERROR(VLOOKUP(C179,Listas!$A$2:$C$39,3,FALSE()),"Asigna combustible en hoja Listas"))</f>
        <v xml:space="preserve">Gasolina </v>
      </c>
      <c r="H179" s="4">
        <v>24.710999999999999</v>
      </c>
      <c r="I179" s="5">
        <v>23.98</v>
      </c>
      <c r="J179" s="6">
        <f t="shared" si="10"/>
        <v>592.56977999999992</v>
      </c>
      <c r="K179" s="7">
        <f t="shared" si="11"/>
        <v>6.5153170652745747</v>
      </c>
    </row>
    <row r="180" spans="1:11" hidden="1" x14ac:dyDescent="0.3">
      <c r="A180" s="2">
        <f t="shared" si="8"/>
        <v>176</v>
      </c>
      <c r="B180" s="3">
        <v>46279</v>
      </c>
      <c r="C180" s="4" t="s">
        <v>43</v>
      </c>
      <c r="D180" s="9">
        <f>IF(C180="","",IFERROR(INDEX($E$5:$E$486,SUMPRODUCT(MAX(($C$5:$C$486=C180)*($A$5:$A$486&lt;A180)*$A$5:$A$486))),""))</f>
        <v>231681</v>
      </c>
      <c r="E180" s="4">
        <v>232003</v>
      </c>
      <c r="F180" s="2">
        <f t="shared" si="9"/>
        <v>322</v>
      </c>
      <c r="G180" s="4" t="str">
        <f>IF(C180="","",IFERROR(VLOOKUP(C180,Listas!$A$2:$C$39,3,FALSE()),"Asigna combustible en hoja Listas"))</f>
        <v>Diesel</v>
      </c>
      <c r="H180" s="4">
        <v>38.24</v>
      </c>
      <c r="I180" s="5">
        <v>27</v>
      </c>
      <c r="J180" s="6">
        <f t="shared" si="10"/>
        <v>1032.48</v>
      </c>
      <c r="K180" s="7">
        <f t="shared" si="11"/>
        <v>8.4205020920502083</v>
      </c>
    </row>
    <row r="181" spans="1:11" hidden="1" x14ac:dyDescent="0.3">
      <c r="A181" s="2">
        <f t="shared" si="8"/>
        <v>177</v>
      </c>
      <c r="B181" s="3">
        <v>46279</v>
      </c>
      <c r="C181" s="4" t="s">
        <v>44</v>
      </c>
      <c r="D181" s="9">
        <f>IF(C181="","",IFERROR(INDEX($E$5:$E$486,SUMPRODUCT(MAX(($C$5:$C$486=C181)*($A$5:$A$486&lt;A181)*$A$5:$A$486))),""))</f>
        <v>278160</v>
      </c>
      <c r="E181" s="4">
        <v>278368</v>
      </c>
      <c r="F181" s="2">
        <f t="shared" si="9"/>
        <v>208</v>
      </c>
      <c r="G181" s="4" t="str">
        <f>IF(C181="","",IFERROR(VLOOKUP(C181,Listas!$A$2:$C$39,3,FALSE()),"Asigna combustible en hoja Listas"))</f>
        <v>Diesel</v>
      </c>
      <c r="H181" s="4">
        <v>32.625</v>
      </c>
      <c r="I181" s="5">
        <v>27</v>
      </c>
      <c r="J181" s="6">
        <f t="shared" si="10"/>
        <v>880.875</v>
      </c>
      <c r="K181" s="7">
        <f t="shared" si="11"/>
        <v>6.3754789272030647</v>
      </c>
    </row>
    <row r="182" spans="1:11" hidden="1" x14ac:dyDescent="0.3">
      <c r="A182" s="2">
        <f t="shared" si="8"/>
        <v>178</v>
      </c>
      <c r="B182" s="3">
        <v>46279</v>
      </c>
      <c r="C182" s="4" t="s">
        <v>45</v>
      </c>
      <c r="D182" s="9">
        <f>IF(C182="","",IFERROR(INDEX($E$5:$E$486,SUMPRODUCT(MAX(($C$5:$C$486=C182)*($A$5:$A$486&lt;A182)*$A$5:$A$486))),""))</f>
        <v>207081</v>
      </c>
      <c r="E182" s="4">
        <v>207382</v>
      </c>
      <c r="F182" s="2">
        <f t="shared" si="9"/>
        <v>301</v>
      </c>
      <c r="G182" s="4" t="str">
        <f>IF(C182="","",IFERROR(VLOOKUP(C182,Listas!$A$2:$C$39,3,FALSE()),"Asigna combustible en hoja Listas"))</f>
        <v>Diesel</v>
      </c>
      <c r="H182" s="4">
        <v>33.335000000000001</v>
      </c>
      <c r="I182" s="5">
        <v>27</v>
      </c>
      <c r="J182" s="6">
        <f t="shared" si="10"/>
        <v>900.04500000000007</v>
      </c>
      <c r="K182" s="7">
        <f t="shared" si="11"/>
        <v>9.0295485225738705</v>
      </c>
    </row>
    <row r="183" spans="1:11" hidden="1" x14ac:dyDescent="0.3">
      <c r="A183" s="2">
        <f t="shared" si="8"/>
        <v>179</v>
      </c>
      <c r="B183" s="3">
        <v>46279</v>
      </c>
      <c r="C183" s="4" t="s">
        <v>46</v>
      </c>
      <c r="D183" s="9">
        <f>IF(C183="","",IFERROR(INDEX($E$5:$E$486,SUMPRODUCT(MAX(($C$5:$C$486=C183)*($A$5:$A$486&lt;A183)*$A$5:$A$486))),""))</f>
        <v>201112</v>
      </c>
      <c r="E183" s="4">
        <v>201252</v>
      </c>
      <c r="F183" s="2">
        <f t="shared" si="9"/>
        <v>140</v>
      </c>
      <c r="G183" s="4" t="str">
        <f>IF(C183="","",IFERROR(VLOOKUP(C183,Listas!$A$2:$C$39,3,FALSE()),"Asigna combustible en hoja Listas"))</f>
        <v>Diesel</v>
      </c>
      <c r="H183" s="4">
        <v>38.076999999999998</v>
      </c>
      <c r="I183" s="5">
        <v>27</v>
      </c>
      <c r="J183" s="6">
        <f t="shared" si="10"/>
        <v>1028.079</v>
      </c>
      <c r="K183" s="7">
        <f t="shared" si="11"/>
        <v>3.676760248969194</v>
      </c>
    </row>
    <row r="184" spans="1:11" hidden="1" x14ac:dyDescent="0.3">
      <c r="A184" s="2">
        <f t="shared" si="8"/>
        <v>180</v>
      </c>
      <c r="B184" s="3">
        <v>46279</v>
      </c>
      <c r="C184" s="4" t="s">
        <v>52</v>
      </c>
      <c r="D184" s="9">
        <f>IF(C184="","",IFERROR(INDEX($E$5:$E$486,SUMPRODUCT(MAX(($C$5:$C$486=C184)*($A$5:$A$486&lt;A184)*$A$5:$A$486))),""))</f>
        <v>220150</v>
      </c>
      <c r="E184" s="4">
        <v>220606</v>
      </c>
      <c r="F184" s="2">
        <f t="shared" si="9"/>
        <v>456</v>
      </c>
      <c r="G184" s="4" t="str">
        <f>IF(C184="","",IFERROR(VLOOKUP(C184,Listas!$A$2:$C$39,3,FALSE()),"Asigna combustible en hoja Listas"))</f>
        <v xml:space="preserve">Gasolina </v>
      </c>
      <c r="H184" s="4">
        <v>54.936999999999998</v>
      </c>
      <c r="I184" s="5">
        <v>23.98</v>
      </c>
      <c r="J184" s="6">
        <f t="shared" si="10"/>
        <v>1317.3892599999999</v>
      </c>
      <c r="K184" s="7">
        <f t="shared" si="11"/>
        <v>8.3004168411089072</v>
      </c>
    </row>
    <row r="185" spans="1:11" hidden="1" x14ac:dyDescent="0.3">
      <c r="A185" s="2">
        <f t="shared" si="8"/>
        <v>181</v>
      </c>
      <c r="B185" s="3">
        <v>46279</v>
      </c>
      <c r="C185" s="4" t="s">
        <v>56</v>
      </c>
      <c r="D185" s="9">
        <f>IF(C185="","",IFERROR(INDEX($E$5:$E$486,SUMPRODUCT(MAX(($C$5:$C$486=C185)*($A$5:$A$486&lt;A185)*$A$5:$A$486))),""))</f>
        <v>293119</v>
      </c>
      <c r="E185" s="4">
        <v>293434</v>
      </c>
      <c r="F185" s="2">
        <f t="shared" si="9"/>
        <v>315</v>
      </c>
      <c r="G185" s="4" t="str">
        <f>IF(C185="","",IFERROR(VLOOKUP(C185,Listas!$A$2:$C$39,3,FALSE()),"Asigna combustible en hoja Listas"))</f>
        <v xml:space="preserve">Gasolina </v>
      </c>
      <c r="H185" s="4">
        <v>48.213000000000001</v>
      </c>
      <c r="I185" s="5">
        <v>23.98</v>
      </c>
      <c r="J185" s="6">
        <f t="shared" si="10"/>
        <v>1156.1477400000001</v>
      </c>
      <c r="K185" s="7">
        <f t="shared" si="11"/>
        <v>6.5335075602016053</v>
      </c>
    </row>
    <row r="186" spans="1:11" hidden="1" x14ac:dyDescent="0.3">
      <c r="A186" s="2">
        <f t="shared" si="8"/>
        <v>182</v>
      </c>
      <c r="B186" s="3">
        <v>46279</v>
      </c>
      <c r="C186" s="4" t="s">
        <v>58</v>
      </c>
      <c r="D186" s="9">
        <f>IF(C186="","",IFERROR(INDEX($E$5:$E$486,SUMPRODUCT(MAX(($C$5:$C$486=C186)*($A$5:$A$486&lt;A186)*$A$5:$A$486))),""))</f>
        <v>181061</v>
      </c>
      <c r="E186" s="4">
        <v>181288</v>
      </c>
      <c r="F186" s="2">
        <f t="shared" si="9"/>
        <v>227</v>
      </c>
      <c r="G186" s="4" t="str">
        <f>IF(C186="","",IFERROR(VLOOKUP(C186,Listas!$A$2:$C$39,3,FALSE()),"Asigna combustible en hoja Listas"))</f>
        <v xml:space="preserve">Gasolina </v>
      </c>
      <c r="H186" s="4">
        <v>33.761000000000003</v>
      </c>
      <c r="I186" s="5">
        <v>23.98</v>
      </c>
      <c r="J186" s="6">
        <f t="shared" si="10"/>
        <v>809.58878000000004</v>
      </c>
      <c r="K186" s="7">
        <f t="shared" si="11"/>
        <v>6.7237344865377207</v>
      </c>
    </row>
    <row r="187" spans="1:11" hidden="1" x14ac:dyDescent="0.3">
      <c r="A187" s="2">
        <f t="shared" si="8"/>
        <v>183</v>
      </c>
      <c r="B187" s="3">
        <v>46280</v>
      </c>
      <c r="C187" s="4" t="s">
        <v>40</v>
      </c>
      <c r="D187" s="9">
        <f>IF(C187="","",IFERROR(INDEX($E$5:$E$486,SUMPRODUCT(MAX(($C$5:$C$486=C187)*($A$5:$A$486&lt;A187)*$A$5:$A$486))),""))</f>
        <v>214550</v>
      </c>
      <c r="E187" s="4">
        <v>214858</v>
      </c>
      <c r="F187" s="2">
        <f t="shared" si="9"/>
        <v>308</v>
      </c>
      <c r="G187" s="4" t="str">
        <f>IF(C187="","",IFERROR(VLOOKUP(C187,Listas!$A$2:$C$39,3,FALSE()),"Asigna combustible en hoja Listas"))</f>
        <v>Diesel</v>
      </c>
      <c r="H187" s="4">
        <v>41.825000000000003</v>
      </c>
      <c r="I187" s="5">
        <v>27</v>
      </c>
      <c r="J187" s="6">
        <f t="shared" si="10"/>
        <v>1129.2750000000001</v>
      </c>
      <c r="K187" s="7">
        <f t="shared" si="11"/>
        <v>7.3640167364016733</v>
      </c>
    </row>
    <row r="188" spans="1:11" hidden="1" x14ac:dyDescent="0.3">
      <c r="A188" s="2">
        <f t="shared" si="8"/>
        <v>184</v>
      </c>
      <c r="B188" s="3">
        <v>46280</v>
      </c>
      <c r="C188" s="4" t="s">
        <v>41</v>
      </c>
      <c r="D188" s="9">
        <f>IF(C188="","",IFERROR(INDEX($E$5:$E$486,SUMPRODUCT(MAX(($C$5:$C$486=C188)*($A$5:$A$486&lt;A188)*$A$5:$A$486))),""))</f>
        <v>184552</v>
      </c>
      <c r="E188" s="4">
        <v>184777</v>
      </c>
      <c r="F188" s="2">
        <f t="shared" si="9"/>
        <v>225</v>
      </c>
      <c r="G188" s="4" t="str">
        <f>IF(C188="","",IFERROR(VLOOKUP(C188,Listas!$A$2:$C$39,3,FALSE()),"Asigna combustible en hoja Listas"))</f>
        <v>Diesel</v>
      </c>
      <c r="H188" s="4">
        <v>28.056000000000001</v>
      </c>
      <c r="I188" s="5">
        <v>27</v>
      </c>
      <c r="J188" s="6">
        <f t="shared" si="10"/>
        <v>757.51200000000006</v>
      </c>
      <c r="K188" s="7">
        <f t="shared" si="11"/>
        <v>8.0196749358426</v>
      </c>
    </row>
    <row r="189" spans="1:11" hidden="1" x14ac:dyDescent="0.3">
      <c r="A189" s="2">
        <f t="shared" si="8"/>
        <v>185</v>
      </c>
      <c r="B189" s="3">
        <v>46280</v>
      </c>
      <c r="C189" s="4" t="s">
        <v>53</v>
      </c>
      <c r="D189" s="9">
        <f>IF(C189="","",IFERROR(INDEX($E$5:$E$486,SUMPRODUCT(MAX(($C$5:$C$486=C189)*($A$5:$A$486&lt;A189)*$A$5:$A$486))),""))</f>
        <v>225807</v>
      </c>
      <c r="E189" s="4">
        <v>225807</v>
      </c>
      <c r="F189" s="2">
        <f t="shared" si="9"/>
        <v>0</v>
      </c>
      <c r="G189" s="4" t="str">
        <f>IF(C189="","",IFERROR(VLOOKUP(C189,Listas!$A$2:$C$39,3,FALSE()),"Asigna combustible en hoja Listas"))</f>
        <v xml:space="preserve">Gasolina </v>
      </c>
      <c r="H189" s="4">
        <v>41.238999999999997</v>
      </c>
      <c r="I189" s="5">
        <v>28.98</v>
      </c>
      <c r="J189" s="6">
        <f t="shared" si="10"/>
        <v>1195.1062199999999</v>
      </c>
      <c r="K189" s="7">
        <f t="shared" si="11"/>
        <v>0</v>
      </c>
    </row>
    <row r="190" spans="1:11" hidden="1" x14ac:dyDescent="0.3">
      <c r="A190" s="2">
        <f t="shared" si="8"/>
        <v>186</v>
      </c>
      <c r="B190" s="3">
        <v>46280</v>
      </c>
      <c r="C190" s="4" t="s">
        <v>54</v>
      </c>
      <c r="D190" s="9">
        <f>IF(C190="","",IFERROR(INDEX($E$5:$E$486,SUMPRODUCT(MAX(($C$5:$C$486=C190)*($A$5:$A$486&lt;A190)*$A$5:$A$486))),""))</f>
        <v>252262</v>
      </c>
      <c r="E190" s="4">
        <v>252553</v>
      </c>
      <c r="F190" s="2">
        <f t="shared" si="9"/>
        <v>291</v>
      </c>
      <c r="G190" s="4" t="str">
        <f>IF(C190="","",IFERROR(VLOOKUP(C190,Listas!$A$2:$C$39,3,FALSE()),"Asigna combustible en hoja Listas"))</f>
        <v xml:space="preserve">Gasolina </v>
      </c>
      <c r="H190" s="4">
        <v>38.087000000000003</v>
      </c>
      <c r="I190" s="5">
        <v>23.98</v>
      </c>
      <c r="J190" s="6">
        <f t="shared" si="10"/>
        <v>913.32626000000005</v>
      </c>
      <c r="K190" s="7">
        <f t="shared" si="11"/>
        <v>7.6404022369837472</v>
      </c>
    </row>
    <row r="191" spans="1:11" hidden="1" x14ac:dyDescent="0.3">
      <c r="A191" s="2">
        <f t="shared" si="8"/>
        <v>187</v>
      </c>
      <c r="B191" s="3">
        <v>46280</v>
      </c>
      <c r="C191" s="4" t="s">
        <v>58</v>
      </c>
      <c r="D191" s="9">
        <f>IF(C191="","",IFERROR(INDEX($E$5:$E$486,SUMPRODUCT(MAX(($C$5:$C$486=C191)*($A$5:$A$486&lt;A191)*$A$5:$A$486))),""))</f>
        <v>181288</v>
      </c>
      <c r="E191" s="4">
        <v>181515</v>
      </c>
      <c r="F191" s="2">
        <f t="shared" si="9"/>
        <v>227</v>
      </c>
      <c r="G191" s="4" t="str">
        <f>IF(C191="","",IFERROR(VLOOKUP(C191,Listas!$A$2:$C$39,3,FALSE()),"Asigna combustible en hoja Listas"))</f>
        <v xml:space="preserve">Gasolina </v>
      </c>
      <c r="H191" s="4">
        <v>35.582000000000001</v>
      </c>
      <c r="I191" s="5">
        <v>23.98</v>
      </c>
      <c r="J191" s="6">
        <f t="shared" si="10"/>
        <v>853.25636000000009</v>
      </c>
      <c r="K191" s="7">
        <f t="shared" si="11"/>
        <v>6.3796301500758812</v>
      </c>
    </row>
    <row r="192" spans="1:11" hidden="1" x14ac:dyDescent="0.3">
      <c r="A192" s="2">
        <f t="shared" si="8"/>
        <v>188</v>
      </c>
      <c r="B192" s="3">
        <v>46282</v>
      </c>
      <c r="C192" s="4" t="s">
        <v>31</v>
      </c>
      <c r="D192" s="9">
        <f>IF(C192="","",IFERROR(INDEX($E$5:$E$486,SUMPRODUCT(MAX(($C$5:$C$486=C192)*($A$5:$A$486&lt;A192)*$A$5:$A$486))),""))</f>
        <v>121686</v>
      </c>
      <c r="E192" s="4">
        <v>121877</v>
      </c>
      <c r="F192" s="2">
        <f t="shared" si="9"/>
        <v>191</v>
      </c>
      <c r="G192" s="4" t="str">
        <f>IF(C192="","",IFERROR(VLOOKUP(C192,Listas!$A$2:$C$39,3,FALSE()),"Asigna combustible en hoja Listas"))</f>
        <v>Diesel</v>
      </c>
      <c r="H192" s="4">
        <v>76.003</v>
      </c>
      <c r="I192" s="5">
        <v>27</v>
      </c>
      <c r="J192" s="6">
        <f t="shared" si="10"/>
        <v>2052.0810000000001</v>
      </c>
      <c r="K192" s="7">
        <f t="shared" si="11"/>
        <v>2.513058695051511</v>
      </c>
    </row>
    <row r="193" spans="1:11" hidden="1" x14ac:dyDescent="0.3">
      <c r="A193" s="2">
        <f t="shared" si="8"/>
        <v>189</v>
      </c>
      <c r="B193" s="3">
        <v>46282</v>
      </c>
      <c r="C193" s="4" t="s">
        <v>48</v>
      </c>
      <c r="D193" s="9">
        <f>IF(C193="","",IFERROR(INDEX($E$5:$E$486,SUMPRODUCT(MAX(($C$5:$C$486=C193)*($A$5:$A$486&lt;A193)*$A$5:$A$486))),""))</f>
        <v>292251</v>
      </c>
      <c r="E193" s="4">
        <v>292525</v>
      </c>
      <c r="F193" s="2">
        <f t="shared" si="9"/>
        <v>274</v>
      </c>
      <c r="G193" s="4" t="str">
        <f>IF(C193="","",IFERROR(VLOOKUP(C193,Listas!$A$2:$C$39,3,FALSE()),"Asigna combustible en hoja Listas"))</f>
        <v xml:space="preserve">Gasolina </v>
      </c>
      <c r="H193" s="4">
        <v>44.908999999999999</v>
      </c>
      <c r="I193" s="5">
        <v>23.98</v>
      </c>
      <c r="J193" s="6">
        <f t="shared" si="10"/>
        <v>1076.9178199999999</v>
      </c>
      <c r="K193" s="7">
        <f t="shared" si="11"/>
        <v>6.101226925560578</v>
      </c>
    </row>
    <row r="194" spans="1:11" hidden="1" x14ac:dyDescent="0.3">
      <c r="A194" s="2">
        <f t="shared" si="8"/>
        <v>190</v>
      </c>
      <c r="B194" s="3">
        <v>46282</v>
      </c>
      <c r="C194" s="4" t="s">
        <v>49</v>
      </c>
      <c r="D194" s="9">
        <f>IF(C194="","",IFERROR(INDEX($E$5:$E$486,SUMPRODUCT(MAX(($C$5:$C$486=C194)*($A$5:$A$486&lt;A194)*$A$5:$A$486))),""))</f>
        <v>306264</v>
      </c>
      <c r="E194" s="4">
        <v>306750</v>
      </c>
      <c r="F194" s="2">
        <f t="shared" si="9"/>
        <v>486</v>
      </c>
      <c r="G194" s="4" t="str">
        <f>IF(C194="","",IFERROR(VLOOKUP(C194,Listas!$A$2:$C$39,3,FALSE()),"Asigna combustible en hoja Listas"))</f>
        <v xml:space="preserve">Gasolina </v>
      </c>
      <c r="H194" s="4">
        <v>56.981000000000002</v>
      </c>
      <c r="I194" s="5">
        <v>23.98</v>
      </c>
      <c r="J194" s="6">
        <f t="shared" si="10"/>
        <v>1366.4043800000002</v>
      </c>
      <c r="K194" s="7">
        <f t="shared" si="11"/>
        <v>8.5291588424211575</v>
      </c>
    </row>
    <row r="195" spans="1:11" hidden="1" x14ac:dyDescent="0.3">
      <c r="A195" s="2">
        <f t="shared" si="8"/>
        <v>191</v>
      </c>
      <c r="B195" s="3">
        <v>46282</v>
      </c>
      <c r="C195" s="4" t="s">
        <v>58</v>
      </c>
      <c r="D195" s="9">
        <f>IF(C195="","",IFERROR(INDEX($E$5:$E$486,SUMPRODUCT(MAX(($C$5:$C$486=C195)*($A$5:$A$486&lt;A195)*$A$5:$A$486))),""))</f>
        <v>181515</v>
      </c>
      <c r="E195" s="4">
        <v>181723</v>
      </c>
      <c r="F195" s="2">
        <f t="shared" si="9"/>
        <v>208</v>
      </c>
      <c r="G195" s="4" t="str">
        <f>IF(C195="","",IFERROR(VLOOKUP(C195,Listas!$A$2:$C$39,3,FALSE()),"Asigna combustible en hoja Listas"))</f>
        <v xml:space="preserve">Gasolina </v>
      </c>
      <c r="H195" s="4">
        <v>31.850999999999999</v>
      </c>
      <c r="I195" s="5">
        <v>23.98</v>
      </c>
      <c r="J195" s="6">
        <f t="shared" si="10"/>
        <v>763.78697999999997</v>
      </c>
      <c r="K195" s="7">
        <f t="shared" si="11"/>
        <v>6.5304072085648803</v>
      </c>
    </row>
    <row r="196" spans="1:11" hidden="1" x14ac:dyDescent="0.3">
      <c r="A196" s="2">
        <f t="shared" si="8"/>
        <v>192</v>
      </c>
      <c r="B196" s="3">
        <v>46283</v>
      </c>
      <c r="C196" s="4" t="s">
        <v>32</v>
      </c>
      <c r="D196" s="9">
        <f>IF(C196="","",IFERROR(INDEX($E$5:$E$486,SUMPRODUCT(MAX(($C$5:$C$486=C196)*($A$5:$A$486&lt;A196)*$A$5:$A$486))),""))</f>
        <v>531364</v>
      </c>
      <c r="E196" s="4">
        <v>531517</v>
      </c>
      <c r="F196" s="2">
        <f t="shared" si="9"/>
        <v>153</v>
      </c>
      <c r="G196" s="4" t="str">
        <f>IF(C196="","",IFERROR(VLOOKUP(C196,Listas!$A$2:$C$39,3,FALSE()),"Asigna combustible en hoja Listas"))</f>
        <v xml:space="preserve">Gasolina </v>
      </c>
      <c r="H196" s="4">
        <v>23.03</v>
      </c>
      <c r="I196" s="5">
        <v>23.98</v>
      </c>
      <c r="J196" s="6">
        <f t="shared" si="10"/>
        <v>552.25940000000003</v>
      </c>
      <c r="K196" s="7">
        <f t="shared" si="11"/>
        <v>6.643508467216674</v>
      </c>
    </row>
    <row r="197" spans="1:11" hidden="1" x14ac:dyDescent="0.3">
      <c r="A197" s="2">
        <f t="shared" ref="A197:A260" si="12">ROW()-4</f>
        <v>193</v>
      </c>
      <c r="B197" s="3">
        <v>46283</v>
      </c>
      <c r="C197" s="4" t="s">
        <v>40</v>
      </c>
      <c r="D197" s="9">
        <f>IF(C197="","",IFERROR(INDEX($E$5:$E$486,SUMPRODUCT(MAX(($C$5:$C$486=C197)*($A$5:$A$486&lt;A197)*$A$5:$A$486))),""))</f>
        <v>214858</v>
      </c>
      <c r="E197" s="4">
        <v>215069</v>
      </c>
      <c r="F197" s="2">
        <f t="shared" ref="F197:F260" si="13">IFERROR(E197-D197,0)</f>
        <v>211</v>
      </c>
      <c r="G197" s="4" t="str">
        <f>IF(C197="","",IFERROR(VLOOKUP(C197,Listas!$A$2:$C$39,3,FALSE()),"Asigna combustible en hoja Listas"))</f>
        <v>Diesel</v>
      </c>
      <c r="H197" s="4">
        <v>26.100999999999999</v>
      </c>
      <c r="I197" s="5">
        <v>27</v>
      </c>
      <c r="J197" s="6">
        <f t="shared" ref="J197:J260" si="14">H197*I197</f>
        <v>704.72699999999998</v>
      </c>
      <c r="K197" s="7">
        <f t="shared" ref="K197:K260" si="15">IFERROR(F197/H197,0)</f>
        <v>8.0839814566491714</v>
      </c>
    </row>
    <row r="198" spans="1:11" hidden="1" x14ac:dyDescent="0.3">
      <c r="A198" s="2">
        <f t="shared" si="12"/>
        <v>194</v>
      </c>
      <c r="B198" s="3">
        <v>46283</v>
      </c>
      <c r="C198" s="4" t="s">
        <v>42</v>
      </c>
      <c r="D198" s="9">
        <f>IF(C198="","",IFERROR(INDEX($E$5:$E$486,SUMPRODUCT(MAX(($C$5:$C$486=C198)*($A$5:$A$486&lt;A198)*$A$5:$A$486))),""))</f>
        <v>208195</v>
      </c>
      <c r="E198" s="4">
        <v>208372</v>
      </c>
      <c r="F198" s="2">
        <f t="shared" si="13"/>
        <v>177</v>
      </c>
      <c r="G198" s="4" t="str">
        <f>IF(C198="","",IFERROR(VLOOKUP(C198,Listas!$A$2:$C$39,3,FALSE()),"Asigna combustible en hoja Listas"))</f>
        <v>Diesel</v>
      </c>
      <c r="H198" s="4">
        <v>33.779000000000003</v>
      </c>
      <c r="I198" s="5">
        <v>27</v>
      </c>
      <c r="J198" s="6">
        <f t="shared" si="14"/>
        <v>912.03300000000013</v>
      </c>
      <c r="K198" s="7">
        <f t="shared" si="15"/>
        <v>5.2399419757837702</v>
      </c>
    </row>
    <row r="199" spans="1:11" hidden="1" x14ac:dyDescent="0.3">
      <c r="A199" s="2">
        <f t="shared" si="12"/>
        <v>195</v>
      </c>
      <c r="B199" s="3">
        <v>46283</v>
      </c>
      <c r="C199" s="4" t="s">
        <v>44</v>
      </c>
      <c r="D199" s="9">
        <f>IF(C199="","",IFERROR(INDEX($E$5:$E$486,SUMPRODUCT(MAX(($C$5:$C$486=C199)*($A$5:$A$486&lt;A199)*$A$5:$A$486))),""))</f>
        <v>278368</v>
      </c>
      <c r="E199" s="4">
        <v>278640</v>
      </c>
      <c r="F199" s="2">
        <f t="shared" si="13"/>
        <v>272</v>
      </c>
      <c r="G199" s="4" t="str">
        <f>IF(C199="","",IFERROR(VLOOKUP(C199,Listas!$A$2:$C$39,3,FALSE()),"Asigna combustible en hoja Listas"))</f>
        <v>Diesel</v>
      </c>
      <c r="H199" s="4">
        <v>41.991</v>
      </c>
      <c r="I199" s="5">
        <v>27</v>
      </c>
      <c r="J199" s="6">
        <f t="shared" si="14"/>
        <v>1133.7570000000001</v>
      </c>
      <c r="K199" s="7">
        <f t="shared" si="15"/>
        <v>6.4775785287323471</v>
      </c>
    </row>
    <row r="200" spans="1:11" hidden="1" x14ac:dyDescent="0.3">
      <c r="A200" s="2">
        <f t="shared" si="12"/>
        <v>196</v>
      </c>
      <c r="B200" s="3">
        <v>46283</v>
      </c>
      <c r="C200" s="4" t="s">
        <v>47</v>
      </c>
      <c r="D200" s="9">
        <f>IF(C200="","",IFERROR(INDEX($E$5:$E$486,SUMPRODUCT(MAX(($C$5:$C$486=C200)*($A$5:$A$486&lt;A200)*$A$5:$A$486))),""))</f>
        <v>112258</v>
      </c>
      <c r="E200" s="4">
        <v>112423</v>
      </c>
      <c r="F200" s="2">
        <f t="shared" si="13"/>
        <v>165</v>
      </c>
      <c r="G200" s="4" t="str">
        <f>IF(C200="","",IFERROR(VLOOKUP(C200,Listas!$A$2:$C$39,3,FALSE()),"Asigna combustible en hoja Listas"))</f>
        <v>Gasolina</v>
      </c>
      <c r="H200" s="4">
        <v>71.043000000000006</v>
      </c>
      <c r="I200" s="5">
        <v>23.98</v>
      </c>
      <c r="J200" s="6">
        <f t="shared" si="14"/>
        <v>1703.6111400000002</v>
      </c>
      <c r="K200" s="7">
        <f t="shared" si="15"/>
        <v>2.3225370550230142</v>
      </c>
    </row>
    <row r="201" spans="1:11" hidden="1" x14ac:dyDescent="0.3">
      <c r="A201" s="2">
        <f t="shared" si="12"/>
        <v>197</v>
      </c>
      <c r="B201" s="3">
        <v>46283</v>
      </c>
      <c r="C201" s="4" t="s">
        <v>53</v>
      </c>
      <c r="D201" s="9">
        <f>IF(C201="","",IFERROR(INDEX($E$5:$E$486,SUMPRODUCT(MAX(($C$5:$C$486=C201)*($A$5:$A$486&lt;A201)*$A$5:$A$486))),""))</f>
        <v>225807</v>
      </c>
      <c r="E201" s="4">
        <v>226002</v>
      </c>
      <c r="F201" s="2">
        <f t="shared" si="13"/>
        <v>195</v>
      </c>
      <c r="G201" s="4" t="str">
        <f>IF(C201="","",IFERROR(VLOOKUP(C201,Listas!$A$2:$C$39,3,FALSE()),"Asigna combustible en hoja Listas"))</f>
        <v xml:space="preserve">Gasolina </v>
      </c>
      <c r="H201" s="4">
        <v>25.120999999999999</v>
      </c>
      <c r="I201" s="5">
        <v>23.98</v>
      </c>
      <c r="J201" s="6">
        <f t="shared" si="14"/>
        <v>602.40157999999997</v>
      </c>
      <c r="K201" s="7">
        <f t="shared" si="15"/>
        <v>7.7624298395764502</v>
      </c>
    </row>
    <row r="202" spans="1:11" hidden="1" x14ac:dyDescent="0.3">
      <c r="A202" s="2">
        <f t="shared" si="12"/>
        <v>198</v>
      </c>
      <c r="B202" s="3">
        <v>46283</v>
      </c>
      <c r="C202" s="4" t="s">
        <v>54</v>
      </c>
      <c r="D202" s="9">
        <f>IF(C202="","",IFERROR(INDEX($E$5:$E$486,SUMPRODUCT(MAX(($C$5:$C$486=C202)*($A$5:$A$486&lt;A202)*$A$5:$A$486))),""))</f>
        <v>252553</v>
      </c>
      <c r="E202" s="4">
        <v>252786</v>
      </c>
      <c r="F202" s="2">
        <f t="shared" si="13"/>
        <v>233</v>
      </c>
      <c r="G202" s="4" t="str">
        <f>IF(C202="","",IFERROR(VLOOKUP(C202,Listas!$A$2:$C$39,3,FALSE()),"Asigna combustible en hoja Listas"))</f>
        <v xml:space="preserve">Gasolina </v>
      </c>
      <c r="H202" s="4">
        <v>35.645000000000003</v>
      </c>
      <c r="I202" s="5">
        <v>23.98</v>
      </c>
      <c r="J202" s="6">
        <f t="shared" si="14"/>
        <v>854.76710000000014</v>
      </c>
      <c r="K202" s="7">
        <f t="shared" si="15"/>
        <v>6.5366811614532185</v>
      </c>
    </row>
    <row r="203" spans="1:11" hidden="1" x14ac:dyDescent="0.3">
      <c r="A203" s="2">
        <f t="shared" si="12"/>
        <v>199</v>
      </c>
      <c r="B203" s="3">
        <v>46283</v>
      </c>
      <c r="C203" s="4" t="s">
        <v>58</v>
      </c>
      <c r="D203" s="9">
        <f>IF(C203="","",IFERROR(INDEX($E$5:$E$486,SUMPRODUCT(MAX(($C$5:$C$486=C203)*($A$5:$A$486&lt;A203)*$A$5:$A$486))),""))</f>
        <v>181723</v>
      </c>
      <c r="E203" s="4">
        <v>181930</v>
      </c>
      <c r="F203" s="2">
        <f t="shared" si="13"/>
        <v>207</v>
      </c>
      <c r="G203" s="4" t="str">
        <f>IF(C203="","",IFERROR(VLOOKUP(C203,Listas!$A$2:$C$39,3,FALSE()),"Asigna combustible en hoja Listas"))</f>
        <v xml:space="preserve">Gasolina </v>
      </c>
      <c r="H203" s="4">
        <v>30.765000000000001</v>
      </c>
      <c r="I203" s="5">
        <v>23.98</v>
      </c>
      <c r="J203" s="6">
        <f t="shared" si="14"/>
        <v>737.74470000000008</v>
      </c>
      <c r="K203" s="7">
        <f t="shared" si="15"/>
        <v>6.728425158459288</v>
      </c>
    </row>
    <row r="204" spans="1:11" hidden="1" x14ac:dyDescent="0.3">
      <c r="A204" s="2">
        <f t="shared" si="12"/>
        <v>200</v>
      </c>
      <c r="B204" s="3">
        <v>46283</v>
      </c>
      <c r="C204" s="4" t="s">
        <v>61</v>
      </c>
      <c r="D204" s="9">
        <f>IF(C204="","",IFERROR(INDEX($E$5:$E$486,SUMPRODUCT(MAX(($C$5:$C$486=C204)*($A$5:$A$486&lt;A204)*$A$5:$A$486))),""))</f>
        <v>5008</v>
      </c>
      <c r="E204" s="4">
        <v>5668.8</v>
      </c>
      <c r="F204" s="2">
        <f t="shared" si="13"/>
        <v>660.80000000000018</v>
      </c>
      <c r="G204" s="4" t="str">
        <f>IF(C204="","",IFERROR(VLOOKUP(C204,Listas!$A$2:$C$39,3,FALSE()),"Asigna combustible en hoja Listas"))</f>
        <v>Diesel</v>
      </c>
      <c r="H204" s="4">
        <v>53.689</v>
      </c>
      <c r="I204" s="5">
        <v>27</v>
      </c>
      <c r="J204" s="6">
        <f t="shared" si="14"/>
        <v>1449.6030000000001</v>
      </c>
      <c r="K204" s="7">
        <f t="shared" si="15"/>
        <v>12.307921548175607</v>
      </c>
    </row>
    <row r="205" spans="1:11" hidden="1" x14ac:dyDescent="0.3">
      <c r="A205" s="2">
        <f t="shared" si="12"/>
        <v>201</v>
      </c>
      <c r="B205" s="3">
        <v>46283</v>
      </c>
      <c r="C205" s="4" t="s">
        <v>62</v>
      </c>
      <c r="D205" s="9">
        <f>IF(C205="","",IFERROR(INDEX($E$5:$E$486,SUMPRODUCT(MAX(($C$5:$C$486=C205)*($A$5:$A$486&lt;A205)*$A$5:$A$486))),""))</f>
        <v>0</v>
      </c>
      <c r="E205" s="4">
        <v>3630.2</v>
      </c>
      <c r="F205" s="2">
        <f t="shared" si="13"/>
        <v>3630.2</v>
      </c>
      <c r="G205" s="4" t="str">
        <f>IF(C205="","",IFERROR(VLOOKUP(C205,Listas!$A$2:$C$39,3,FALSE()),"Asigna combustible en hoja Listas"))</f>
        <v>Diesel</v>
      </c>
      <c r="H205" s="4">
        <v>38.06</v>
      </c>
      <c r="I205" s="5">
        <v>27</v>
      </c>
      <c r="J205" s="6">
        <f t="shared" si="14"/>
        <v>1027.6200000000001</v>
      </c>
      <c r="K205" s="7">
        <f t="shared" si="15"/>
        <v>95.380977404098786</v>
      </c>
    </row>
    <row r="206" spans="1:11" ht="27.6" hidden="1" x14ac:dyDescent="0.3">
      <c r="A206" s="2">
        <f t="shared" si="12"/>
        <v>202</v>
      </c>
      <c r="B206" s="3">
        <v>46283</v>
      </c>
      <c r="C206" s="4" t="s">
        <v>71</v>
      </c>
      <c r="D206" s="9">
        <f>IF(C206="","",IFERROR(INDEX($E$5:$E$486,SUMPRODUCT(MAX(($C$5:$C$486=C206)*($A$5:$A$486&lt;A206)*$A$5:$A$486))),""))</f>
        <v>0</v>
      </c>
      <c r="E206" s="4"/>
      <c r="F206" s="2">
        <f t="shared" si="13"/>
        <v>0</v>
      </c>
      <c r="G206" s="4" t="str">
        <f>IF(C206="","",IFERROR(VLOOKUP(C206,Listas!$A$2:$C$39,3,FALSE()),"Asigna combustible en hoja Listas"))</f>
        <v xml:space="preserve">Gasolina </v>
      </c>
      <c r="H206" s="4">
        <v>50</v>
      </c>
      <c r="I206" s="5">
        <v>100</v>
      </c>
      <c r="J206" s="6">
        <f t="shared" si="14"/>
        <v>5000</v>
      </c>
      <c r="K206" s="7">
        <f t="shared" si="15"/>
        <v>0</v>
      </c>
    </row>
    <row r="207" spans="1:11" ht="27.6" hidden="1" x14ac:dyDescent="0.3">
      <c r="A207" s="2">
        <f t="shared" si="12"/>
        <v>203</v>
      </c>
      <c r="B207" s="3">
        <v>46283</v>
      </c>
      <c r="C207" s="4" t="s">
        <v>72</v>
      </c>
      <c r="D207" s="9">
        <f>IF(C207="","",IFERROR(INDEX($E$5:$E$486,SUMPRODUCT(MAX(($C$5:$C$486=C207)*($A$5:$A$486&lt;A207)*$A$5:$A$486))),""))</f>
        <v>0</v>
      </c>
      <c r="E207" s="4"/>
      <c r="F207" s="2">
        <f t="shared" si="13"/>
        <v>0</v>
      </c>
      <c r="G207" s="4" t="str">
        <f>IF(C207="","",IFERROR(VLOOKUP(C207,Listas!$A$2:$C$39,3,FALSE()),"Asigna combustible en hoja Listas"))</f>
        <v xml:space="preserve">Gasolina </v>
      </c>
      <c r="H207" s="4">
        <v>50</v>
      </c>
      <c r="I207" s="5">
        <v>100</v>
      </c>
      <c r="J207" s="6">
        <f t="shared" si="14"/>
        <v>5000</v>
      </c>
      <c r="K207" s="7">
        <f t="shared" si="15"/>
        <v>0</v>
      </c>
    </row>
    <row r="208" spans="1:11" hidden="1" x14ac:dyDescent="0.3">
      <c r="A208" s="2">
        <f t="shared" si="12"/>
        <v>204</v>
      </c>
      <c r="B208" s="3">
        <v>46286</v>
      </c>
      <c r="C208" s="4" t="s">
        <v>44</v>
      </c>
      <c r="D208" s="9">
        <f>IF(C208="","",IFERROR(INDEX($E$5:$E$486,SUMPRODUCT(MAX(($C$5:$C$486=C208)*($A$5:$A$486&lt;A208)*$A$5:$A$486))),""))</f>
        <v>278640</v>
      </c>
      <c r="E208" s="4">
        <v>278988</v>
      </c>
      <c r="F208" s="2">
        <f t="shared" si="13"/>
        <v>348</v>
      </c>
      <c r="G208" s="4" t="str">
        <f>IF(C208="","",IFERROR(VLOOKUP(C208,Listas!$A$2:$C$39,3,FALSE()),"Asigna combustible en hoja Listas"))</f>
        <v>Diesel</v>
      </c>
      <c r="H208" s="4">
        <v>50.003999999999998</v>
      </c>
      <c r="I208" s="5">
        <v>27</v>
      </c>
      <c r="J208" s="6">
        <f t="shared" si="14"/>
        <v>1350.1079999999999</v>
      </c>
      <c r="K208" s="7">
        <f t="shared" si="15"/>
        <v>6.9594432445404371</v>
      </c>
    </row>
    <row r="209" spans="1:11" hidden="1" x14ac:dyDescent="0.3">
      <c r="A209" s="2">
        <f t="shared" si="12"/>
        <v>205</v>
      </c>
      <c r="B209" s="3">
        <v>46286</v>
      </c>
      <c r="C209" s="4" t="s">
        <v>52</v>
      </c>
      <c r="D209" s="9">
        <f>IF(C209="","",IFERROR(INDEX($E$5:$E$486,SUMPRODUCT(MAX(($C$5:$C$486=C209)*($A$5:$A$486&lt;A209)*$A$5:$A$486))),""))</f>
        <v>220606</v>
      </c>
      <c r="E209" s="4">
        <v>220912</v>
      </c>
      <c r="F209" s="2">
        <f t="shared" si="13"/>
        <v>306</v>
      </c>
      <c r="G209" s="4" t="str">
        <f>IF(C209="","",IFERROR(VLOOKUP(C209,Listas!$A$2:$C$39,3,FALSE()),"Asigna combustible en hoja Listas"))</f>
        <v xml:space="preserve">Gasolina </v>
      </c>
      <c r="H209" s="4">
        <v>44.319000000000003</v>
      </c>
      <c r="I209" s="5">
        <v>23.98</v>
      </c>
      <c r="J209" s="6">
        <f t="shared" si="14"/>
        <v>1062.76962</v>
      </c>
      <c r="K209" s="7">
        <f t="shared" si="15"/>
        <v>6.9044879171461444</v>
      </c>
    </row>
    <row r="210" spans="1:11" hidden="1" x14ac:dyDescent="0.3">
      <c r="A210" s="2">
        <f t="shared" si="12"/>
        <v>206</v>
      </c>
      <c r="B210" s="3">
        <v>46286</v>
      </c>
      <c r="C210" s="4" t="s">
        <v>57</v>
      </c>
      <c r="D210" s="9">
        <f>IF(C210="","",IFERROR(INDEX($E$5:$E$486,SUMPRODUCT(MAX(($C$5:$C$486=C210)*($A$5:$A$486&lt;A210)*$A$5:$A$486))),""))</f>
        <v>271853</v>
      </c>
      <c r="E210" s="4">
        <v>272177</v>
      </c>
      <c r="F210" s="2">
        <f t="shared" si="13"/>
        <v>324</v>
      </c>
      <c r="G210" s="4" t="str">
        <f>IF(C210="","",IFERROR(VLOOKUP(C210,Listas!$A$2:$C$39,3,FALSE()),"Asigna combustible en hoja Listas"))</f>
        <v xml:space="preserve">Gasolina </v>
      </c>
      <c r="H210" s="4">
        <v>41.23</v>
      </c>
      <c r="I210" s="5">
        <v>23.98</v>
      </c>
      <c r="J210" s="6">
        <f t="shared" si="14"/>
        <v>988.69539999999995</v>
      </c>
      <c r="K210" s="7">
        <f t="shared" si="15"/>
        <v>7.8583555663351934</v>
      </c>
    </row>
    <row r="211" spans="1:11" hidden="1" x14ac:dyDescent="0.3">
      <c r="A211" s="2">
        <f t="shared" si="12"/>
        <v>207</v>
      </c>
      <c r="B211" s="3">
        <v>46286</v>
      </c>
      <c r="C211" s="4" t="s">
        <v>58</v>
      </c>
      <c r="D211" s="9">
        <f>IF(C211="","",IFERROR(INDEX($E$5:$E$486,SUMPRODUCT(MAX(($C$5:$C$486=C211)*($A$5:$A$486&lt;A211)*$A$5:$A$486))),""))</f>
        <v>181930</v>
      </c>
      <c r="E211" s="4">
        <v>182133</v>
      </c>
      <c r="F211" s="2">
        <f t="shared" si="13"/>
        <v>203</v>
      </c>
      <c r="G211" s="4" t="str">
        <f>IF(C211="","",IFERROR(VLOOKUP(C211,Listas!$A$2:$C$39,3,FALSE()),"Asigna combustible en hoja Listas"))</f>
        <v xml:space="preserve">Gasolina </v>
      </c>
      <c r="H211" s="4">
        <v>31.483000000000001</v>
      </c>
      <c r="I211" s="5">
        <v>23.98</v>
      </c>
      <c r="J211" s="6">
        <f t="shared" si="14"/>
        <v>754.96234000000004</v>
      </c>
      <c r="K211" s="7">
        <f t="shared" si="15"/>
        <v>6.4479242765937173</v>
      </c>
    </row>
    <row r="212" spans="1:11" hidden="1" x14ac:dyDescent="0.3">
      <c r="A212" s="2">
        <f t="shared" si="12"/>
        <v>208</v>
      </c>
      <c r="B212" s="3">
        <v>46287</v>
      </c>
      <c r="C212" s="4" t="s">
        <v>39</v>
      </c>
      <c r="D212" s="9">
        <f>IF(C212="","",IFERROR(INDEX($E$5:$E$486,SUMPRODUCT(MAX(($C$5:$C$486=C212)*($A$5:$A$486&lt;A212)*$A$5:$A$486))),""))</f>
        <v>207040</v>
      </c>
      <c r="E212" s="4">
        <v>207419</v>
      </c>
      <c r="F212" s="2">
        <f t="shared" si="13"/>
        <v>379</v>
      </c>
      <c r="G212" s="4" t="str">
        <f>IF(C212="","",IFERROR(VLOOKUP(C212,Listas!$A$2:$C$39,3,FALSE()),"Asigna combustible en hoja Listas"))</f>
        <v>Diesel</v>
      </c>
      <c r="H212" s="4">
        <v>53.103000000000002</v>
      </c>
      <c r="I212" s="5">
        <v>27</v>
      </c>
      <c r="J212" s="6">
        <f t="shared" si="14"/>
        <v>1433.7809999999999</v>
      </c>
      <c r="K212" s="7">
        <f t="shared" si="15"/>
        <v>7.1370732350338022</v>
      </c>
    </row>
    <row r="213" spans="1:11" hidden="1" x14ac:dyDescent="0.3">
      <c r="A213" s="2">
        <f t="shared" si="12"/>
        <v>209</v>
      </c>
      <c r="B213" s="3">
        <v>46287</v>
      </c>
      <c r="C213" s="4" t="s">
        <v>40</v>
      </c>
      <c r="D213" s="9">
        <f>IF(C213="","",IFERROR(INDEX($E$5:$E$486,SUMPRODUCT(MAX(($C$5:$C$486=C213)*($A$5:$A$486&lt;A213)*$A$5:$A$486))),""))</f>
        <v>215069</v>
      </c>
      <c r="E213" s="4">
        <v>215362</v>
      </c>
      <c r="F213" s="2">
        <f t="shared" si="13"/>
        <v>293</v>
      </c>
      <c r="G213" s="4" t="str">
        <f>IF(C213="","",IFERROR(VLOOKUP(C213,Listas!$A$2:$C$39,3,FALSE()),"Asigna combustible en hoja Listas"))</f>
        <v>Diesel</v>
      </c>
      <c r="H213" s="4">
        <v>44.734999999999999</v>
      </c>
      <c r="I213" s="5">
        <v>27</v>
      </c>
      <c r="J213" s="6">
        <f t="shared" si="14"/>
        <v>1207.845</v>
      </c>
      <c r="K213" s="7">
        <f t="shared" si="15"/>
        <v>6.5496814574717783</v>
      </c>
    </row>
    <row r="214" spans="1:11" hidden="1" x14ac:dyDescent="0.3">
      <c r="A214" s="2">
        <f t="shared" si="12"/>
        <v>210</v>
      </c>
      <c r="B214" s="3">
        <v>46287</v>
      </c>
      <c r="C214" s="4" t="s">
        <v>54</v>
      </c>
      <c r="D214" s="9">
        <f>IF(C214="","",IFERROR(INDEX($E$5:$E$486,SUMPRODUCT(MAX(($C$5:$C$486=C214)*($A$5:$A$486&lt;A214)*$A$5:$A$486))),""))</f>
        <v>252786</v>
      </c>
      <c r="E214" s="4">
        <v>253147</v>
      </c>
      <c r="F214" s="2">
        <f t="shared" si="13"/>
        <v>361</v>
      </c>
      <c r="G214" s="4" t="str">
        <f>IF(C214="","",IFERROR(VLOOKUP(C214,Listas!$A$2:$C$39,3,FALSE()),"Asigna combustible en hoja Listas"))</f>
        <v xml:space="preserve">Gasolina </v>
      </c>
      <c r="H214" s="4">
        <v>48.521000000000001</v>
      </c>
      <c r="I214" s="5">
        <v>23.98</v>
      </c>
      <c r="J214" s="6">
        <f t="shared" si="14"/>
        <v>1163.53358</v>
      </c>
      <c r="K214" s="7">
        <f t="shared" si="15"/>
        <v>7.4400774922198636</v>
      </c>
    </row>
    <row r="215" spans="1:11" hidden="1" x14ac:dyDescent="0.3">
      <c r="A215" s="2">
        <f t="shared" si="12"/>
        <v>211</v>
      </c>
      <c r="B215" s="3">
        <v>46287</v>
      </c>
      <c r="C215" s="4" t="s">
        <v>55</v>
      </c>
      <c r="D215" s="9">
        <f>IF(C215="","",IFERROR(INDEX($E$5:$E$486,SUMPRODUCT(MAX(($C$5:$C$486=C215)*($A$5:$A$486&lt;A215)*$A$5:$A$486))),""))</f>
        <v>218167</v>
      </c>
      <c r="E215" s="4">
        <v>218364</v>
      </c>
      <c r="F215" s="2">
        <f t="shared" si="13"/>
        <v>197</v>
      </c>
      <c r="G215" s="4" t="str">
        <f>IF(C215="","",IFERROR(VLOOKUP(C215,Listas!$A$2:$C$39,3,FALSE()),"Asigna combustible en hoja Listas"))</f>
        <v xml:space="preserve">Gasolina </v>
      </c>
      <c r="H215" s="4">
        <v>34.229999999999997</v>
      </c>
      <c r="I215" s="5">
        <v>23.98</v>
      </c>
      <c r="J215" s="6">
        <f t="shared" si="14"/>
        <v>820.83539999999994</v>
      </c>
      <c r="K215" s="7">
        <f t="shared" si="15"/>
        <v>5.7551855097867373</v>
      </c>
    </row>
    <row r="216" spans="1:11" hidden="1" x14ac:dyDescent="0.3">
      <c r="A216" s="2">
        <f t="shared" si="12"/>
        <v>212</v>
      </c>
      <c r="B216" s="3">
        <v>46287</v>
      </c>
      <c r="C216" s="4" t="s">
        <v>58</v>
      </c>
      <c r="D216" s="9">
        <f>IF(C216="","",IFERROR(INDEX($E$5:$E$486,SUMPRODUCT(MAX(($C$5:$C$486=C216)*($A$5:$A$486&lt;A216)*$A$5:$A$486))),""))</f>
        <v>182133</v>
      </c>
      <c r="E216" s="4">
        <v>182331</v>
      </c>
      <c r="F216" s="2">
        <f t="shared" si="13"/>
        <v>198</v>
      </c>
      <c r="G216" s="4" t="str">
        <f>IF(C216="","",IFERROR(VLOOKUP(C216,Listas!$A$2:$C$39,3,FALSE()),"Asigna combustible en hoja Listas"))</f>
        <v xml:space="preserve">Gasolina </v>
      </c>
      <c r="H216" s="4">
        <v>30.673999999999999</v>
      </c>
      <c r="I216" s="5">
        <v>23.98</v>
      </c>
      <c r="J216" s="6">
        <f t="shared" si="14"/>
        <v>735.56251999999995</v>
      </c>
      <c r="K216" s="7">
        <f t="shared" si="15"/>
        <v>6.4549781573971439</v>
      </c>
    </row>
    <row r="217" spans="1:11" hidden="1" x14ac:dyDescent="0.3">
      <c r="A217" s="2">
        <f t="shared" si="12"/>
        <v>213</v>
      </c>
      <c r="B217" s="3">
        <v>46288</v>
      </c>
      <c r="C217" s="4" t="s">
        <v>31</v>
      </c>
      <c r="D217" s="9">
        <f>IF(C217="","",IFERROR(INDEX($E$5:$E$486,SUMPRODUCT(MAX(($C$5:$C$486=C217)*($A$5:$A$486&lt;A217)*$A$5:$A$486))),""))</f>
        <v>121877</v>
      </c>
      <c r="E217" s="4">
        <v>121960</v>
      </c>
      <c r="F217" s="2">
        <f t="shared" si="13"/>
        <v>83</v>
      </c>
      <c r="G217" s="4" t="str">
        <f>IF(C217="","",IFERROR(VLOOKUP(C217,Listas!$A$2:$C$39,3,FALSE()),"Asigna combustible en hoja Listas"))</f>
        <v>Diesel</v>
      </c>
      <c r="H217" s="4">
        <v>64.153000000000006</v>
      </c>
      <c r="I217" s="5">
        <v>27</v>
      </c>
      <c r="J217" s="6">
        <f t="shared" si="14"/>
        <v>1732.1310000000001</v>
      </c>
      <c r="K217" s="7">
        <f t="shared" si="15"/>
        <v>1.2937820522812651</v>
      </c>
    </row>
    <row r="218" spans="1:11" hidden="1" x14ac:dyDescent="0.3">
      <c r="A218" s="2">
        <f t="shared" si="12"/>
        <v>214</v>
      </c>
      <c r="B218" s="3">
        <v>46288</v>
      </c>
      <c r="C218" s="4" t="s">
        <v>57</v>
      </c>
      <c r="D218" s="9">
        <f>IF(C218="","",IFERROR(INDEX($E$5:$E$486,SUMPRODUCT(MAX(($C$5:$C$486=C218)*($A$5:$A$486&lt;A218)*$A$5:$A$486))),""))</f>
        <v>272177</v>
      </c>
      <c r="E218" s="4">
        <v>272387</v>
      </c>
      <c r="F218" s="2">
        <f t="shared" si="13"/>
        <v>210</v>
      </c>
      <c r="G218" s="4" t="str">
        <f>IF(C218="","",IFERROR(VLOOKUP(C218,Listas!$A$2:$C$39,3,FALSE()),"Asigna combustible en hoja Listas"))</f>
        <v xml:space="preserve">Gasolina </v>
      </c>
      <c r="H218" s="4">
        <v>27.465</v>
      </c>
      <c r="I218" s="5">
        <v>23.98</v>
      </c>
      <c r="J218" s="6">
        <f t="shared" si="14"/>
        <v>658.61069999999995</v>
      </c>
      <c r="K218" s="7">
        <f t="shared" si="15"/>
        <v>7.6460950300382304</v>
      </c>
    </row>
    <row r="219" spans="1:11" hidden="1" x14ac:dyDescent="0.3">
      <c r="A219" s="2">
        <f t="shared" si="12"/>
        <v>215</v>
      </c>
      <c r="B219" s="3">
        <v>46288</v>
      </c>
      <c r="C219" s="4" t="s">
        <v>58</v>
      </c>
      <c r="D219" s="9">
        <f>IF(C219="","",IFERROR(INDEX($E$5:$E$486,SUMPRODUCT(MAX(($C$5:$C$486=C219)*($A$5:$A$486&lt;A219)*$A$5:$A$486))),""))</f>
        <v>182331</v>
      </c>
      <c r="E219" s="4">
        <v>182530</v>
      </c>
      <c r="F219" s="2">
        <f t="shared" si="13"/>
        <v>199</v>
      </c>
      <c r="G219" s="4" t="str">
        <f>IF(C219="","",IFERROR(VLOOKUP(C219,Listas!$A$2:$C$39,3,FALSE()),"Asigna combustible en hoja Listas"))</f>
        <v xml:space="preserve">Gasolina </v>
      </c>
      <c r="H219" s="4">
        <v>29.635999999999999</v>
      </c>
      <c r="I219" s="5">
        <v>23.98</v>
      </c>
      <c r="J219" s="6">
        <f t="shared" si="14"/>
        <v>710.67128000000002</v>
      </c>
      <c r="K219" s="7">
        <f t="shared" si="15"/>
        <v>6.7148063166419218</v>
      </c>
    </row>
    <row r="220" spans="1:11" hidden="1" x14ac:dyDescent="0.3">
      <c r="A220" s="2">
        <f t="shared" si="12"/>
        <v>216</v>
      </c>
      <c r="B220" s="3">
        <v>46288</v>
      </c>
      <c r="C220" s="4" t="s">
        <v>60</v>
      </c>
      <c r="D220" s="9">
        <f>IF(C220="","",IFERROR(INDEX($E$5:$E$486,SUMPRODUCT(MAX(($C$5:$C$486=C220)*($A$5:$A$486&lt;A220)*$A$5:$A$486))),""))</f>
        <v>5908</v>
      </c>
      <c r="E220" s="4">
        <v>6289.2</v>
      </c>
      <c r="F220" s="2">
        <f t="shared" si="13"/>
        <v>381.19999999999982</v>
      </c>
      <c r="G220" s="4" t="str">
        <f>IF(C220="","",IFERROR(VLOOKUP(C220,Listas!$A$2:$C$39,3,FALSE()),"Asigna combustible en hoja Listas"))</f>
        <v xml:space="preserve">Gasolina </v>
      </c>
      <c r="H220" s="4">
        <v>48.097000000000001</v>
      </c>
      <c r="I220" s="5">
        <v>23.98</v>
      </c>
      <c r="J220" s="6">
        <f t="shared" si="14"/>
        <v>1153.3660600000001</v>
      </c>
      <c r="K220" s="7">
        <f t="shared" si="15"/>
        <v>7.9256502484562406</v>
      </c>
    </row>
    <row r="221" spans="1:11" hidden="1" x14ac:dyDescent="0.3">
      <c r="A221" s="2">
        <f t="shared" si="12"/>
        <v>217</v>
      </c>
      <c r="B221" s="3">
        <v>46288</v>
      </c>
      <c r="C221" s="4" t="s">
        <v>61</v>
      </c>
      <c r="D221" s="9">
        <f>IF(C221="","",IFERROR(INDEX($E$5:$E$486,SUMPRODUCT(MAX(($C$5:$C$486=C221)*($A$5:$A$486&lt;A221)*$A$5:$A$486))),""))</f>
        <v>5668.8</v>
      </c>
      <c r="E221" s="4">
        <v>6177.5</v>
      </c>
      <c r="F221" s="2">
        <f t="shared" si="13"/>
        <v>508.69999999999982</v>
      </c>
      <c r="G221" s="4" t="str">
        <f>IF(C221="","",IFERROR(VLOOKUP(C221,Listas!$A$2:$C$39,3,FALSE()),"Asigna combustible en hoja Listas"))</f>
        <v>Diesel</v>
      </c>
      <c r="H221" s="4">
        <v>44.509</v>
      </c>
      <c r="I221" s="5">
        <v>27</v>
      </c>
      <c r="J221" s="6">
        <f t="shared" si="14"/>
        <v>1201.7429999999999</v>
      </c>
      <c r="K221" s="7">
        <f t="shared" si="15"/>
        <v>11.42914916084387</v>
      </c>
    </row>
    <row r="222" spans="1:11" hidden="1" x14ac:dyDescent="0.3">
      <c r="A222" s="2">
        <f t="shared" si="12"/>
        <v>218</v>
      </c>
      <c r="B222" s="3">
        <v>46289</v>
      </c>
      <c r="C222" s="4" t="s">
        <v>32</v>
      </c>
      <c r="D222" s="9">
        <f>IF(C222="","",IFERROR(INDEX($E$5:$E$486,SUMPRODUCT(MAX(($C$5:$C$486=C222)*($A$5:$A$486&lt;A222)*$A$5:$A$486))),""))</f>
        <v>531517</v>
      </c>
      <c r="E222" s="4">
        <v>531659</v>
      </c>
      <c r="F222" s="2">
        <f t="shared" si="13"/>
        <v>142</v>
      </c>
      <c r="G222" s="4" t="str">
        <f>IF(C222="","",IFERROR(VLOOKUP(C222,Listas!$A$2:$C$39,3,FALSE()),"Asigna combustible en hoja Listas"))</f>
        <v xml:space="preserve">Gasolina </v>
      </c>
      <c r="H222" s="4">
        <v>21.771000000000001</v>
      </c>
      <c r="I222" s="5">
        <v>23.98</v>
      </c>
      <c r="J222" s="6">
        <f t="shared" si="14"/>
        <v>522.06858</v>
      </c>
      <c r="K222" s="7">
        <f t="shared" si="15"/>
        <v>6.5224381057369891</v>
      </c>
    </row>
    <row r="223" spans="1:11" hidden="1" x14ac:dyDescent="0.3">
      <c r="A223" s="2">
        <f t="shared" si="12"/>
        <v>219</v>
      </c>
      <c r="B223" s="3">
        <v>46289</v>
      </c>
      <c r="C223" s="4" t="s">
        <v>42</v>
      </c>
      <c r="D223" s="9">
        <f>IF(C223="","",IFERROR(INDEX($E$5:$E$486,SUMPRODUCT(MAX(($C$5:$C$486=C223)*($A$5:$A$486&lt;A223)*$A$5:$A$486))),""))</f>
        <v>208372</v>
      </c>
      <c r="E223" s="4">
        <v>208577</v>
      </c>
      <c r="F223" s="2">
        <f t="shared" si="13"/>
        <v>205</v>
      </c>
      <c r="G223" s="4" t="str">
        <f>IF(C223="","",IFERROR(VLOOKUP(C223,Listas!$A$2:$C$39,3,FALSE()),"Asigna combustible en hoja Listas"))</f>
        <v>Diesel</v>
      </c>
      <c r="H223" s="4">
        <v>47.375999999999998</v>
      </c>
      <c r="I223" s="5">
        <v>27</v>
      </c>
      <c r="J223" s="6">
        <f t="shared" si="14"/>
        <v>1279.152</v>
      </c>
      <c r="K223" s="7">
        <f t="shared" si="15"/>
        <v>4.3270854441067206</v>
      </c>
    </row>
    <row r="224" spans="1:11" hidden="1" x14ac:dyDescent="0.3">
      <c r="A224" s="2">
        <f t="shared" si="12"/>
        <v>220</v>
      </c>
      <c r="B224" s="3">
        <v>46289</v>
      </c>
      <c r="C224" s="4" t="s">
        <v>44</v>
      </c>
      <c r="D224" s="9">
        <f>IF(C224="","",IFERROR(INDEX($E$5:$E$486,SUMPRODUCT(MAX(($C$5:$C$486=C224)*($A$5:$A$486&lt;A224)*$A$5:$A$486))),""))</f>
        <v>278988</v>
      </c>
      <c r="E224" s="4">
        <v>279315</v>
      </c>
      <c r="F224" s="2">
        <f t="shared" si="13"/>
        <v>327</v>
      </c>
      <c r="G224" s="4" t="str">
        <f>IF(C224="","",IFERROR(VLOOKUP(C224,Listas!$A$2:$C$39,3,FALSE()),"Asigna combustible en hoja Listas"))</f>
        <v>Diesel</v>
      </c>
      <c r="H224" s="4">
        <v>45.606999999999999</v>
      </c>
      <c r="I224" s="5">
        <v>27</v>
      </c>
      <c r="J224" s="6">
        <f t="shared" si="14"/>
        <v>1231.3889999999999</v>
      </c>
      <c r="K224" s="7">
        <f t="shared" si="15"/>
        <v>7.1699519810555401</v>
      </c>
    </row>
    <row r="225" spans="1:11" hidden="1" x14ac:dyDescent="0.3">
      <c r="A225" s="2">
        <f t="shared" si="12"/>
        <v>221</v>
      </c>
      <c r="B225" s="3">
        <v>46289</v>
      </c>
      <c r="C225" s="4" t="s">
        <v>45</v>
      </c>
      <c r="D225" s="9">
        <f>IF(C225="","",IFERROR(INDEX($E$5:$E$486,SUMPRODUCT(MAX(($C$5:$C$486=C225)*($A$5:$A$486&lt;A225)*$A$5:$A$486))),""))</f>
        <v>207382</v>
      </c>
      <c r="E225" s="4">
        <v>207736</v>
      </c>
      <c r="F225" s="2">
        <f t="shared" si="13"/>
        <v>354</v>
      </c>
      <c r="G225" s="4" t="str">
        <f>IF(C225="","",IFERROR(VLOOKUP(C225,Listas!$A$2:$C$39,3,FALSE()),"Asigna combustible en hoja Listas"))</f>
        <v>Diesel</v>
      </c>
      <c r="H225" s="4">
        <v>44.426000000000002</v>
      </c>
      <c r="I225" s="5">
        <v>27</v>
      </c>
      <c r="J225" s="6">
        <f t="shared" si="14"/>
        <v>1199.502</v>
      </c>
      <c r="K225" s="7">
        <f t="shared" si="15"/>
        <v>7.9683068473416467</v>
      </c>
    </row>
    <row r="226" spans="1:11" hidden="1" x14ac:dyDescent="0.3">
      <c r="A226" s="2">
        <f t="shared" si="12"/>
        <v>222</v>
      </c>
      <c r="B226" s="3">
        <v>46289</v>
      </c>
      <c r="C226" s="4" t="s">
        <v>54</v>
      </c>
      <c r="D226" s="9">
        <f>IF(C226="","",IFERROR(INDEX($E$5:$E$486,SUMPRODUCT(MAX(($C$5:$C$486=C226)*($A$5:$A$486&lt;A226)*$A$5:$A$486))),""))</f>
        <v>253147</v>
      </c>
      <c r="E226" s="4">
        <v>253567</v>
      </c>
      <c r="F226" s="2">
        <f t="shared" si="13"/>
        <v>420</v>
      </c>
      <c r="G226" s="4" t="str">
        <f>IF(C226="","",IFERROR(VLOOKUP(C226,Listas!$A$2:$C$39,3,FALSE()),"Asigna combustible en hoja Listas"))</f>
        <v xml:space="preserve">Gasolina </v>
      </c>
      <c r="H226" s="4">
        <v>57.706000000000003</v>
      </c>
      <c r="I226" s="5">
        <v>23.98</v>
      </c>
      <c r="J226" s="6">
        <f t="shared" si="14"/>
        <v>1383.78988</v>
      </c>
      <c r="K226" s="7">
        <f t="shared" si="15"/>
        <v>7.2782726232974033</v>
      </c>
    </row>
    <row r="227" spans="1:11" hidden="1" x14ac:dyDescent="0.3">
      <c r="A227" s="2">
        <f t="shared" si="12"/>
        <v>223</v>
      </c>
      <c r="B227" s="3">
        <v>46289</v>
      </c>
      <c r="C227" s="4" t="s">
        <v>58</v>
      </c>
      <c r="D227" s="9">
        <f>IF(C227="","",IFERROR(INDEX($E$5:$E$486,SUMPRODUCT(MAX(($C$5:$C$486=C227)*($A$5:$A$486&lt;A227)*$A$5:$A$486))),""))</f>
        <v>182530</v>
      </c>
      <c r="E227" s="4">
        <v>182730</v>
      </c>
      <c r="F227" s="2">
        <f t="shared" si="13"/>
        <v>200</v>
      </c>
      <c r="G227" s="4" t="str">
        <f>IF(C227="","",IFERROR(VLOOKUP(C227,Listas!$A$2:$C$39,3,FALSE()),"Asigna combustible en hoja Listas"))</f>
        <v xml:space="preserve">Gasolina </v>
      </c>
      <c r="H227" s="4">
        <v>31.399000000000001</v>
      </c>
      <c r="I227" s="5">
        <v>23.98</v>
      </c>
      <c r="J227" s="6">
        <f t="shared" si="14"/>
        <v>752.94802000000004</v>
      </c>
      <c r="K227" s="7">
        <f t="shared" si="15"/>
        <v>6.3696296060384086</v>
      </c>
    </row>
    <row r="228" spans="1:11" hidden="1" x14ac:dyDescent="0.3">
      <c r="A228" s="2">
        <f t="shared" si="12"/>
        <v>224</v>
      </c>
      <c r="B228" s="3">
        <v>46290</v>
      </c>
      <c r="C228" s="4" t="s">
        <v>40</v>
      </c>
      <c r="D228" s="9">
        <f>IF(C228="","",IFERROR(INDEX($E$5:$E$486,SUMPRODUCT(MAX(($C$5:$C$486=C228)*($A$5:$A$486&lt;A228)*$A$5:$A$486))),""))</f>
        <v>215362</v>
      </c>
      <c r="E228" s="4">
        <v>215677</v>
      </c>
      <c r="F228" s="2">
        <f t="shared" si="13"/>
        <v>315</v>
      </c>
      <c r="G228" s="4" t="str">
        <f>IF(C228="","",IFERROR(VLOOKUP(C228,Listas!$A$2:$C$39,3,FALSE()),"Asigna combustible en hoja Listas"))</f>
        <v>Diesel</v>
      </c>
      <c r="H228" s="4">
        <v>44.174999999999997</v>
      </c>
      <c r="I228" s="5">
        <v>27</v>
      </c>
      <c r="J228" s="6">
        <f t="shared" si="14"/>
        <v>1192.7249999999999</v>
      </c>
      <c r="K228" s="7">
        <f t="shared" si="15"/>
        <v>7.1307300509337868</v>
      </c>
    </row>
    <row r="229" spans="1:11" hidden="1" x14ac:dyDescent="0.3">
      <c r="A229" s="2">
        <f t="shared" si="12"/>
        <v>225</v>
      </c>
      <c r="B229" s="3">
        <v>46290</v>
      </c>
      <c r="C229" s="4" t="s">
        <v>43</v>
      </c>
      <c r="D229" s="9">
        <f>IF(C229="","",IFERROR(INDEX($E$5:$E$486,SUMPRODUCT(MAX(($C$5:$C$486=C229)*($A$5:$A$486&lt;A229)*$A$5:$A$486))),""))</f>
        <v>232003</v>
      </c>
      <c r="E229" s="4">
        <v>232188</v>
      </c>
      <c r="F229" s="2">
        <f t="shared" si="13"/>
        <v>185</v>
      </c>
      <c r="G229" s="4" t="str">
        <f>IF(C229="","",IFERROR(VLOOKUP(C229,Listas!$A$2:$C$39,3,FALSE()),"Asigna combustible en hoja Listas"))</f>
        <v>Diesel</v>
      </c>
      <c r="H229" s="4">
        <v>20.402999999999999</v>
      </c>
      <c r="I229" s="5">
        <v>27</v>
      </c>
      <c r="J229" s="6">
        <f t="shared" si="14"/>
        <v>550.88099999999997</v>
      </c>
      <c r="K229" s="7">
        <f t="shared" si="15"/>
        <v>9.0672940253884242</v>
      </c>
    </row>
    <row r="230" spans="1:11" hidden="1" x14ac:dyDescent="0.3">
      <c r="A230" s="2">
        <f t="shared" si="12"/>
        <v>226</v>
      </c>
      <c r="B230" s="3">
        <v>46290</v>
      </c>
      <c r="C230" s="4" t="s">
        <v>49</v>
      </c>
      <c r="D230" s="9">
        <f>IF(C230="","",IFERROR(INDEX($E$5:$E$486,SUMPRODUCT(MAX(($C$5:$C$486=C230)*($A$5:$A$486&lt;A230)*$A$5:$A$486))),""))</f>
        <v>306750</v>
      </c>
      <c r="E230" s="4">
        <v>306998</v>
      </c>
      <c r="F230" s="2">
        <f t="shared" si="13"/>
        <v>248</v>
      </c>
      <c r="G230" s="4" t="str">
        <f>IF(C230="","",IFERROR(VLOOKUP(C230,Listas!$A$2:$C$39,3,FALSE()),"Asigna combustible en hoja Listas"))</f>
        <v xml:space="preserve">Gasolina </v>
      </c>
      <c r="H230" s="4">
        <v>31.547999999999998</v>
      </c>
      <c r="I230" s="5">
        <v>23.98</v>
      </c>
      <c r="J230" s="6">
        <f t="shared" si="14"/>
        <v>756.52103999999997</v>
      </c>
      <c r="K230" s="7">
        <f t="shared" si="15"/>
        <v>7.8610371497400786</v>
      </c>
    </row>
    <row r="231" spans="1:11" hidden="1" x14ac:dyDescent="0.3">
      <c r="A231" s="2">
        <f t="shared" si="12"/>
        <v>227</v>
      </c>
      <c r="B231" s="3">
        <v>46290</v>
      </c>
      <c r="C231" s="4" t="s">
        <v>58</v>
      </c>
      <c r="D231" s="9">
        <f>IF(C231="","",IFERROR(INDEX($E$5:$E$486,SUMPRODUCT(MAX(($C$5:$C$486=C231)*($A$5:$A$486&lt;A231)*$A$5:$A$486))),""))</f>
        <v>182730</v>
      </c>
      <c r="E231" s="4">
        <v>182930</v>
      </c>
      <c r="F231" s="2">
        <f t="shared" si="13"/>
        <v>200</v>
      </c>
      <c r="G231" s="4" t="str">
        <f>IF(C231="","",IFERROR(VLOOKUP(C231,Listas!$A$2:$C$39,3,FALSE()),"Asigna combustible en hoja Listas"))</f>
        <v xml:space="preserve">Gasolina </v>
      </c>
      <c r="H231" s="4">
        <v>31.378</v>
      </c>
      <c r="I231" s="5">
        <v>23.98</v>
      </c>
      <c r="J231" s="6">
        <f t="shared" si="14"/>
        <v>752.44443999999999</v>
      </c>
      <c r="K231" s="7">
        <f t="shared" si="15"/>
        <v>6.3738925361718399</v>
      </c>
    </row>
    <row r="232" spans="1:11" ht="27.6" hidden="1" x14ac:dyDescent="0.3">
      <c r="A232" s="2">
        <f t="shared" si="12"/>
        <v>228</v>
      </c>
      <c r="B232" s="3">
        <v>46290</v>
      </c>
      <c r="C232" s="4" t="s">
        <v>71</v>
      </c>
      <c r="D232" s="9">
        <f>IF(C232="","",IFERROR(INDEX($E$5:$E$486,SUMPRODUCT(MAX(($C$5:$C$486=C232)*($A$5:$A$486&lt;A232)*$A$5:$A$486))),""))</f>
        <v>0</v>
      </c>
      <c r="E232" s="4"/>
      <c r="F232" s="2">
        <f t="shared" si="13"/>
        <v>0</v>
      </c>
      <c r="G232" s="4" t="str">
        <f>IF(C232="","",IFERROR(VLOOKUP(C232,Listas!$A$2:$C$39,3,FALSE()),"Asigna combustible en hoja Listas"))</f>
        <v xml:space="preserve">Gasolina </v>
      </c>
      <c r="H232" s="4">
        <v>50</v>
      </c>
      <c r="I232" s="5">
        <v>100</v>
      </c>
      <c r="J232" s="6">
        <f t="shared" si="14"/>
        <v>5000</v>
      </c>
      <c r="K232" s="7">
        <f t="shared" si="15"/>
        <v>0</v>
      </c>
    </row>
    <row r="233" spans="1:11" ht="27.6" hidden="1" x14ac:dyDescent="0.3">
      <c r="A233" s="2">
        <f t="shared" si="12"/>
        <v>229</v>
      </c>
      <c r="B233" s="3">
        <v>46290</v>
      </c>
      <c r="C233" s="4" t="s">
        <v>72</v>
      </c>
      <c r="D233" s="9">
        <f>IF(C233="","",IFERROR(INDEX($E$5:$E$486,SUMPRODUCT(MAX(($C$5:$C$486=C233)*($A$5:$A$486&lt;A233)*$A$5:$A$486))),""))</f>
        <v>0</v>
      </c>
      <c r="E233" s="4"/>
      <c r="F233" s="2">
        <f t="shared" si="13"/>
        <v>0</v>
      </c>
      <c r="G233" s="4" t="str">
        <f>IF(C233="","",IFERROR(VLOOKUP(C233,Listas!$A$2:$C$39,3,FALSE()),"Asigna combustible en hoja Listas"))</f>
        <v xml:space="preserve">Gasolina </v>
      </c>
      <c r="H233" s="4">
        <v>50</v>
      </c>
      <c r="I233" s="5">
        <v>100</v>
      </c>
      <c r="J233" s="6">
        <f t="shared" si="14"/>
        <v>5000</v>
      </c>
      <c r="K233" s="7">
        <f t="shared" si="15"/>
        <v>0</v>
      </c>
    </row>
    <row r="234" spans="1:11" hidden="1" x14ac:dyDescent="0.3">
      <c r="A234" s="2">
        <f t="shared" si="12"/>
        <v>230</v>
      </c>
      <c r="B234" s="3">
        <v>46293</v>
      </c>
      <c r="C234" s="4" t="s">
        <v>31</v>
      </c>
      <c r="D234" s="9">
        <f>IF(C234="","",IFERROR(INDEX($E$5:$E$486,SUMPRODUCT(MAX(($C$5:$C$486=C234)*($A$5:$A$486&lt;A234)*$A$5:$A$486))),""))</f>
        <v>121960</v>
      </c>
      <c r="E234" s="4">
        <v>122225</v>
      </c>
      <c r="F234" s="2">
        <f t="shared" si="13"/>
        <v>265</v>
      </c>
      <c r="G234" s="4" t="str">
        <f>IF(C234="","",IFERROR(VLOOKUP(C234,Listas!$A$2:$C$39,3,FALSE()),"Asigna combustible en hoja Listas"))</f>
        <v>Diesel</v>
      </c>
      <c r="H234" s="4">
        <v>92.906999999999996</v>
      </c>
      <c r="I234" s="5">
        <v>27</v>
      </c>
      <c r="J234" s="6">
        <f t="shared" si="14"/>
        <v>2508.489</v>
      </c>
      <c r="K234" s="7">
        <f t="shared" si="15"/>
        <v>2.8523146802716695</v>
      </c>
    </row>
    <row r="235" spans="1:11" hidden="1" x14ac:dyDescent="0.3">
      <c r="A235" s="2">
        <f t="shared" si="12"/>
        <v>231</v>
      </c>
      <c r="B235" s="3">
        <v>46293</v>
      </c>
      <c r="C235" s="4" t="s">
        <v>40</v>
      </c>
      <c r="D235" s="9">
        <f>IF(C235="","",IFERROR(INDEX($E$5:$E$486,SUMPRODUCT(MAX(($C$5:$C$486=C235)*($A$5:$A$486&lt;A235)*$A$5:$A$486))),""))</f>
        <v>215677</v>
      </c>
      <c r="E235" s="4">
        <v>215927</v>
      </c>
      <c r="F235" s="2">
        <f t="shared" si="13"/>
        <v>250</v>
      </c>
      <c r="G235" s="4" t="str">
        <f>IF(C235="","",IFERROR(VLOOKUP(C235,Listas!$A$2:$C$39,3,FALSE()),"Asigna combustible en hoja Listas"))</f>
        <v>Diesel</v>
      </c>
      <c r="H235" s="4">
        <v>41.439</v>
      </c>
      <c r="I235" s="5">
        <v>27</v>
      </c>
      <c r="J235" s="6">
        <f t="shared" si="14"/>
        <v>1118.8530000000001</v>
      </c>
      <c r="K235" s="7">
        <f t="shared" si="15"/>
        <v>6.0329641159294383</v>
      </c>
    </row>
    <row r="236" spans="1:11" hidden="1" x14ac:dyDescent="0.3">
      <c r="A236" s="2">
        <f t="shared" si="12"/>
        <v>232</v>
      </c>
      <c r="B236" s="3">
        <v>46293</v>
      </c>
      <c r="C236" s="4" t="s">
        <v>41</v>
      </c>
      <c r="D236" s="9">
        <f>IF(C236="","",IFERROR(INDEX($E$5:$E$486,SUMPRODUCT(MAX(($C$5:$C$486=C236)*($A$5:$A$486&lt;A236)*$A$5:$A$486))),""))</f>
        <v>184777</v>
      </c>
      <c r="E236" s="4">
        <v>185195</v>
      </c>
      <c r="F236" s="2">
        <f t="shared" si="13"/>
        <v>418</v>
      </c>
      <c r="G236" s="4" t="str">
        <f>IF(C236="","",IFERROR(VLOOKUP(C236,Listas!$A$2:$C$39,3,FALSE()),"Asigna combustible en hoja Listas"))</f>
        <v>Diesel</v>
      </c>
      <c r="H236" s="4">
        <v>55.155999999999999</v>
      </c>
      <c r="I236" s="5">
        <v>27</v>
      </c>
      <c r="J236" s="6">
        <f t="shared" si="14"/>
        <v>1489.212</v>
      </c>
      <c r="K236" s="7">
        <f t="shared" si="15"/>
        <v>7.5785046051200231</v>
      </c>
    </row>
    <row r="237" spans="1:11" hidden="1" x14ac:dyDescent="0.3">
      <c r="A237" s="2">
        <f t="shared" si="12"/>
        <v>233</v>
      </c>
      <c r="B237" s="3">
        <v>46293</v>
      </c>
      <c r="C237" s="4" t="s">
        <v>42</v>
      </c>
      <c r="D237" s="9">
        <f>IF(C237="","",IFERROR(INDEX($E$5:$E$486,SUMPRODUCT(MAX(($C$5:$C$486=C237)*($A$5:$A$486&lt;A237)*$A$5:$A$486))),""))</f>
        <v>208577</v>
      </c>
      <c r="E237" s="4">
        <v>208821</v>
      </c>
      <c r="F237" s="2">
        <f t="shared" si="13"/>
        <v>244</v>
      </c>
      <c r="G237" s="4" t="str">
        <f>IF(C237="","",IFERROR(VLOOKUP(C237,Listas!$A$2:$C$39,3,FALSE()),"Asigna combustible en hoja Listas"))</f>
        <v>Diesel</v>
      </c>
      <c r="H237" s="4">
        <v>39.012</v>
      </c>
      <c r="I237" s="5">
        <v>27</v>
      </c>
      <c r="J237" s="6">
        <f t="shared" si="14"/>
        <v>1053.3240000000001</v>
      </c>
      <c r="K237" s="7">
        <f t="shared" si="15"/>
        <v>6.2544857992412588</v>
      </c>
    </row>
    <row r="238" spans="1:11" hidden="1" x14ac:dyDescent="0.3">
      <c r="A238" s="2">
        <f t="shared" si="12"/>
        <v>234</v>
      </c>
      <c r="B238" s="3">
        <v>46293</v>
      </c>
      <c r="C238" s="4" t="s">
        <v>47</v>
      </c>
      <c r="D238" s="9">
        <f>IF(C238="","",IFERROR(INDEX($E$5:$E$486,SUMPRODUCT(MAX(($C$5:$C$486=C238)*($A$5:$A$486&lt;A238)*$A$5:$A$486))),""))</f>
        <v>112423</v>
      </c>
      <c r="E238" s="4">
        <v>112556</v>
      </c>
      <c r="F238" s="2">
        <f t="shared" si="13"/>
        <v>133</v>
      </c>
      <c r="G238" s="4" t="str">
        <f>IF(C238="","",IFERROR(VLOOKUP(C238,Listas!$A$2:$C$39,3,FALSE()),"Asigna combustible en hoja Listas"))</f>
        <v>Gasolina</v>
      </c>
      <c r="H238" s="4">
        <v>51.878</v>
      </c>
      <c r="I238" s="5">
        <v>23.98</v>
      </c>
      <c r="J238" s="6">
        <f t="shared" si="14"/>
        <v>1244.0344400000001</v>
      </c>
      <c r="K238" s="7">
        <f t="shared" si="15"/>
        <v>2.5637071591040517</v>
      </c>
    </row>
    <row r="239" spans="1:11" hidden="1" x14ac:dyDescent="0.3">
      <c r="A239" s="2">
        <f t="shared" si="12"/>
        <v>235</v>
      </c>
      <c r="B239" s="3">
        <v>46293</v>
      </c>
      <c r="C239" s="4" t="s">
        <v>55</v>
      </c>
      <c r="D239" s="9">
        <f>IF(C239="","",IFERROR(INDEX($E$5:$E$486,SUMPRODUCT(MAX(($C$5:$C$486=C239)*($A$5:$A$486&lt;A239)*$A$5:$A$486))),""))</f>
        <v>218364</v>
      </c>
      <c r="E239" s="4">
        <v>218556</v>
      </c>
      <c r="F239" s="2">
        <f t="shared" si="13"/>
        <v>192</v>
      </c>
      <c r="G239" s="4" t="str">
        <f>IF(C239="","",IFERROR(VLOOKUP(C239,Listas!$A$2:$C$39,3,FALSE()),"Asigna combustible en hoja Listas"))</f>
        <v xml:space="preserve">Gasolina </v>
      </c>
      <c r="H239" s="4">
        <v>31.218</v>
      </c>
      <c r="I239" s="5">
        <v>23.98</v>
      </c>
      <c r="J239" s="6">
        <f t="shared" si="14"/>
        <v>748.60764000000006</v>
      </c>
      <c r="K239" s="7">
        <f t="shared" si="15"/>
        <v>6.1502979050547761</v>
      </c>
    </row>
    <row r="240" spans="1:11" hidden="1" x14ac:dyDescent="0.3">
      <c r="A240" s="2">
        <f t="shared" si="12"/>
        <v>236</v>
      </c>
      <c r="B240" s="3">
        <v>46293</v>
      </c>
      <c r="C240" s="4" t="s">
        <v>57</v>
      </c>
      <c r="D240" s="9">
        <f>IF(C240="","",IFERROR(INDEX($E$5:$E$486,SUMPRODUCT(MAX(($C$5:$C$486=C240)*($A$5:$A$486&lt;A240)*$A$5:$A$486))),""))</f>
        <v>272387</v>
      </c>
      <c r="E240" s="4">
        <v>272700</v>
      </c>
      <c r="F240" s="2">
        <f t="shared" si="13"/>
        <v>313</v>
      </c>
      <c r="G240" s="4" t="str">
        <f>IF(C240="","",IFERROR(VLOOKUP(C240,Listas!$A$2:$C$39,3,FALSE()),"Asigna combustible en hoja Listas"))</f>
        <v xml:space="preserve">Gasolina </v>
      </c>
      <c r="H240" s="4">
        <v>38.591999999999999</v>
      </c>
      <c r="I240" s="5">
        <v>23.98</v>
      </c>
      <c r="J240" s="6">
        <f t="shared" si="14"/>
        <v>925.43615999999997</v>
      </c>
      <c r="K240" s="7">
        <f t="shared" si="15"/>
        <v>8.1104892205638475</v>
      </c>
    </row>
    <row r="241" spans="1:11" hidden="1" x14ac:dyDescent="0.3">
      <c r="A241" s="2">
        <f t="shared" si="12"/>
        <v>237</v>
      </c>
      <c r="B241" s="3">
        <v>46293</v>
      </c>
      <c r="C241" s="4" t="s">
        <v>58</v>
      </c>
      <c r="D241" s="9">
        <f>IF(C241="","",IFERROR(INDEX($E$5:$E$486,SUMPRODUCT(MAX(($C$5:$C$486=C241)*($A$5:$A$486&lt;A241)*$A$5:$A$486))),""))</f>
        <v>182930</v>
      </c>
      <c r="E241" s="4">
        <v>183128</v>
      </c>
      <c r="F241" s="2">
        <f t="shared" si="13"/>
        <v>198</v>
      </c>
      <c r="G241" s="4" t="str">
        <f>IF(C241="","",IFERROR(VLOOKUP(C241,Listas!$A$2:$C$39,3,FALSE()),"Asigna combustible en hoja Listas"))</f>
        <v xml:space="preserve">Gasolina </v>
      </c>
      <c r="H241" s="4">
        <v>29.661000000000001</v>
      </c>
      <c r="I241" s="5">
        <v>23.98</v>
      </c>
      <c r="J241" s="6">
        <f t="shared" si="14"/>
        <v>711.27078000000006</v>
      </c>
      <c r="K241" s="7">
        <f t="shared" si="15"/>
        <v>6.6754323859613631</v>
      </c>
    </row>
    <row r="242" spans="1:11" hidden="1" x14ac:dyDescent="0.3">
      <c r="A242" s="2">
        <f t="shared" si="12"/>
        <v>238</v>
      </c>
      <c r="B242" s="3">
        <v>46293</v>
      </c>
      <c r="C242" s="4" t="s">
        <v>62</v>
      </c>
      <c r="D242" s="9">
        <f>IF(C242="","",IFERROR(INDEX($E$5:$E$486,SUMPRODUCT(MAX(($C$5:$C$486=C242)*($A$5:$A$486&lt;A242)*$A$5:$A$486))),""))</f>
        <v>3630.2</v>
      </c>
      <c r="E242" s="4">
        <v>3647.1</v>
      </c>
      <c r="F242" s="2">
        <f t="shared" si="13"/>
        <v>16.900000000000091</v>
      </c>
      <c r="G242" s="4" t="str">
        <f>IF(C242="","",IFERROR(VLOOKUP(C242,Listas!$A$2:$C$39,3,FALSE()),"Asigna combustible en hoja Listas"))</f>
        <v>Diesel</v>
      </c>
      <c r="H242" s="4">
        <v>37.412999999999997</v>
      </c>
      <c r="I242" s="5">
        <v>27</v>
      </c>
      <c r="J242" s="6">
        <f t="shared" si="14"/>
        <v>1010.151</v>
      </c>
      <c r="K242" s="7">
        <f t="shared" si="15"/>
        <v>0.45171464464223915</v>
      </c>
    </row>
    <row r="243" spans="1:11" hidden="1" x14ac:dyDescent="0.3">
      <c r="A243" s="2">
        <f t="shared" si="12"/>
        <v>239</v>
      </c>
      <c r="B243" s="3">
        <v>46294</v>
      </c>
      <c r="C243" s="4" t="s">
        <v>44</v>
      </c>
      <c r="D243" s="9">
        <f>IF(C243="","",IFERROR(INDEX($E$5:$E$486,SUMPRODUCT(MAX(($C$5:$C$486=C243)*($A$5:$A$486&lt;A243)*$A$5:$A$486))),""))</f>
        <v>279315</v>
      </c>
      <c r="E243" s="4">
        <v>279640</v>
      </c>
      <c r="F243" s="2">
        <f t="shared" si="13"/>
        <v>325</v>
      </c>
      <c r="G243" s="4" t="str">
        <f>IF(C243="","",IFERROR(VLOOKUP(C243,Listas!$A$2:$C$39,3,FALSE()),"Asigna combustible en hoja Listas"))</f>
        <v>Diesel</v>
      </c>
      <c r="H243" s="4">
        <v>44.582000000000001</v>
      </c>
      <c r="I243" s="5">
        <v>27</v>
      </c>
      <c r="J243" s="6">
        <f t="shared" si="14"/>
        <v>1203.7139999999999</v>
      </c>
      <c r="K243" s="7">
        <f t="shared" si="15"/>
        <v>7.2899376429949303</v>
      </c>
    </row>
    <row r="244" spans="1:11" hidden="1" x14ac:dyDescent="0.3">
      <c r="A244" s="2">
        <f t="shared" si="12"/>
        <v>240</v>
      </c>
      <c r="B244" s="3">
        <v>46294</v>
      </c>
      <c r="C244" s="4" t="s">
        <v>54</v>
      </c>
      <c r="D244" s="9">
        <f>IF(C244="","",IFERROR(INDEX($E$5:$E$486,SUMPRODUCT(MAX(($C$5:$C$486=C244)*($A$5:$A$486&lt;A244)*$A$5:$A$486))),""))</f>
        <v>253567</v>
      </c>
      <c r="E244" s="4">
        <v>253960</v>
      </c>
      <c r="F244" s="2">
        <f t="shared" si="13"/>
        <v>393</v>
      </c>
      <c r="G244" s="4" t="str">
        <f>IF(C244="","",IFERROR(VLOOKUP(C244,Listas!$A$2:$C$39,3,FALSE()),"Asigna combustible en hoja Listas"))</f>
        <v xml:space="preserve">Gasolina </v>
      </c>
      <c r="H244" s="4">
        <v>55.503999999999998</v>
      </c>
      <c r="I244" s="5">
        <v>23.98</v>
      </c>
      <c r="J244" s="6">
        <f t="shared" si="14"/>
        <v>1330.9859200000001</v>
      </c>
      <c r="K244" s="7">
        <f t="shared" si="15"/>
        <v>7.0805707696742584</v>
      </c>
    </row>
    <row r="245" spans="1:11" hidden="1" x14ac:dyDescent="0.3">
      <c r="A245" s="2">
        <f t="shared" si="12"/>
        <v>241</v>
      </c>
      <c r="B245" s="3">
        <v>46294</v>
      </c>
      <c r="C245" s="4" t="s">
        <v>58</v>
      </c>
      <c r="D245" s="9">
        <f>IF(C245="","",IFERROR(INDEX($E$5:$E$486,SUMPRODUCT(MAX(($C$5:$C$486=C245)*($A$5:$A$486&lt;A245)*$A$5:$A$486))),""))</f>
        <v>183128</v>
      </c>
      <c r="E245" s="4">
        <v>183327</v>
      </c>
      <c r="F245" s="2">
        <f t="shared" si="13"/>
        <v>199</v>
      </c>
      <c r="G245" s="4" t="str">
        <f>IF(C245="","",IFERROR(VLOOKUP(C245,Listas!$A$2:$C$39,3,FALSE()),"Asigna combustible en hoja Listas"))</f>
        <v xml:space="preserve">Gasolina </v>
      </c>
      <c r="H245" s="4">
        <v>30.933</v>
      </c>
      <c r="I245" s="5">
        <v>23.98</v>
      </c>
      <c r="J245" s="6">
        <f t="shared" si="14"/>
        <v>741.77333999999996</v>
      </c>
      <c r="K245" s="7">
        <f t="shared" si="15"/>
        <v>6.4332589790838259</v>
      </c>
    </row>
    <row r="246" spans="1:11" hidden="1" x14ac:dyDescent="0.3">
      <c r="A246" s="2">
        <f t="shared" si="12"/>
        <v>242</v>
      </c>
      <c r="B246" s="3">
        <v>46294</v>
      </c>
      <c r="C246" s="4" t="s">
        <v>61</v>
      </c>
      <c r="D246" s="9">
        <f>IF(C246="","",IFERROR(INDEX($E$5:$E$486,SUMPRODUCT(MAX(($C$5:$C$486=C246)*($A$5:$A$486&lt;A246)*$A$5:$A$486))),""))</f>
        <v>6177.5</v>
      </c>
      <c r="E246" s="4">
        <v>6803.2</v>
      </c>
      <c r="F246" s="2">
        <f t="shared" si="13"/>
        <v>625.69999999999982</v>
      </c>
      <c r="G246" s="4" t="str">
        <f>IF(C246="","",IFERROR(VLOOKUP(C246,Listas!$A$2:$C$39,3,FALSE()),"Asigna combustible en hoja Listas"))</f>
        <v>Diesel</v>
      </c>
      <c r="H246" s="4">
        <v>54.241</v>
      </c>
      <c r="I246" s="5">
        <v>27</v>
      </c>
      <c r="J246" s="6">
        <f t="shared" si="14"/>
        <v>1464.5070000000001</v>
      </c>
      <c r="K246" s="7">
        <f t="shared" si="15"/>
        <v>11.535554285503583</v>
      </c>
    </row>
    <row r="247" spans="1:11" hidden="1" x14ac:dyDescent="0.3">
      <c r="A247" s="2">
        <f t="shared" si="12"/>
        <v>243</v>
      </c>
      <c r="B247" s="3">
        <v>46295</v>
      </c>
      <c r="C247" s="4" t="s">
        <v>39</v>
      </c>
      <c r="D247" s="9">
        <f>IF(C247="","",IFERROR(INDEX($E$5:$E$486,SUMPRODUCT(MAX(($C$5:$C$486=C247)*($A$5:$A$486&lt;A247)*$A$5:$A$486))),""))</f>
        <v>207419</v>
      </c>
      <c r="E247" s="4">
        <v>207746</v>
      </c>
      <c r="F247" s="2">
        <f t="shared" si="13"/>
        <v>327</v>
      </c>
      <c r="G247" s="4" t="str">
        <f>IF(C247="","",IFERROR(VLOOKUP(C247,Listas!$A$2:$C$39,3,FALSE()),"Asigna combustible en hoja Listas"))</f>
        <v>Diesel</v>
      </c>
      <c r="H247" s="4">
        <v>50.378</v>
      </c>
      <c r="I247" s="5">
        <v>27</v>
      </c>
      <c r="J247" s="6">
        <f t="shared" si="14"/>
        <v>1360.2059999999999</v>
      </c>
      <c r="K247" s="7">
        <f t="shared" si="15"/>
        <v>6.4909285799356864</v>
      </c>
    </row>
    <row r="248" spans="1:11" hidden="1" x14ac:dyDescent="0.3">
      <c r="A248" s="2">
        <f t="shared" si="12"/>
        <v>244</v>
      </c>
      <c r="B248" s="3">
        <v>46295</v>
      </c>
      <c r="C248" s="4" t="s">
        <v>40</v>
      </c>
      <c r="D248" s="9">
        <f>IF(C248="","",IFERROR(INDEX($E$5:$E$486,SUMPRODUCT(MAX(($C$5:$C$486=C248)*($A$5:$A$486&lt;A248)*$A$5:$A$486))),""))</f>
        <v>215927</v>
      </c>
      <c r="E248" s="4">
        <v>216126</v>
      </c>
      <c r="F248" s="2">
        <f t="shared" si="13"/>
        <v>199</v>
      </c>
      <c r="G248" s="4" t="str">
        <f>IF(C248="","",IFERROR(VLOOKUP(C248,Listas!$A$2:$C$39,3,FALSE()),"Asigna combustible en hoja Listas"))</f>
        <v>Diesel</v>
      </c>
      <c r="H248" s="4">
        <v>31.105</v>
      </c>
      <c r="I248" s="5">
        <v>27</v>
      </c>
      <c r="J248" s="6">
        <f t="shared" si="14"/>
        <v>839.83500000000004</v>
      </c>
      <c r="K248" s="7">
        <f t="shared" si="15"/>
        <v>6.3976852596045655</v>
      </c>
    </row>
    <row r="249" spans="1:11" hidden="1" x14ac:dyDescent="0.3">
      <c r="A249" s="2">
        <f t="shared" si="12"/>
        <v>245</v>
      </c>
      <c r="B249" s="3">
        <v>46295</v>
      </c>
      <c r="C249" s="4" t="s">
        <v>58</v>
      </c>
      <c r="D249" s="9">
        <f>IF(C249="","",IFERROR(INDEX($E$5:$E$486,SUMPRODUCT(MAX(($C$5:$C$486=C249)*($A$5:$A$486&lt;A249)*$A$5:$A$486))),""))</f>
        <v>183327</v>
      </c>
      <c r="E249" s="4">
        <v>183527</v>
      </c>
      <c r="F249" s="2">
        <f t="shared" si="13"/>
        <v>200</v>
      </c>
      <c r="G249" s="4" t="str">
        <f>IF(C249="","",IFERROR(VLOOKUP(C249,Listas!$A$2:$C$39,3,FALSE()),"Asigna combustible en hoja Listas"))</f>
        <v xml:space="preserve">Gasolina </v>
      </c>
      <c r="H249" s="4">
        <v>30.175000000000001</v>
      </c>
      <c r="I249" s="5">
        <v>23.98</v>
      </c>
      <c r="J249" s="6">
        <f t="shared" si="14"/>
        <v>723.59649999999999</v>
      </c>
      <c r="K249" s="7">
        <f t="shared" si="15"/>
        <v>6.6280033140016572</v>
      </c>
    </row>
    <row r="250" spans="1:11" hidden="1" x14ac:dyDescent="0.3">
      <c r="A250" s="2">
        <f t="shared" si="12"/>
        <v>246</v>
      </c>
      <c r="B250" s="3">
        <v>46296</v>
      </c>
      <c r="C250" s="4" t="s">
        <v>31</v>
      </c>
      <c r="D250" s="9">
        <f>IF(C250="","",IFERROR(INDEX($E$5:$E$486,SUMPRODUCT(MAX(($C$5:$C$486=C250)*($A$5:$A$486&lt;A250)*$A$5:$A$486))),""))</f>
        <v>122225</v>
      </c>
      <c r="E250" s="4">
        <v>122503</v>
      </c>
      <c r="F250" s="2">
        <f t="shared" si="13"/>
        <v>278</v>
      </c>
      <c r="G250" s="4" t="str">
        <f>IF(C250="","",IFERROR(VLOOKUP(C250,Listas!$A$2:$C$39,3,FALSE()),"Asigna combustible en hoja Listas"))</f>
        <v>Diesel</v>
      </c>
      <c r="H250" s="4">
        <v>101.41</v>
      </c>
      <c r="I250" s="5">
        <v>27</v>
      </c>
      <c r="J250" s="6">
        <f t="shared" si="14"/>
        <v>2738.0699999999997</v>
      </c>
      <c r="K250" s="7">
        <f t="shared" si="15"/>
        <v>2.7413470071985011</v>
      </c>
    </row>
    <row r="251" spans="1:11" hidden="1" x14ac:dyDescent="0.3">
      <c r="A251" s="2">
        <f t="shared" si="12"/>
        <v>247</v>
      </c>
      <c r="B251" s="3">
        <v>46296</v>
      </c>
      <c r="C251" s="4" t="s">
        <v>44</v>
      </c>
      <c r="D251" s="9">
        <f>IF(C251="","",IFERROR(INDEX($E$5:$E$486,SUMPRODUCT(MAX(($C$5:$C$486=C251)*($A$5:$A$486&lt;A251)*$A$5:$A$486))),""))</f>
        <v>279640</v>
      </c>
      <c r="E251" s="4">
        <v>279883</v>
      </c>
      <c r="F251" s="2">
        <f t="shared" si="13"/>
        <v>243</v>
      </c>
      <c r="G251" s="4" t="str">
        <f>IF(C251="","",IFERROR(VLOOKUP(C251,Listas!$A$2:$C$39,3,FALSE()),"Asigna combustible en hoja Listas"))</f>
        <v>Diesel</v>
      </c>
      <c r="H251" s="4">
        <v>34.685000000000002</v>
      </c>
      <c r="I251" s="5">
        <v>27</v>
      </c>
      <c r="J251" s="6">
        <f t="shared" si="14"/>
        <v>936.49500000000012</v>
      </c>
      <c r="K251" s="7">
        <f t="shared" si="15"/>
        <v>7.0059103358800634</v>
      </c>
    </row>
    <row r="252" spans="1:11" hidden="1" x14ac:dyDescent="0.3">
      <c r="A252" s="2">
        <f t="shared" si="12"/>
        <v>248</v>
      </c>
      <c r="B252" s="3">
        <v>46296</v>
      </c>
      <c r="C252" s="4" t="s">
        <v>55</v>
      </c>
      <c r="D252" s="9">
        <f>IF(C252="","",IFERROR(INDEX($E$5:$E$486,SUMPRODUCT(MAX(($C$5:$C$486=C252)*($A$5:$A$486&lt;A252)*$A$5:$A$486))),""))</f>
        <v>218556</v>
      </c>
      <c r="E252" s="4">
        <v>218786</v>
      </c>
      <c r="F252" s="2">
        <f t="shared" si="13"/>
        <v>230</v>
      </c>
      <c r="G252" s="4" t="str">
        <f>IF(C252="","",IFERROR(VLOOKUP(C252,Listas!$A$2:$C$39,3,FALSE()),"Asigna combustible en hoja Listas"))</f>
        <v xml:space="preserve">Gasolina </v>
      </c>
      <c r="H252" s="4">
        <v>37.463000000000001</v>
      </c>
      <c r="I252" s="5">
        <v>23.98</v>
      </c>
      <c r="J252" s="6">
        <f t="shared" si="14"/>
        <v>898.36274000000003</v>
      </c>
      <c r="K252" s="7">
        <f t="shared" si="15"/>
        <v>6.1393908656541116</v>
      </c>
    </row>
    <row r="253" spans="1:11" hidden="1" x14ac:dyDescent="0.3">
      <c r="A253" s="2">
        <f t="shared" si="12"/>
        <v>249</v>
      </c>
      <c r="B253" s="3">
        <v>46296</v>
      </c>
      <c r="C253" s="4" t="s">
        <v>58</v>
      </c>
      <c r="D253" s="9">
        <f>IF(C253="","",IFERROR(INDEX($E$5:$E$486,SUMPRODUCT(MAX(($C$5:$C$486=C253)*($A$5:$A$486&lt;A253)*$A$5:$A$486))),""))</f>
        <v>183527</v>
      </c>
      <c r="E253" s="4">
        <v>183725</v>
      </c>
      <c r="F253" s="2">
        <f t="shared" si="13"/>
        <v>198</v>
      </c>
      <c r="G253" s="4" t="str">
        <f>IF(C253="","",IFERROR(VLOOKUP(C253,Listas!$A$2:$C$39,3,FALSE()),"Asigna combustible en hoja Listas"))</f>
        <v xml:space="preserve">Gasolina </v>
      </c>
      <c r="H253" s="4">
        <v>33.100999999999999</v>
      </c>
      <c r="I253" s="5">
        <v>23.98</v>
      </c>
      <c r="J253" s="6">
        <f t="shared" si="14"/>
        <v>793.76197999999999</v>
      </c>
      <c r="K253" s="7">
        <f t="shared" si="15"/>
        <v>5.9816923960001214</v>
      </c>
    </row>
    <row r="254" spans="1:11" hidden="1" x14ac:dyDescent="0.3">
      <c r="A254" s="2">
        <f t="shared" si="12"/>
        <v>250</v>
      </c>
      <c r="B254" s="3">
        <v>46297</v>
      </c>
      <c r="C254" s="4" t="s">
        <v>42</v>
      </c>
      <c r="D254" s="9">
        <f>IF(C254="","",IFERROR(INDEX($E$5:$E$486,SUMPRODUCT(MAX(($C$5:$C$486=C254)*($A$5:$A$486&lt;A254)*$A$5:$A$486))),""))</f>
        <v>208821</v>
      </c>
      <c r="E254" s="4">
        <v>209014</v>
      </c>
      <c r="F254" s="2">
        <f t="shared" si="13"/>
        <v>193</v>
      </c>
      <c r="G254" s="4" t="str">
        <f>IF(C254="","",IFERROR(VLOOKUP(C254,Listas!$A$2:$C$39,3,FALSE()),"Asigna combustible en hoja Listas"))</f>
        <v>Diesel</v>
      </c>
      <c r="H254" s="4">
        <v>40.789000000000001</v>
      </c>
      <c r="I254" s="5">
        <v>27</v>
      </c>
      <c r="J254" s="6">
        <f t="shared" si="14"/>
        <v>1101.3030000000001</v>
      </c>
      <c r="K254" s="7">
        <f t="shared" si="15"/>
        <v>4.7316678516266641</v>
      </c>
    </row>
    <row r="255" spans="1:11" hidden="1" x14ac:dyDescent="0.3">
      <c r="A255" s="2">
        <f t="shared" si="12"/>
        <v>251</v>
      </c>
      <c r="B255" s="3">
        <v>46297</v>
      </c>
      <c r="C255" s="4" t="s">
        <v>45</v>
      </c>
      <c r="D255" s="9">
        <f>IF(C255="","",IFERROR(INDEX($E$5:$E$486,SUMPRODUCT(MAX(($C$5:$C$486=C255)*($A$5:$A$486&lt;A255)*$A$5:$A$486))),""))</f>
        <v>207736</v>
      </c>
      <c r="E255" s="4">
        <v>208016</v>
      </c>
      <c r="F255" s="2">
        <f t="shared" si="13"/>
        <v>280</v>
      </c>
      <c r="G255" s="4" t="str">
        <f>IF(C255="","",IFERROR(VLOOKUP(C255,Listas!$A$2:$C$39,3,FALSE()),"Asigna combustible en hoja Listas"))</f>
        <v>Diesel</v>
      </c>
      <c r="H255" s="4">
        <v>35.308</v>
      </c>
      <c r="I255" s="5">
        <v>27</v>
      </c>
      <c r="J255" s="6">
        <f t="shared" si="14"/>
        <v>953.31600000000003</v>
      </c>
      <c r="K255" s="7">
        <f t="shared" si="15"/>
        <v>7.9302141157811263</v>
      </c>
    </row>
    <row r="256" spans="1:11" hidden="1" x14ac:dyDescent="0.3">
      <c r="A256" s="2">
        <f t="shared" si="12"/>
        <v>252</v>
      </c>
      <c r="B256" s="3">
        <v>46297</v>
      </c>
      <c r="C256" s="4" t="s">
        <v>53</v>
      </c>
      <c r="D256" s="9">
        <f>IF(C256="","",IFERROR(INDEX($E$5:$E$486,SUMPRODUCT(MAX(($C$5:$C$486=C256)*($A$5:$A$486&lt;A256)*$A$5:$A$486))),""))</f>
        <v>226002</v>
      </c>
      <c r="E256" s="4">
        <v>226224</v>
      </c>
      <c r="F256" s="2">
        <f t="shared" si="13"/>
        <v>222</v>
      </c>
      <c r="G256" s="4" t="str">
        <f>IF(C256="","",IFERROR(VLOOKUP(C256,Listas!$A$2:$C$39,3,FALSE()),"Asigna combustible en hoja Listas"))</f>
        <v xml:space="preserve">Gasolina </v>
      </c>
      <c r="H256" s="4">
        <v>45.243000000000002</v>
      </c>
      <c r="I256" s="5">
        <v>28.98</v>
      </c>
      <c r="J256" s="6">
        <f t="shared" si="14"/>
        <v>1311.1421400000002</v>
      </c>
      <c r="K256" s="7">
        <f t="shared" si="15"/>
        <v>4.9068364166832437</v>
      </c>
    </row>
    <row r="257" spans="1:11" hidden="1" x14ac:dyDescent="0.3">
      <c r="A257" s="2">
        <f t="shared" si="12"/>
        <v>253</v>
      </c>
      <c r="B257" s="3">
        <v>46297</v>
      </c>
      <c r="C257" s="4" t="s">
        <v>54</v>
      </c>
      <c r="D257" s="9">
        <f>IF(C257="","",IFERROR(INDEX($E$5:$E$486,SUMPRODUCT(MAX(($C$5:$C$486=C257)*($A$5:$A$486&lt;A257)*$A$5:$A$486))),""))</f>
        <v>253960</v>
      </c>
      <c r="E257" s="4">
        <v>254313</v>
      </c>
      <c r="F257" s="2">
        <f t="shared" si="13"/>
        <v>353</v>
      </c>
      <c r="G257" s="4" t="str">
        <f>IF(C257="","",IFERROR(VLOOKUP(C257,Listas!$A$2:$C$39,3,FALSE()),"Asigna combustible en hoja Listas"))</f>
        <v xml:space="preserve">Gasolina </v>
      </c>
      <c r="H257" s="4">
        <v>56.798999999999999</v>
      </c>
      <c r="I257" s="5">
        <v>28.98</v>
      </c>
      <c r="J257" s="6">
        <f t="shared" si="14"/>
        <v>1646.03502</v>
      </c>
      <c r="K257" s="7">
        <f t="shared" si="15"/>
        <v>6.2148981496153102</v>
      </c>
    </row>
    <row r="258" spans="1:11" hidden="1" x14ac:dyDescent="0.3">
      <c r="A258" s="2">
        <f t="shared" si="12"/>
        <v>254</v>
      </c>
      <c r="B258" s="3">
        <v>46297</v>
      </c>
      <c r="C258" s="4" t="s">
        <v>57</v>
      </c>
      <c r="D258" s="9">
        <f>IF(C258="","",IFERROR(INDEX($E$5:$E$486,SUMPRODUCT(MAX(($C$5:$C$486=C258)*($A$5:$A$486&lt;A258)*$A$5:$A$486))),""))</f>
        <v>272700</v>
      </c>
      <c r="E258" s="4">
        <v>273133</v>
      </c>
      <c r="F258" s="2">
        <f t="shared" si="13"/>
        <v>433</v>
      </c>
      <c r="G258" s="4" t="str">
        <f>IF(C258="","",IFERROR(VLOOKUP(C258,Listas!$A$2:$C$39,3,FALSE()),"Asigna combustible en hoja Listas"))</f>
        <v xml:space="preserve">Gasolina </v>
      </c>
      <c r="H258" s="4">
        <v>55.962000000000003</v>
      </c>
      <c r="I258" s="5">
        <v>28.98</v>
      </c>
      <c r="J258" s="6">
        <f t="shared" si="14"/>
        <v>1621.7787600000001</v>
      </c>
      <c r="K258" s="7">
        <f t="shared" si="15"/>
        <v>7.7373932311211178</v>
      </c>
    </row>
    <row r="259" spans="1:11" hidden="1" x14ac:dyDescent="0.3">
      <c r="A259" s="2">
        <f t="shared" si="12"/>
        <v>255</v>
      </c>
      <c r="B259" s="3">
        <v>46297</v>
      </c>
      <c r="C259" s="4" t="s">
        <v>58</v>
      </c>
      <c r="D259" s="9">
        <f>IF(C259="","",IFERROR(INDEX($E$5:$E$486,SUMPRODUCT(MAX(($C$5:$C$486=C259)*($A$5:$A$486&lt;A259)*$A$5:$A$486))),""))</f>
        <v>183725</v>
      </c>
      <c r="E259" s="4">
        <v>183925</v>
      </c>
      <c r="F259" s="2">
        <f t="shared" si="13"/>
        <v>200</v>
      </c>
      <c r="G259" s="4" t="str">
        <f>IF(C259="","",IFERROR(VLOOKUP(C259,Listas!$A$2:$C$39,3,FALSE()),"Asigna combustible en hoja Listas"))</f>
        <v xml:space="preserve">Gasolina </v>
      </c>
      <c r="H259" s="4">
        <v>33.090000000000003</v>
      </c>
      <c r="I259" s="5">
        <v>23.98</v>
      </c>
      <c r="J259" s="6">
        <f t="shared" si="14"/>
        <v>793.49820000000011</v>
      </c>
      <c r="K259" s="7">
        <f t="shared" si="15"/>
        <v>6.0441220912662432</v>
      </c>
    </row>
    <row r="260" spans="1:11" hidden="1" x14ac:dyDescent="0.3">
      <c r="A260" s="2">
        <f t="shared" si="12"/>
        <v>256</v>
      </c>
      <c r="B260" s="3">
        <v>46297</v>
      </c>
      <c r="C260" s="4" t="s">
        <v>73</v>
      </c>
      <c r="D260" s="9">
        <f>IF(C260="","",IFERROR(INDEX($E$5:$E$486,SUMPRODUCT(MAX(($C$5:$C$486=C260)*($A$5:$A$486&lt;A260)*$A$5:$A$486))),""))</f>
        <v>261016</v>
      </c>
      <c r="E260" s="4">
        <v>261016</v>
      </c>
      <c r="F260" s="2">
        <f t="shared" si="13"/>
        <v>0</v>
      </c>
      <c r="G260" s="4" t="str">
        <f>IF(C260="","",IFERROR(VLOOKUP(C260,Listas!$A$2:$C$39,3,FALSE()),"Asigna combustible en hoja Listas"))</f>
        <v xml:space="preserve">Gasolina </v>
      </c>
      <c r="H260" s="4">
        <v>50.390999999999998</v>
      </c>
      <c r="I260" s="5">
        <v>28.98</v>
      </c>
      <c r="J260" s="6">
        <f t="shared" si="14"/>
        <v>1460.3311799999999</v>
      </c>
      <c r="K260" s="7">
        <f t="shared" si="15"/>
        <v>0</v>
      </c>
    </row>
    <row r="261" spans="1:11" hidden="1" x14ac:dyDescent="0.3">
      <c r="A261" s="2">
        <f t="shared" ref="A261:A324" si="16">ROW()-4</f>
        <v>257</v>
      </c>
      <c r="B261" s="3">
        <v>46297</v>
      </c>
      <c r="C261" s="4" t="s">
        <v>61</v>
      </c>
      <c r="D261" s="9">
        <f>IF(C261="","",IFERROR(INDEX($E$5:$E$486,SUMPRODUCT(MAX(($C$5:$C$486=C261)*($A$5:$A$486&lt;A261)*$A$5:$A$486))),""))</f>
        <v>6803.2</v>
      </c>
      <c r="E261" s="4">
        <v>7278</v>
      </c>
      <c r="F261" s="2">
        <f t="shared" ref="F261:F324" si="17">IFERROR(E261-D261,0)</f>
        <v>474.80000000000018</v>
      </c>
      <c r="G261" s="4" t="str">
        <f>IF(C261="","",IFERROR(VLOOKUP(C261,Listas!$A$2:$C$39,3,FALSE()),"Asigna combustible en hoja Listas"))</f>
        <v>Diesel</v>
      </c>
      <c r="H261" s="4">
        <v>39.334000000000003</v>
      </c>
      <c r="I261" s="5">
        <v>27</v>
      </c>
      <c r="J261" s="6">
        <f t="shared" ref="J261:J324" si="18">H261*I261</f>
        <v>1062.018</v>
      </c>
      <c r="K261" s="7">
        <f t="shared" ref="K261:K324" si="19">IFERROR(F261/H261,0)</f>
        <v>12.070981847765296</v>
      </c>
    </row>
    <row r="262" spans="1:11" ht="27.6" hidden="1" x14ac:dyDescent="0.3">
      <c r="A262" s="2">
        <f t="shared" si="16"/>
        <v>258</v>
      </c>
      <c r="B262" s="3">
        <v>46297</v>
      </c>
      <c r="C262" s="4" t="s">
        <v>71</v>
      </c>
      <c r="D262" s="9">
        <f>IF(C262="","",IFERROR(INDEX($E$5:$E$486,SUMPRODUCT(MAX(($C$5:$C$486=C262)*($A$5:$A$486&lt;A262)*$A$5:$A$486))),""))</f>
        <v>0</v>
      </c>
      <c r="E262" s="4"/>
      <c r="F262" s="2">
        <f t="shared" si="17"/>
        <v>0</v>
      </c>
      <c r="G262" s="4" t="str">
        <f>IF(C262="","",IFERROR(VLOOKUP(C262,Listas!$A$2:$C$39,3,FALSE()),"Asigna combustible en hoja Listas"))</f>
        <v xml:space="preserve">Gasolina </v>
      </c>
      <c r="H262" s="4">
        <v>50</v>
      </c>
      <c r="I262" s="5">
        <v>100</v>
      </c>
      <c r="J262" s="6">
        <f t="shared" si="18"/>
        <v>5000</v>
      </c>
      <c r="K262" s="7">
        <f t="shared" si="19"/>
        <v>0</v>
      </c>
    </row>
    <row r="263" spans="1:11" ht="27.6" hidden="1" x14ac:dyDescent="0.3">
      <c r="A263" s="2">
        <f t="shared" si="16"/>
        <v>259</v>
      </c>
      <c r="B263" s="3">
        <v>46297</v>
      </c>
      <c r="C263" s="4" t="s">
        <v>72</v>
      </c>
      <c r="D263" s="9">
        <f>IF(C263="","",IFERROR(INDEX($E$5:$E$486,SUMPRODUCT(MAX(($C$5:$C$486=C263)*($A$5:$A$486&lt;A263)*$A$5:$A$486))),""))</f>
        <v>0</v>
      </c>
      <c r="E263" s="4"/>
      <c r="F263" s="2">
        <f t="shared" si="17"/>
        <v>0</v>
      </c>
      <c r="G263" s="4" t="str">
        <f>IF(C263="","",IFERROR(VLOOKUP(C263,Listas!$A$2:$C$39,3,FALSE()),"Asigna combustible en hoja Listas"))</f>
        <v xml:space="preserve">Gasolina </v>
      </c>
      <c r="H263" s="4">
        <v>50</v>
      </c>
      <c r="I263" s="5">
        <v>100</v>
      </c>
      <c r="J263" s="6">
        <f t="shared" si="18"/>
        <v>5000</v>
      </c>
      <c r="K263" s="7">
        <f t="shared" si="19"/>
        <v>0</v>
      </c>
    </row>
    <row r="264" spans="1:11" hidden="1" x14ac:dyDescent="0.3">
      <c r="A264" s="2">
        <f t="shared" si="16"/>
        <v>260</v>
      </c>
      <c r="B264" s="3">
        <v>46300</v>
      </c>
      <c r="C264" s="4" t="s">
        <v>58</v>
      </c>
      <c r="D264" s="9">
        <f>IF(C264="","",IFERROR(INDEX($E$5:$E$486,SUMPRODUCT(MAX(($C$5:$C$486=C264)*($A$5:$A$486&lt;A264)*$A$5:$A$486))),""))</f>
        <v>183925</v>
      </c>
      <c r="E264" s="4">
        <v>184124</v>
      </c>
      <c r="F264" s="2">
        <f t="shared" si="17"/>
        <v>199</v>
      </c>
      <c r="G264" s="4" t="str">
        <f>IF(C264="","",IFERROR(VLOOKUP(C264,Listas!$A$2:$C$39,3,FALSE()),"Asigna combustible en hoja Listas"))</f>
        <v xml:space="preserve">Gasolina </v>
      </c>
      <c r="H264" s="4">
        <v>29.093</v>
      </c>
      <c r="I264" s="5">
        <v>23.98</v>
      </c>
      <c r="J264" s="6">
        <f t="shared" si="18"/>
        <v>697.65013999999996</v>
      </c>
      <c r="K264" s="7">
        <f t="shared" si="19"/>
        <v>6.8401333654143608</v>
      </c>
    </row>
    <row r="265" spans="1:11" hidden="1" x14ac:dyDescent="0.3">
      <c r="A265" s="2">
        <f t="shared" si="16"/>
        <v>261</v>
      </c>
      <c r="B265" s="3">
        <v>46301</v>
      </c>
      <c r="C265" s="4" t="s">
        <v>31</v>
      </c>
      <c r="D265" s="9">
        <f>IF(C265="","",IFERROR(INDEX($E$5:$E$486,SUMPRODUCT(MAX(($C$5:$C$486=C265)*($A$5:$A$486&lt;A265)*$A$5:$A$486))),""))</f>
        <v>122503</v>
      </c>
      <c r="E265" s="4">
        <v>122707</v>
      </c>
      <c r="F265" s="2">
        <f t="shared" si="17"/>
        <v>204</v>
      </c>
      <c r="G265" s="4" t="str">
        <f>IF(C265="","",IFERROR(VLOOKUP(C265,Listas!$A$2:$C$39,3,FALSE()),"Asigna combustible en hoja Listas"))</f>
        <v>Diesel</v>
      </c>
      <c r="H265" s="4">
        <v>82.837999999999994</v>
      </c>
      <c r="I265" s="5">
        <v>27</v>
      </c>
      <c r="J265" s="6">
        <f t="shared" si="18"/>
        <v>2236.6259999999997</v>
      </c>
      <c r="K265" s="7">
        <f t="shared" si="19"/>
        <v>2.462637919795263</v>
      </c>
    </row>
    <row r="266" spans="1:11" hidden="1" x14ac:dyDescent="0.3">
      <c r="A266" s="2">
        <f t="shared" si="16"/>
        <v>262</v>
      </c>
      <c r="B266" s="3">
        <v>46301</v>
      </c>
      <c r="C266" s="4" t="s">
        <v>43</v>
      </c>
      <c r="D266" s="9">
        <f>IF(C266="","",IFERROR(INDEX($E$5:$E$486,SUMPRODUCT(MAX(($C$5:$C$486=C266)*($A$5:$A$486&lt;A266)*$A$5:$A$486))),""))</f>
        <v>232188</v>
      </c>
      <c r="E266" s="4">
        <v>232472</v>
      </c>
      <c r="F266" s="2">
        <f t="shared" si="17"/>
        <v>284</v>
      </c>
      <c r="G266" s="4" t="str">
        <f>IF(C266="","",IFERROR(VLOOKUP(C266,Listas!$A$2:$C$39,3,FALSE()),"Asigna combustible en hoja Listas"))</f>
        <v>Diesel</v>
      </c>
      <c r="H266" s="4">
        <v>32.552</v>
      </c>
      <c r="I266" s="5">
        <v>27</v>
      </c>
      <c r="J266" s="6">
        <f t="shared" si="18"/>
        <v>878.904</v>
      </c>
      <c r="K266" s="7">
        <f t="shared" si="19"/>
        <v>8.7245023347259778</v>
      </c>
    </row>
    <row r="267" spans="1:11" hidden="1" x14ac:dyDescent="0.3">
      <c r="A267" s="2">
        <f t="shared" si="16"/>
        <v>263</v>
      </c>
      <c r="B267" s="3">
        <v>46301</v>
      </c>
      <c r="C267" s="4" t="s">
        <v>44</v>
      </c>
      <c r="D267" s="9">
        <f>IF(C267="","",IFERROR(INDEX($E$5:$E$486,SUMPRODUCT(MAX(($C$5:$C$486=C267)*($A$5:$A$486&lt;A267)*$A$5:$A$486))),""))</f>
        <v>279883</v>
      </c>
      <c r="E267" s="4">
        <v>280166</v>
      </c>
      <c r="F267" s="2">
        <f t="shared" si="17"/>
        <v>283</v>
      </c>
      <c r="G267" s="4" t="str">
        <f>IF(C267="","",IFERROR(VLOOKUP(C267,Listas!$A$2:$C$39,3,FALSE()),"Asigna combustible en hoja Listas"))</f>
        <v>Diesel</v>
      </c>
      <c r="H267" s="4">
        <v>38.000999999999998</v>
      </c>
      <c r="I267" s="5">
        <v>27</v>
      </c>
      <c r="J267" s="6">
        <f t="shared" si="18"/>
        <v>1026.027</v>
      </c>
      <c r="K267" s="7">
        <f t="shared" si="19"/>
        <v>7.4471724428304524</v>
      </c>
    </row>
    <row r="268" spans="1:11" hidden="1" x14ac:dyDescent="0.3">
      <c r="A268" s="2">
        <f t="shared" si="16"/>
        <v>264</v>
      </c>
      <c r="B268" s="3">
        <v>46301</v>
      </c>
      <c r="C268" s="4" t="s">
        <v>49</v>
      </c>
      <c r="D268" s="9">
        <f>IF(C268="","",IFERROR(INDEX($E$5:$E$486,SUMPRODUCT(MAX(($C$5:$C$486=C268)*($A$5:$A$486&lt;A268)*$A$5:$A$486))),""))</f>
        <v>306998</v>
      </c>
      <c r="E268" s="4">
        <v>307409</v>
      </c>
      <c r="F268" s="2">
        <f t="shared" si="17"/>
        <v>411</v>
      </c>
      <c r="G268" s="4" t="str">
        <f>IF(C268="","",IFERROR(VLOOKUP(C268,Listas!$A$2:$C$39,3,FALSE()),"Asigna combustible en hoja Listas"))</f>
        <v xml:space="preserve">Gasolina </v>
      </c>
      <c r="H268" s="4">
        <v>50.875</v>
      </c>
      <c r="I268" s="5">
        <v>23.98</v>
      </c>
      <c r="J268" s="6">
        <f t="shared" si="18"/>
        <v>1219.9825000000001</v>
      </c>
      <c r="K268" s="7">
        <f t="shared" si="19"/>
        <v>8.0786240786240793</v>
      </c>
    </row>
    <row r="269" spans="1:11" hidden="1" x14ac:dyDescent="0.3">
      <c r="A269" s="2">
        <f t="shared" si="16"/>
        <v>265</v>
      </c>
      <c r="B269" s="3">
        <v>46301</v>
      </c>
      <c r="C269" s="4" t="s">
        <v>53</v>
      </c>
      <c r="D269" s="9">
        <f>IF(C269="","",IFERROR(INDEX($E$5:$E$486,SUMPRODUCT(MAX(($C$5:$C$486=C269)*($A$5:$A$486&lt;A269)*$A$5:$A$486))),""))</f>
        <v>226224</v>
      </c>
      <c r="E269" s="4">
        <v>226440</v>
      </c>
      <c r="F269" s="2">
        <f t="shared" si="17"/>
        <v>216</v>
      </c>
      <c r="G269" s="4" t="str">
        <f>IF(C269="","",IFERROR(VLOOKUP(C269,Listas!$A$2:$C$39,3,FALSE()),"Asigna combustible en hoja Listas"))</f>
        <v xml:space="preserve">Gasolina </v>
      </c>
      <c r="H269" s="4">
        <v>33.597999999999999</v>
      </c>
      <c r="I269" s="5">
        <v>23.98</v>
      </c>
      <c r="J269" s="6">
        <f t="shared" si="18"/>
        <v>805.68003999999996</v>
      </c>
      <c r="K269" s="7">
        <f t="shared" si="19"/>
        <v>6.4289541044109768</v>
      </c>
    </row>
    <row r="270" spans="1:11" hidden="1" x14ac:dyDescent="0.3">
      <c r="A270" s="2">
        <f t="shared" si="16"/>
        <v>266</v>
      </c>
      <c r="B270" s="3">
        <v>46301</v>
      </c>
      <c r="C270" s="4" t="s">
        <v>54</v>
      </c>
      <c r="D270" s="9">
        <f>IF(C270="","",IFERROR(INDEX($E$5:$E$486,SUMPRODUCT(MAX(($C$5:$C$486=C270)*($A$5:$A$486&lt;A270)*$A$5:$A$486))),""))</f>
        <v>254313</v>
      </c>
      <c r="E270" s="4">
        <v>254645</v>
      </c>
      <c r="F270" s="2">
        <f t="shared" si="17"/>
        <v>332</v>
      </c>
      <c r="G270" s="4" t="str">
        <f>IF(C270="","",IFERROR(VLOOKUP(C270,Listas!$A$2:$C$39,3,FALSE()),"Asigna combustible en hoja Listas"))</f>
        <v xml:space="preserve">Gasolina </v>
      </c>
      <c r="H270" s="4">
        <v>40.591999999999999</v>
      </c>
      <c r="I270" s="5">
        <v>23.98</v>
      </c>
      <c r="J270" s="6">
        <f t="shared" si="18"/>
        <v>973.39616000000001</v>
      </c>
      <c r="K270" s="7">
        <f t="shared" si="19"/>
        <v>8.1789515175404031</v>
      </c>
    </row>
    <row r="271" spans="1:11" hidden="1" x14ac:dyDescent="0.3">
      <c r="A271" s="2">
        <f t="shared" si="16"/>
        <v>267</v>
      </c>
      <c r="B271" s="3">
        <v>46301</v>
      </c>
      <c r="C271" s="4" t="s">
        <v>55</v>
      </c>
      <c r="D271" s="9">
        <f>IF(C271="","",IFERROR(INDEX($E$5:$E$486,SUMPRODUCT(MAX(($C$5:$C$486=C271)*($A$5:$A$486&lt;A271)*$A$5:$A$486))),""))</f>
        <v>218786</v>
      </c>
      <c r="E271" s="4">
        <v>218948</v>
      </c>
      <c r="F271" s="2">
        <f t="shared" si="17"/>
        <v>162</v>
      </c>
      <c r="G271" s="4" t="str">
        <f>IF(C271="","",IFERROR(VLOOKUP(C271,Listas!$A$2:$C$39,3,FALSE()),"Asigna combustible en hoja Listas"))</f>
        <v xml:space="preserve">Gasolina </v>
      </c>
      <c r="H271" s="4">
        <v>28.277999999999999</v>
      </c>
      <c r="I271" s="5">
        <v>23.98</v>
      </c>
      <c r="J271" s="6">
        <f t="shared" si="18"/>
        <v>678.10644000000002</v>
      </c>
      <c r="K271" s="7">
        <f t="shared" si="19"/>
        <v>5.7288351368555066</v>
      </c>
    </row>
    <row r="272" spans="1:11" hidden="1" x14ac:dyDescent="0.3">
      <c r="A272" s="2">
        <f t="shared" si="16"/>
        <v>268</v>
      </c>
      <c r="B272" s="3">
        <v>46301</v>
      </c>
      <c r="C272" s="4" t="s">
        <v>56</v>
      </c>
      <c r="D272" s="9">
        <f>IF(C272="","",IFERROR(INDEX($E$5:$E$486,SUMPRODUCT(MAX(($C$5:$C$486=C272)*($A$5:$A$486&lt;A272)*$A$5:$A$486))),""))</f>
        <v>293434</v>
      </c>
      <c r="E272" s="4">
        <v>293713</v>
      </c>
      <c r="F272" s="2">
        <f t="shared" si="17"/>
        <v>279</v>
      </c>
      <c r="G272" s="4" t="str">
        <f>IF(C272="","",IFERROR(VLOOKUP(C272,Listas!$A$2:$C$39,3,FALSE()),"Asigna combustible en hoja Listas"))</f>
        <v xml:space="preserve">Gasolina </v>
      </c>
      <c r="H272" s="4">
        <v>41.523000000000003</v>
      </c>
      <c r="I272" s="5">
        <v>23.98</v>
      </c>
      <c r="J272" s="6">
        <f t="shared" si="18"/>
        <v>995.72154000000012</v>
      </c>
      <c r="K272" s="7">
        <f t="shared" si="19"/>
        <v>6.7191676901957944</v>
      </c>
    </row>
    <row r="273" spans="1:11" hidden="1" x14ac:dyDescent="0.3">
      <c r="A273" s="2">
        <f t="shared" si="16"/>
        <v>269</v>
      </c>
      <c r="B273" s="3">
        <v>46301</v>
      </c>
      <c r="C273" s="4" t="s">
        <v>58</v>
      </c>
      <c r="D273" s="9">
        <f>IF(C273="","",IFERROR(INDEX($E$5:$E$486,SUMPRODUCT(MAX(($C$5:$C$486=C273)*($A$5:$A$486&lt;A273)*$A$5:$A$486))),""))</f>
        <v>184124</v>
      </c>
      <c r="E273" s="4">
        <v>184326</v>
      </c>
      <c r="F273" s="2">
        <f t="shared" si="17"/>
        <v>202</v>
      </c>
      <c r="G273" s="4" t="str">
        <f>IF(C273="","",IFERROR(VLOOKUP(C273,Listas!$A$2:$C$39,3,FALSE()),"Asigna combustible en hoja Listas"))</f>
        <v xml:space="preserve">Gasolina </v>
      </c>
      <c r="H273" s="4">
        <v>29.161999999999999</v>
      </c>
      <c r="I273" s="5">
        <v>23.98</v>
      </c>
      <c r="J273" s="6">
        <f t="shared" si="18"/>
        <v>699.30475999999999</v>
      </c>
      <c r="K273" s="7">
        <f t="shared" si="19"/>
        <v>6.9268225773266581</v>
      </c>
    </row>
    <row r="274" spans="1:11" hidden="1" x14ac:dyDescent="0.3">
      <c r="A274" s="2">
        <f t="shared" si="16"/>
        <v>270</v>
      </c>
      <c r="B274" s="3">
        <v>46301</v>
      </c>
      <c r="C274" s="4" t="s">
        <v>61</v>
      </c>
      <c r="D274" s="9">
        <f>IF(C274="","",IFERROR(INDEX($E$5:$E$486,SUMPRODUCT(MAX(($C$5:$C$486=C274)*($A$5:$A$486&lt;A274)*$A$5:$A$486))),""))</f>
        <v>7278</v>
      </c>
      <c r="E274" s="4">
        <v>7637.4</v>
      </c>
      <c r="F274" s="2">
        <f t="shared" si="17"/>
        <v>359.39999999999964</v>
      </c>
      <c r="G274" s="4" t="str">
        <f>IF(C274="","",IFERROR(VLOOKUP(C274,Listas!$A$2:$C$39,3,FALSE()),"Asigna combustible en hoja Listas"))</f>
        <v>Diesel</v>
      </c>
      <c r="H274" s="4">
        <v>29.818999999999999</v>
      </c>
      <c r="I274" s="5">
        <v>27</v>
      </c>
      <c r="J274" s="6">
        <f t="shared" si="18"/>
        <v>805.11299999999994</v>
      </c>
      <c r="K274" s="7">
        <f t="shared" si="19"/>
        <v>12.052718065662821</v>
      </c>
    </row>
    <row r="275" spans="1:11" hidden="1" x14ac:dyDescent="0.3">
      <c r="A275" s="2">
        <f t="shared" si="16"/>
        <v>271</v>
      </c>
      <c r="B275" s="3">
        <v>46301</v>
      </c>
      <c r="C275" s="4" t="s">
        <v>64</v>
      </c>
      <c r="D275" s="9">
        <f>IF(C275="","",IFERROR(INDEX($E$5:$E$486,SUMPRODUCT(MAX(($C$5:$C$486=C275)*($A$5:$A$486&lt;A275)*$A$5:$A$486))),""))</f>
        <v>0</v>
      </c>
      <c r="E275" s="4"/>
      <c r="F275" s="2">
        <f t="shared" si="17"/>
        <v>0</v>
      </c>
      <c r="G275" s="4" t="str">
        <f>IF(C275="","",IFERROR(VLOOKUP(C275,Listas!$A$2:$C$39,3,FALSE()),"Asigna combustible en hoja Listas"))</f>
        <v>Gasolina</v>
      </c>
      <c r="H275" s="4">
        <v>10</v>
      </c>
      <c r="I275" s="5">
        <v>23.98</v>
      </c>
      <c r="J275" s="6">
        <f t="shared" si="18"/>
        <v>239.8</v>
      </c>
      <c r="K275" s="7">
        <f t="shared" si="19"/>
        <v>0</v>
      </c>
    </row>
    <row r="276" spans="1:11" hidden="1" x14ac:dyDescent="0.3">
      <c r="A276" s="2">
        <f t="shared" si="16"/>
        <v>272</v>
      </c>
      <c r="B276" s="3">
        <v>46301</v>
      </c>
      <c r="C276" s="4" t="s">
        <v>60</v>
      </c>
      <c r="D276" s="9">
        <f>IF(C276="","",IFERROR(INDEX($E$5:$E$486,SUMPRODUCT(MAX(($C$5:$C$486=C276)*($A$5:$A$486&lt;A276)*$A$5:$A$486))),""))</f>
        <v>6289.2</v>
      </c>
      <c r="E276" s="4">
        <v>6679.8</v>
      </c>
      <c r="F276" s="2">
        <f t="shared" si="17"/>
        <v>390.60000000000036</v>
      </c>
      <c r="G276" s="4" t="str">
        <f>IF(C276="","",IFERROR(VLOOKUP(C276,Listas!$A$2:$C$39,3,FALSE()),"Asigna combustible en hoja Listas"))</f>
        <v xml:space="preserve">Gasolina </v>
      </c>
      <c r="H276" s="4">
        <v>48.665999999999997</v>
      </c>
      <c r="I276" s="5">
        <v>23.98</v>
      </c>
      <c r="J276" s="6">
        <f t="shared" si="18"/>
        <v>1167.0106799999999</v>
      </c>
      <c r="K276" s="7">
        <f t="shared" si="19"/>
        <v>8.0261373443471911</v>
      </c>
    </row>
    <row r="277" spans="1:11" hidden="1" x14ac:dyDescent="0.3">
      <c r="A277" s="2">
        <f t="shared" si="16"/>
        <v>273</v>
      </c>
      <c r="B277" s="3">
        <v>46302</v>
      </c>
      <c r="C277" s="4" t="s">
        <v>39</v>
      </c>
      <c r="D277" s="9">
        <f>IF(C277="","",IFERROR(INDEX($E$5:$E$486,SUMPRODUCT(MAX(($C$5:$C$486=C277)*($A$5:$A$486&lt;A277)*$A$5:$A$486))),""))</f>
        <v>207746</v>
      </c>
      <c r="E277" s="4">
        <v>208068</v>
      </c>
      <c r="F277" s="2">
        <f t="shared" si="17"/>
        <v>322</v>
      </c>
      <c r="G277" s="4" t="str">
        <f>IF(C277="","",IFERROR(VLOOKUP(C277,Listas!$A$2:$C$39,3,FALSE()),"Asigna combustible en hoja Listas"))</f>
        <v>Diesel</v>
      </c>
      <c r="H277" s="4">
        <v>42.631999999999998</v>
      </c>
      <c r="I277" s="5">
        <v>27</v>
      </c>
      <c r="J277" s="6">
        <f t="shared" si="18"/>
        <v>1151.0639999999999</v>
      </c>
      <c r="K277" s="7">
        <f t="shared" si="19"/>
        <v>7.5530118221054607</v>
      </c>
    </row>
    <row r="278" spans="1:11" hidden="1" x14ac:dyDescent="0.3">
      <c r="A278" s="2">
        <f t="shared" si="16"/>
        <v>274</v>
      </c>
      <c r="B278" s="3">
        <v>46302</v>
      </c>
      <c r="C278" s="4" t="s">
        <v>40</v>
      </c>
      <c r="D278" s="9">
        <f>IF(C278="","",IFERROR(INDEX($E$5:$E$486,SUMPRODUCT(MAX(($C$5:$C$486=C278)*($A$5:$A$486&lt;A278)*$A$5:$A$486))),""))</f>
        <v>216126</v>
      </c>
      <c r="E278" s="4">
        <v>216569</v>
      </c>
      <c r="F278" s="2">
        <f t="shared" si="17"/>
        <v>443</v>
      </c>
      <c r="G278" s="4" t="str">
        <f>IF(C278="","",IFERROR(VLOOKUP(C278,Listas!$A$2:$C$39,3,FALSE()),"Asigna combustible en hoja Listas"))</f>
        <v>Diesel</v>
      </c>
      <c r="H278" s="4">
        <v>60.021999999999998</v>
      </c>
      <c r="I278" s="5">
        <v>27</v>
      </c>
      <c r="J278" s="6">
        <f t="shared" si="18"/>
        <v>1620.5940000000001</v>
      </c>
      <c r="K278" s="7">
        <f t="shared" si="19"/>
        <v>7.3806271033954216</v>
      </c>
    </row>
    <row r="279" spans="1:11" hidden="1" x14ac:dyDescent="0.3">
      <c r="A279" s="2">
        <f t="shared" si="16"/>
        <v>275</v>
      </c>
      <c r="B279" s="3">
        <v>46302</v>
      </c>
      <c r="C279" s="4" t="s">
        <v>58</v>
      </c>
      <c r="D279" s="9">
        <f>IF(C279="","",IFERROR(INDEX($E$5:$E$486,SUMPRODUCT(MAX(($C$5:$C$486=C279)*($A$5:$A$486&lt;A279)*$A$5:$A$486))),""))</f>
        <v>184326</v>
      </c>
      <c r="E279" s="4">
        <v>184524</v>
      </c>
      <c r="F279" s="2">
        <f t="shared" si="17"/>
        <v>198</v>
      </c>
      <c r="G279" s="4" t="str">
        <f>IF(C279="","",IFERROR(VLOOKUP(C279,Listas!$A$2:$C$39,3,FALSE()),"Asigna combustible en hoja Listas"))</f>
        <v xml:space="preserve">Gasolina </v>
      </c>
      <c r="H279" s="4">
        <v>30.015000000000001</v>
      </c>
      <c r="I279" s="5">
        <v>23.98</v>
      </c>
      <c r="J279" s="6">
        <f t="shared" si="18"/>
        <v>719.75970000000007</v>
      </c>
      <c r="K279" s="7">
        <f t="shared" si="19"/>
        <v>6.5967016491754125</v>
      </c>
    </row>
    <row r="280" spans="1:11" hidden="1" x14ac:dyDescent="0.3">
      <c r="A280" s="2">
        <f t="shared" si="16"/>
        <v>276</v>
      </c>
      <c r="B280" s="3">
        <v>46303</v>
      </c>
      <c r="C280" s="4" t="s">
        <v>41</v>
      </c>
      <c r="D280" s="9">
        <f>IF(C280="","",IFERROR(INDEX($E$5:$E$486,SUMPRODUCT(MAX(($C$5:$C$486=C280)*($A$5:$A$486&lt;A280)*$A$5:$A$486))),""))</f>
        <v>185195</v>
      </c>
      <c r="E280" s="4">
        <v>185527</v>
      </c>
      <c r="F280" s="2">
        <f t="shared" si="17"/>
        <v>332</v>
      </c>
      <c r="G280" s="4" t="str">
        <f>IF(C280="","",IFERROR(VLOOKUP(C280,Listas!$A$2:$C$39,3,FALSE()),"Asigna combustible en hoja Listas"))</f>
        <v>Diesel</v>
      </c>
      <c r="H280" s="4">
        <v>44.134999999999998</v>
      </c>
      <c r="I280" s="5">
        <v>27</v>
      </c>
      <c r="J280" s="6">
        <f t="shared" si="18"/>
        <v>1191.645</v>
      </c>
      <c r="K280" s="7">
        <f t="shared" si="19"/>
        <v>7.522374532683811</v>
      </c>
    </row>
    <row r="281" spans="1:11" hidden="1" x14ac:dyDescent="0.3">
      <c r="A281" s="2">
        <f t="shared" si="16"/>
        <v>277</v>
      </c>
      <c r="B281" s="3">
        <v>46303</v>
      </c>
      <c r="C281" s="4" t="s">
        <v>42</v>
      </c>
      <c r="D281" s="9">
        <f>IF(C281="","",IFERROR(INDEX($E$5:$E$486,SUMPRODUCT(MAX(($C$5:$C$486=C281)*($A$5:$A$486&lt;A281)*$A$5:$A$486))),""))</f>
        <v>209014</v>
      </c>
      <c r="E281" s="4">
        <v>209216</v>
      </c>
      <c r="F281" s="2">
        <f t="shared" si="17"/>
        <v>202</v>
      </c>
      <c r="G281" s="4" t="str">
        <f>IF(C281="","",IFERROR(VLOOKUP(C281,Listas!$A$2:$C$39,3,FALSE()),"Asigna combustible en hoja Listas"))</f>
        <v>Diesel</v>
      </c>
      <c r="H281" s="4">
        <v>33.985999999999997</v>
      </c>
      <c r="I281" s="5">
        <v>27</v>
      </c>
      <c r="J281" s="6">
        <f t="shared" si="18"/>
        <v>917.62199999999996</v>
      </c>
      <c r="K281" s="7">
        <f t="shared" si="19"/>
        <v>5.9436238451126941</v>
      </c>
    </row>
    <row r="282" spans="1:11" hidden="1" x14ac:dyDescent="0.3">
      <c r="A282" s="2">
        <f t="shared" si="16"/>
        <v>278</v>
      </c>
      <c r="B282" s="3">
        <v>46303</v>
      </c>
      <c r="C282" s="4" t="s">
        <v>45</v>
      </c>
      <c r="D282" s="9">
        <f>IF(C282="","",IFERROR(INDEX($E$5:$E$486,SUMPRODUCT(MAX(($C$5:$C$486=C282)*($A$5:$A$486&lt;A282)*$A$5:$A$486))),""))</f>
        <v>208016</v>
      </c>
      <c r="E282" s="4">
        <v>208426</v>
      </c>
      <c r="F282" s="2">
        <f t="shared" si="17"/>
        <v>410</v>
      </c>
      <c r="G282" s="4" t="str">
        <f>IF(C282="","",IFERROR(VLOOKUP(C282,Listas!$A$2:$C$39,3,FALSE()),"Asigna combustible en hoja Listas"))</f>
        <v>Diesel</v>
      </c>
      <c r="H282" s="4">
        <v>46.226999999999997</v>
      </c>
      <c r="I282" s="5">
        <v>27</v>
      </c>
      <c r="J282" s="6">
        <f t="shared" si="18"/>
        <v>1248.1289999999999</v>
      </c>
      <c r="K282" s="7">
        <f t="shared" si="19"/>
        <v>8.8692755316157239</v>
      </c>
    </row>
    <row r="283" spans="1:11" hidden="1" x14ac:dyDescent="0.3">
      <c r="A283" s="2">
        <f t="shared" si="16"/>
        <v>279</v>
      </c>
      <c r="B283" s="3">
        <v>46303</v>
      </c>
      <c r="C283" s="4" t="s">
        <v>55</v>
      </c>
      <c r="D283" s="9">
        <f>IF(C283="","",IFERROR(INDEX($E$5:$E$486,SUMPRODUCT(MAX(($C$5:$C$486=C283)*($A$5:$A$486&lt;A283)*$A$5:$A$486))),""))</f>
        <v>218948</v>
      </c>
      <c r="E283" s="4">
        <v>219146</v>
      </c>
      <c r="F283" s="2">
        <f t="shared" si="17"/>
        <v>198</v>
      </c>
      <c r="G283" s="4" t="str">
        <f>IF(C283="","",IFERROR(VLOOKUP(C283,Listas!$A$2:$C$39,3,FALSE()),"Asigna combustible en hoja Listas"))</f>
        <v xml:space="preserve">Gasolina </v>
      </c>
      <c r="H283" s="4">
        <v>35.481999999999999</v>
      </c>
      <c r="I283" s="5">
        <v>23.98</v>
      </c>
      <c r="J283" s="6">
        <f t="shared" si="18"/>
        <v>850.85835999999995</v>
      </c>
      <c r="K283" s="7">
        <f t="shared" si="19"/>
        <v>5.5802942336959589</v>
      </c>
    </row>
    <row r="284" spans="1:11" hidden="1" x14ac:dyDescent="0.3">
      <c r="A284" s="2">
        <f t="shared" si="16"/>
        <v>280</v>
      </c>
      <c r="B284" s="3">
        <v>46303</v>
      </c>
      <c r="C284" s="4" t="s">
        <v>57</v>
      </c>
      <c r="D284" s="9">
        <f>IF(C284="","",IFERROR(INDEX($E$5:$E$486,SUMPRODUCT(MAX(($C$5:$C$486=C284)*($A$5:$A$486&lt;A284)*$A$5:$A$486))),""))</f>
        <v>273133</v>
      </c>
      <c r="E284" s="4">
        <v>273552</v>
      </c>
      <c r="F284" s="2">
        <f t="shared" si="17"/>
        <v>419</v>
      </c>
      <c r="G284" s="4" t="str">
        <f>IF(C284="","",IFERROR(VLOOKUP(C284,Listas!$A$2:$C$39,3,FALSE()),"Asigna combustible en hoja Listas"))</f>
        <v xml:space="preserve">Gasolina </v>
      </c>
      <c r="H284" s="4">
        <v>51.457000000000001</v>
      </c>
      <c r="I284" s="5">
        <v>23.98</v>
      </c>
      <c r="J284" s="6">
        <f t="shared" si="18"/>
        <v>1233.93886</v>
      </c>
      <c r="K284" s="7">
        <f t="shared" si="19"/>
        <v>8.1427211069436609</v>
      </c>
    </row>
    <row r="285" spans="1:11" hidden="1" x14ac:dyDescent="0.3">
      <c r="A285" s="2">
        <f t="shared" si="16"/>
        <v>281</v>
      </c>
      <c r="B285" s="3">
        <v>46303</v>
      </c>
      <c r="C285" s="4" t="s">
        <v>58</v>
      </c>
      <c r="D285" s="9">
        <f>IF(C285="","",IFERROR(INDEX($E$5:$E$486,SUMPRODUCT(MAX(($C$5:$C$486=C285)*($A$5:$A$486&lt;A285)*$A$5:$A$486))),""))</f>
        <v>184524</v>
      </c>
      <c r="E285" s="4">
        <v>184724</v>
      </c>
      <c r="F285" s="2">
        <f t="shared" si="17"/>
        <v>200</v>
      </c>
      <c r="G285" s="4" t="str">
        <f>IF(C285="","",IFERROR(VLOOKUP(C285,Listas!$A$2:$C$39,3,FALSE()),"Asigna combustible en hoja Listas"))</f>
        <v xml:space="preserve">Gasolina </v>
      </c>
      <c r="H285" s="4">
        <v>29.745000000000001</v>
      </c>
      <c r="I285" s="5">
        <v>23.98</v>
      </c>
      <c r="J285" s="6">
        <f t="shared" si="18"/>
        <v>713.28510000000006</v>
      </c>
      <c r="K285" s="7">
        <f t="shared" si="19"/>
        <v>6.7238191292654221</v>
      </c>
    </row>
    <row r="286" spans="1:11" hidden="1" x14ac:dyDescent="0.3">
      <c r="A286" s="2">
        <f t="shared" si="16"/>
        <v>282</v>
      </c>
      <c r="B286" s="3">
        <v>46304</v>
      </c>
      <c r="C286" s="4" t="s">
        <v>40</v>
      </c>
      <c r="D286" s="9">
        <f>IF(C286="","",IFERROR(INDEX($E$5:$E$486,SUMPRODUCT(MAX(($C$5:$C$486=C286)*($A$5:$A$486&lt;A286)*$A$5:$A$486))),""))</f>
        <v>216569</v>
      </c>
      <c r="E286" s="4">
        <v>216790</v>
      </c>
      <c r="F286" s="2">
        <f t="shared" si="17"/>
        <v>221</v>
      </c>
      <c r="G286" s="4" t="str">
        <f>IF(C286="","",IFERROR(VLOOKUP(C286,Listas!$A$2:$C$39,3,FALSE()),"Asigna combustible en hoja Listas"))</f>
        <v>Diesel</v>
      </c>
      <c r="H286" s="4">
        <v>31.832000000000001</v>
      </c>
      <c r="I286" s="5">
        <v>27</v>
      </c>
      <c r="J286" s="6">
        <f t="shared" si="18"/>
        <v>859.46400000000006</v>
      </c>
      <c r="K286" s="7">
        <f t="shared" si="19"/>
        <v>6.9426991706458905</v>
      </c>
    </row>
    <row r="287" spans="1:11" hidden="1" x14ac:dyDescent="0.3">
      <c r="A287" s="2">
        <f t="shared" si="16"/>
        <v>283</v>
      </c>
      <c r="B287" s="3">
        <v>46304</v>
      </c>
      <c r="C287" s="4" t="s">
        <v>47</v>
      </c>
      <c r="D287" s="9">
        <f>IF(C287="","",IFERROR(INDEX($E$5:$E$486,SUMPRODUCT(MAX(($C$5:$C$486=C287)*($A$5:$A$486&lt;A287)*$A$5:$A$486))),""))</f>
        <v>112556</v>
      </c>
      <c r="E287" s="4">
        <v>112845</v>
      </c>
      <c r="F287" s="2">
        <f t="shared" si="17"/>
        <v>289</v>
      </c>
      <c r="G287" s="4" t="str">
        <f>IF(C287="","",IFERROR(VLOOKUP(C287,Listas!$A$2:$C$39,3,FALSE()),"Asigna combustible en hoja Listas"))</f>
        <v>Gasolina</v>
      </c>
      <c r="H287" s="4">
        <v>111.556</v>
      </c>
      <c r="I287" s="5">
        <v>23.98</v>
      </c>
      <c r="J287" s="6">
        <f t="shared" si="18"/>
        <v>2675.1128800000001</v>
      </c>
      <c r="K287" s="7">
        <f t="shared" si="19"/>
        <v>2.5906271289755818</v>
      </c>
    </row>
    <row r="288" spans="1:11" hidden="1" x14ac:dyDescent="0.3">
      <c r="A288" s="2">
        <f t="shared" si="16"/>
        <v>284</v>
      </c>
      <c r="B288" s="3">
        <v>46304</v>
      </c>
      <c r="C288" s="4" t="s">
        <v>53</v>
      </c>
      <c r="D288" s="9">
        <f>IF(C288="","",IFERROR(INDEX($E$5:$E$486,SUMPRODUCT(MAX(($C$5:$C$486=C288)*($A$5:$A$486&lt;A288)*$A$5:$A$486))),""))</f>
        <v>226440</v>
      </c>
      <c r="E288" s="4">
        <v>226638</v>
      </c>
      <c r="F288" s="2">
        <f t="shared" si="17"/>
        <v>198</v>
      </c>
      <c r="G288" s="4" t="str">
        <f>IF(C288="","",IFERROR(VLOOKUP(C288,Listas!$A$2:$C$39,3,FALSE()),"Asigna combustible en hoja Listas"))</f>
        <v xml:space="preserve">Gasolina </v>
      </c>
      <c r="H288" s="4">
        <v>39.795999999999999</v>
      </c>
      <c r="I288" s="5">
        <v>23.98</v>
      </c>
      <c r="J288" s="6">
        <f t="shared" si="18"/>
        <v>954.30808000000002</v>
      </c>
      <c r="K288" s="7">
        <f t="shared" si="19"/>
        <v>4.9753744094883912</v>
      </c>
    </row>
    <row r="289" spans="1:11" hidden="1" x14ac:dyDescent="0.3">
      <c r="A289" s="2">
        <f t="shared" si="16"/>
        <v>285</v>
      </c>
      <c r="B289" s="3">
        <v>46304</v>
      </c>
      <c r="C289" s="4" t="s">
        <v>54</v>
      </c>
      <c r="D289" s="9">
        <f>IF(C289="","",IFERROR(INDEX($E$5:$E$486,SUMPRODUCT(MAX(($C$5:$C$486=C289)*($A$5:$A$486&lt;A289)*$A$5:$A$486))),""))</f>
        <v>254645</v>
      </c>
      <c r="E289" s="4">
        <v>255040</v>
      </c>
      <c r="F289" s="2">
        <f t="shared" si="17"/>
        <v>395</v>
      </c>
      <c r="G289" s="4" t="str">
        <f>IF(C289="","",IFERROR(VLOOKUP(C289,Listas!$A$2:$C$39,3,FALSE()),"Asigna combustible en hoja Listas"))</f>
        <v xml:space="preserve">Gasolina </v>
      </c>
      <c r="H289" s="4">
        <v>55.201999999999998</v>
      </c>
      <c r="I289" s="5">
        <v>23.98</v>
      </c>
      <c r="J289" s="6">
        <f t="shared" si="18"/>
        <v>1323.74396</v>
      </c>
      <c r="K289" s="7">
        <f t="shared" si="19"/>
        <v>7.155537842831782</v>
      </c>
    </row>
    <row r="290" spans="1:11" hidden="1" x14ac:dyDescent="0.3">
      <c r="A290" s="2">
        <f t="shared" si="16"/>
        <v>286</v>
      </c>
      <c r="B290" s="3">
        <v>46304</v>
      </c>
      <c r="C290" s="4" t="s">
        <v>58</v>
      </c>
      <c r="D290" s="9">
        <f>IF(C290="","",IFERROR(INDEX($E$5:$E$486,SUMPRODUCT(MAX(($C$5:$C$486=C290)*($A$5:$A$486&lt;A290)*$A$5:$A$486))),""))</f>
        <v>184724</v>
      </c>
      <c r="E290" s="4">
        <v>184921</v>
      </c>
      <c r="F290" s="2">
        <f t="shared" si="17"/>
        <v>197</v>
      </c>
      <c r="G290" s="4" t="str">
        <f>IF(C290="","",IFERROR(VLOOKUP(C290,Listas!$A$2:$C$39,3,FALSE()),"Asigna combustible en hoja Listas"))</f>
        <v xml:space="preserve">Gasolina </v>
      </c>
      <c r="H290" s="4">
        <v>28.742999999999999</v>
      </c>
      <c r="I290" s="5">
        <v>23.98</v>
      </c>
      <c r="J290" s="6">
        <f t="shared" si="18"/>
        <v>689.25713999999994</v>
      </c>
      <c r="K290" s="7">
        <f t="shared" si="19"/>
        <v>6.8538426747381971</v>
      </c>
    </row>
    <row r="291" spans="1:11" hidden="1" x14ac:dyDescent="0.3">
      <c r="A291" s="2">
        <f t="shared" si="16"/>
        <v>287</v>
      </c>
      <c r="B291" s="3">
        <v>46304</v>
      </c>
      <c r="C291" s="4" t="s">
        <v>59</v>
      </c>
      <c r="D291" s="9">
        <f>IF(C291="","",IFERROR(INDEX($E$5:$E$486,SUMPRODUCT(MAX(($C$5:$C$486=C291)*($A$5:$A$486&lt;A291)*$A$5:$A$486))),""))</f>
        <v>0</v>
      </c>
      <c r="E291" s="4"/>
      <c r="F291" s="2">
        <f t="shared" si="17"/>
        <v>0</v>
      </c>
      <c r="G291" s="4" t="str">
        <f>IF(C291="","",IFERROR(VLOOKUP(C291,Listas!$A$2:$C$39,3,FALSE()),"Asigna combustible en hoja Listas"))</f>
        <v xml:space="preserve">Gasolina </v>
      </c>
      <c r="H291" s="4">
        <v>40.003999999999998</v>
      </c>
      <c r="I291" s="5">
        <v>23.98</v>
      </c>
      <c r="J291" s="6">
        <f t="shared" si="18"/>
        <v>959.29591999999991</v>
      </c>
      <c r="K291" s="7">
        <f t="shared" si="19"/>
        <v>0</v>
      </c>
    </row>
    <row r="292" spans="1:11" hidden="1" x14ac:dyDescent="0.3">
      <c r="A292" s="2">
        <f t="shared" si="16"/>
        <v>288</v>
      </c>
      <c r="B292" s="3">
        <v>46304</v>
      </c>
      <c r="C292" s="4" t="s">
        <v>61</v>
      </c>
      <c r="D292" s="9">
        <f>IF(C292="","",IFERROR(INDEX($E$5:$E$486,SUMPRODUCT(MAX(($C$5:$C$486=C292)*($A$5:$A$486&lt;A292)*$A$5:$A$486))),""))</f>
        <v>7637.4</v>
      </c>
      <c r="E292" s="4">
        <v>8117.1</v>
      </c>
      <c r="F292" s="2">
        <f t="shared" si="17"/>
        <v>479.70000000000073</v>
      </c>
      <c r="G292" s="4" t="str">
        <f>IF(C292="","",IFERROR(VLOOKUP(C292,Listas!$A$2:$C$39,3,FALSE()),"Asigna combustible en hoja Listas"))</f>
        <v>Diesel</v>
      </c>
      <c r="H292" s="4">
        <v>37.045999999999999</v>
      </c>
      <c r="I292" s="5">
        <v>27</v>
      </c>
      <c r="J292" s="6">
        <f t="shared" si="18"/>
        <v>1000.242</v>
      </c>
      <c r="K292" s="7">
        <f t="shared" si="19"/>
        <v>12.948766398531575</v>
      </c>
    </row>
    <row r="293" spans="1:11" ht="27.6" hidden="1" x14ac:dyDescent="0.3">
      <c r="A293" s="2">
        <f t="shared" si="16"/>
        <v>289</v>
      </c>
      <c r="B293" s="3">
        <v>46304</v>
      </c>
      <c r="C293" s="4" t="s">
        <v>71</v>
      </c>
      <c r="D293" s="9">
        <v>0</v>
      </c>
      <c r="F293" s="2"/>
      <c r="G293" s="4" t="str">
        <f>IF(C293="","",IFERROR(VLOOKUP(C293,Listas!$A$2:$C$39,3,FALSE()),"Asigna combustible en hoja Listas"))</f>
        <v xml:space="preserve">Gasolina </v>
      </c>
      <c r="H293" s="4">
        <v>50</v>
      </c>
      <c r="I293" s="5">
        <v>100</v>
      </c>
      <c r="J293" s="6">
        <f t="shared" si="18"/>
        <v>5000</v>
      </c>
      <c r="K293" s="7">
        <f t="shared" si="19"/>
        <v>0</v>
      </c>
    </row>
    <row r="294" spans="1:11" ht="27.6" hidden="1" x14ac:dyDescent="0.3">
      <c r="A294" s="2">
        <f t="shared" si="16"/>
        <v>290</v>
      </c>
      <c r="B294" s="3">
        <v>46304</v>
      </c>
      <c r="C294" s="4" t="s">
        <v>72</v>
      </c>
      <c r="D294" s="9">
        <f>IF(C294="","",IFERROR(INDEX($E$5:$E$486,SUMPRODUCT(MAX(($C$5:$C$486=C294)*($A$5:$A$486&lt;A294)*$A$5:$A$486))),""))</f>
        <v>0</v>
      </c>
      <c r="E294" s="4"/>
      <c r="F294" s="2">
        <f t="shared" si="17"/>
        <v>0</v>
      </c>
      <c r="G294" s="4" t="str">
        <f>IF(C294="","",IFERROR(VLOOKUP(C294,Listas!$A$2:$C$39,3,FALSE()),"Asigna combustible en hoja Listas"))</f>
        <v xml:space="preserve">Gasolina </v>
      </c>
      <c r="H294" s="4">
        <v>50</v>
      </c>
      <c r="I294" s="5">
        <v>100</v>
      </c>
      <c r="J294" s="6">
        <f t="shared" si="18"/>
        <v>5000</v>
      </c>
      <c r="K294" s="7">
        <f t="shared" si="19"/>
        <v>0</v>
      </c>
    </row>
    <row r="295" spans="1:11" x14ac:dyDescent="0.3">
      <c r="A295" s="2">
        <f t="shared" si="16"/>
        <v>291</v>
      </c>
      <c r="B295" s="3">
        <v>46307</v>
      </c>
      <c r="C295" s="4" t="s">
        <v>31</v>
      </c>
      <c r="D295" s="9">
        <f>IF(C295="","",IFERROR(INDEX($E$5:$E$486,SUMPRODUCT(MAX(($C$5:$C$486=C295)*($A$5:$A$486&lt;A295)*$A$5:$A$486))),""))</f>
        <v>122707</v>
      </c>
      <c r="E295" s="4">
        <v>122995</v>
      </c>
      <c r="F295" s="2">
        <f t="shared" si="17"/>
        <v>288</v>
      </c>
      <c r="G295" s="4" t="str">
        <f>IF(C295="","",IFERROR(VLOOKUP(C295,Listas!$A$2:$C$39,3,FALSE()),"Asigna combustible en hoja Listas"))</f>
        <v>Diesel</v>
      </c>
      <c r="H295" s="4">
        <v>110.30200000000001</v>
      </c>
      <c r="I295" s="5">
        <v>27</v>
      </c>
      <c r="J295" s="6">
        <f t="shared" si="18"/>
        <v>2978.154</v>
      </c>
      <c r="K295" s="7">
        <f t="shared" si="19"/>
        <v>2.6110133995757101</v>
      </c>
    </row>
    <row r="296" spans="1:11" x14ac:dyDescent="0.3">
      <c r="A296" s="2">
        <f t="shared" si="16"/>
        <v>292</v>
      </c>
      <c r="B296" s="3">
        <v>46307</v>
      </c>
      <c r="C296" s="4" t="s">
        <v>36</v>
      </c>
      <c r="D296" s="9">
        <f>IF(C296="","",IFERROR(INDEX($E$5:$E$486,SUMPRODUCT(MAX(($C$5:$C$486=C296)*($A$5:$A$486&lt;A296)*$A$5:$A$486))),""))</f>
        <v>194780</v>
      </c>
      <c r="E296" s="4">
        <v>194780</v>
      </c>
      <c r="F296" s="2">
        <f t="shared" si="17"/>
        <v>0</v>
      </c>
      <c r="G296" s="4" t="str">
        <f>IF(C296="","",IFERROR(VLOOKUP(C296,Listas!$A$2:$C$39,3,FALSE()),"Asigna combustible en hoja Listas"))</f>
        <v xml:space="preserve">Gasolina </v>
      </c>
      <c r="H296" s="4">
        <v>20</v>
      </c>
      <c r="I296" s="5">
        <v>28.98</v>
      </c>
      <c r="J296" s="6">
        <f t="shared" si="18"/>
        <v>579.6</v>
      </c>
      <c r="K296" s="7">
        <f t="shared" si="19"/>
        <v>0</v>
      </c>
    </row>
    <row r="297" spans="1:11" x14ac:dyDescent="0.3">
      <c r="A297" s="2">
        <f t="shared" si="16"/>
        <v>293</v>
      </c>
      <c r="B297" s="3">
        <v>46307</v>
      </c>
      <c r="C297" s="4" t="s">
        <v>43</v>
      </c>
      <c r="D297" s="9">
        <f>IF(C297="","",IFERROR(INDEX($E$5:$E$486,SUMPRODUCT(MAX(($C$5:$C$486=C297)*($A$5:$A$486&lt;A297)*$A$5:$A$486))),""))</f>
        <v>232472</v>
      </c>
      <c r="E297" s="4">
        <v>232837</v>
      </c>
      <c r="F297" s="2">
        <f t="shared" si="17"/>
        <v>365</v>
      </c>
      <c r="G297" s="4" t="str">
        <f>IF(C297="","",IFERROR(VLOOKUP(C297,Listas!$A$2:$C$39,3,FALSE()),"Asigna combustible en hoja Listas"))</f>
        <v>Diesel</v>
      </c>
      <c r="H297" s="4">
        <v>37.712000000000003</v>
      </c>
      <c r="I297" s="5">
        <v>27</v>
      </c>
      <c r="J297" s="6">
        <f t="shared" si="18"/>
        <v>1018.224</v>
      </c>
      <c r="K297" s="7">
        <f t="shared" si="19"/>
        <v>9.67861688587187</v>
      </c>
    </row>
    <row r="298" spans="1:11" x14ac:dyDescent="0.3">
      <c r="A298" s="2">
        <f t="shared" si="16"/>
        <v>294</v>
      </c>
      <c r="B298" s="3">
        <v>46307</v>
      </c>
      <c r="C298" s="4" t="s">
        <v>44</v>
      </c>
      <c r="D298" s="9">
        <f>IF(C298="","",IFERROR(INDEX($E$5:$E$486,SUMPRODUCT(MAX(($C$5:$C$486=C298)*($A$5:$A$486&lt;A298)*$A$5:$A$486))),""))</f>
        <v>280166</v>
      </c>
      <c r="E298" s="4">
        <v>280499</v>
      </c>
      <c r="F298" s="2">
        <f t="shared" si="17"/>
        <v>333</v>
      </c>
      <c r="G298" s="4" t="str">
        <f>IF(C298="","",IFERROR(VLOOKUP(C298,Listas!$A$2:$C$39,3,FALSE()),"Asigna combustible en hoja Listas"))</f>
        <v>Diesel</v>
      </c>
      <c r="H298" s="4">
        <v>43.790999999999997</v>
      </c>
      <c r="I298" s="5">
        <v>27</v>
      </c>
      <c r="J298" s="6">
        <f t="shared" si="18"/>
        <v>1182.357</v>
      </c>
      <c r="K298" s="7">
        <f t="shared" si="19"/>
        <v>7.604302253887786</v>
      </c>
    </row>
    <row r="299" spans="1:11" x14ac:dyDescent="0.3">
      <c r="A299" s="2">
        <f t="shared" si="16"/>
        <v>295</v>
      </c>
      <c r="B299" s="3">
        <v>46307</v>
      </c>
      <c r="C299" s="4" t="s">
        <v>58</v>
      </c>
      <c r="D299" s="9">
        <f>IF(C299="","",IFERROR(INDEX($E$5:$E$486,SUMPRODUCT(MAX(($C$5:$C$486=C299)*($A$5:$A$486&lt;A299)*$A$5:$A$486))),""))</f>
        <v>184921</v>
      </c>
      <c r="E299" s="4">
        <v>185126</v>
      </c>
      <c r="F299" s="2">
        <f t="shared" si="17"/>
        <v>205</v>
      </c>
      <c r="G299" s="4" t="str">
        <f>IF(C299="","",IFERROR(VLOOKUP(C299,Listas!$A$2:$C$39,3,FALSE()),"Asigna combustible en hoja Listas"))</f>
        <v xml:space="preserve">Gasolina </v>
      </c>
      <c r="H299" s="4">
        <v>32.121000000000002</v>
      </c>
      <c r="I299" s="5">
        <v>23.98</v>
      </c>
      <c r="J299" s="6">
        <f t="shared" si="18"/>
        <v>770.26158000000009</v>
      </c>
      <c r="K299" s="7">
        <f t="shared" si="19"/>
        <v>6.3821176177578529</v>
      </c>
    </row>
    <row r="300" spans="1:11" x14ac:dyDescent="0.3">
      <c r="A300" s="2">
        <f t="shared" si="16"/>
        <v>296</v>
      </c>
      <c r="B300" s="3">
        <v>46307</v>
      </c>
      <c r="C300" s="4" t="s">
        <v>46</v>
      </c>
      <c r="D300" s="9">
        <f>IF(C300="","",IFERROR(INDEX($E$5:$E$486,SUMPRODUCT(MAX(($C$5:$C$486=C300)*($A$5:$A$486&lt;A300)*$A$5:$A$486))),""))</f>
        <v>201252</v>
      </c>
      <c r="E300" s="4">
        <v>201434</v>
      </c>
      <c r="F300" s="2">
        <f t="shared" si="17"/>
        <v>182</v>
      </c>
      <c r="G300" s="4" t="str">
        <f>IF(C300="","",IFERROR(VLOOKUP(C300,Listas!$A$2:$C$39,3,FALSE()),"Asigna combustible en hoja Listas"))</f>
        <v>Diesel</v>
      </c>
      <c r="H300" s="4">
        <v>44.981999999999999</v>
      </c>
      <c r="I300" s="5">
        <v>27</v>
      </c>
      <c r="J300" s="6">
        <f t="shared" si="18"/>
        <v>1214.5139999999999</v>
      </c>
      <c r="K300" s="7">
        <f t="shared" si="19"/>
        <v>4.0460628695922818</v>
      </c>
    </row>
    <row r="301" spans="1:11" x14ac:dyDescent="0.3">
      <c r="A301" s="2">
        <f t="shared" si="16"/>
        <v>297</v>
      </c>
      <c r="B301" s="3">
        <v>46307</v>
      </c>
      <c r="C301" s="4" t="s">
        <v>30</v>
      </c>
      <c r="D301" s="9">
        <f>IF(C301="","",IFERROR(INDEX($E$5:$E$486,SUMPRODUCT(MAX(($C$5:$C$486=C301)*($A$5:$A$486&lt;A301)*$A$5:$A$486))),""))</f>
        <v>8483.2999999999993</v>
      </c>
      <c r="E301" s="4">
        <v>8483.2999999999993</v>
      </c>
      <c r="F301" s="2">
        <f t="shared" si="17"/>
        <v>0</v>
      </c>
      <c r="G301" s="4" t="str">
        <f>IF(C301="","",IFERROR(VLOOKUP(C301,Listas!$A$2:$C$39,3,FALSE()),"Asigna combustible en hoja Listas"))</f>
        <v>Diesel</v>
      </c>
      <c r="H301" s="4">
        <v>50</v>
      </c>
      <c r="I301" s="5">
        <v>27</v>
      </c>
      <c r="J301" s="6">
        <f t="shared" si="18"/>
        <v>1350</v>
      </c>
      <c r="K301" s="7">
        <f t="shared" si="19"/>
        <v>0</v>
      </c>
    </row>
    <row r="302" spans="1:11" hidden="1" x14ac:dyDescent="0.3">
      <c r="A302" s="2">
        <f t="shared" si="16"/>
        <v>298</v>
      </c>
      <c r="B302" s="3"/>
      <c r="C302" s="4"/>
      <c r="D302" s="9" t="str">
        <f>IF(C302="","",IFERROR(INDEX($E$5:$E$486,SUMPRODUCT(MAX(($C$5:$C$486=C302)*($A$5:$A$486&lt;A302)*$A$5:$A$486))),""))</f>
        <v/>
      </c>
      <c r="E302" s="4"/>
      <c r="F302" s="2">
        <f t="shared" si="17"/>
        <v>0</v>
      </c>
      <c r="G302" s="4" t="str">
        <f>IF(C302="","",IFERROR(VLOOKUP(C302,Listas!$A$2:$C$39,3,FALSE()),"Asigna combustible en hoja Listas"))</f>
        <v/>
      </c>
      <c r="H302" s="4"/>
      <c r="I302" s="5"/>
      <c r="J302" s="6">
        <f t="shared" si="18"/>
        <v>0</v>
      </c>
      <c r="K302" s="7">
        <f t="shared" si="19"/>
        <v>0</v>
      </c>
    </row>
    <row r="303" spans="1:11" hidden="1" x14ac:dyDescent="0.3">
      <c r="A303" s="2">
        <f t="shared" si="16"/>
        <v>299</v>
      </c>
      <c r="B303" s="3"/>
      <c r="C303" s="4"/>
      <c r="D303" s="9" t="str">
        <f>IF(C303="","",IFERROR(INDEX($E$5:$E$486,SUMPRODUCT(MAX(($C$5:$C$486=C303)*($A$5:$A$486&lt;A303)*$A$5:$A$486))),""))</f>
        <v/>
      </c>
      <c r="E303" s="4"/>
      <c r="F303" s="2">
        <f t="shared" si="17"/>
        <v>0</v>
      </c>
      <c r="G303" s="4" t="str">
        <f>IF(C303="","",IFERROR(VLOOKUP(C303,Listas!$A$2:$C$39,3,FALSE()),"Asigna combustible en hoja Listas"))</f>
        <v/>
      </c>
      <c r="H303" s="4"/>
      <c r="I303" s="5"/>
      <c r="J303" s="6">
        <f t="shared" si="18"/>
        <v>0</v>
      </c>
      <c r="K303" s="7">
        <f t="shared" si="19"/>
        <v>0</v>
      </c>
    </row>
    <row r="304" spans="1:11" hidden="1" x14ac:dyDescent="0.3">
      <c r="A304" s="2">
        <f t="shared" si="16"/>
        <v>300</v>
      </c>
      <c r="B304" s="3"/>
      <c r="C304" s="4"/>
      <c r="D304" s="9" t="str">
        <f>IF(C304="","",IFERROR(INDEX($E$5:$E$486,SUMPRODUCT(MAX(($C$5:$C$486=C304)*($A$5:$A$486&lt;A304)*$A$5:$A$486))),""))</f>
        <v/>
      </c>
      <c r="E304" s="4"/>
      <c r="F304" s="2">
        <f t="shared" si="17"/>
        <v>0</v>
      </c>
      <c r="G304" s="4" t="str">
        <f>IF(C304="","",IFERROR(VLOOKUP(C304,Listas!$A$2:$C$39,3,FALSE()),"Asigna combustible en hoja Listas"))</f>
        <v/>
      </c>
      <c r="H304" s="9"/>
      <c r="I304" s="5"/>
      <c r="J304" s="6">
        <f t="shared" si="18"/>
        <v>0</v>
      </c>
      <c r="K304" s="7">
        <f t="shared" si="19"/>
        <v>0</v>
      </c>
    </row>
    <row r="305" spans="1:11" hidden="1" x14ac:dyDescent="0.3">
      <c r="A305" s="2">
        <f t="shared" si="16"/>
        <v>301</v>
      </c>
      <c r="B305" s="3"/>
      <c r="C305" s="4"/>
      <c r="D305" s="9" t="str">
        <f>IF(C305="","",IFERROR(INDEX($E$5:$E$486,SUMPRODUCT(MAX(($C$5:$C$486=C305)*($A$5:$A$486&lt;A305)*$A$5:$A$486))),""))</f>
        <v/>
      </c>
      <c r="E305" s="4"/>
      <c r="F305" s="2">
        <f t="shared" si="17"/>
        <v>0</v>
      </c>
      <c r="G305" s="4" t="str">
        <f>IF(C305="","",IFERROR(VLOOKUP(C305,Listas!$A$2:$C$39,3,FALSE()),"Asigna combustible en hoja Listas"))</f>
        <v/>
      </c>
      <c r="H305" s="9"/>
      <c r="I305" s="5"/>
      <c r="J305" s="6">
        <f t="shared" si="18"/>
        <v>0</v>
      </c>
      <c r="K305" s="7">
        <f t="shared" si="19"/>
        <v>0</v>
      </c>
    </row>
    <row r="306" spans="1:11" hidden="1" x14ac:dyDescent="0.3">
      <c r="A306" s="2">
        <f t="shared" si="16"/>
        <v>302</v>
      </c>
      <c r="B306" s="3"/>
      <c r="C306" s="4"/>
      <c r="D306" s="9" t="str">
        <f>IF(C306="","",IFERROR(INDEX($E$5:$E$486,SUMPRODUCT(MAX(($C$5:$C$486=C306)*($A$5:$A$486&lt;A306)*$A$5:$A$486))),""))</f>
        <v/>
      </c>
      <c r="E306" s="4"/>
      <c r="F306" s="2">
        <f t="shared" si="17"/>
        <v>0</v>
      </c>
      <c r="G306" s="4" t="str">
        <f>IF(C306="","",IFERROR(VLOOKUP(C306,Listas!$A$2:$C$39,3,FALSE()),"Asigna combustible en hoja Listas"))</f>
        <v/>
      </c>
      <c r="H306" s="9"/>
      <c r="I306" s="5"/>
      <c r="J306" s="6">
        <f t="shared" si="18"/>
        <v>0</v>
      </c>
      <c r="K306" s="7">
        <f t="shared" si="19"/>
        <v>0</v>
      </c>
    </row>
    <row r="307" spans="1:11" hidden="1" x14ac:dyDescent="0.3">
      <c r="A307" s="2">
        <f t="shared" si="16"/>
        <v>303</v>
      </c>
      <c r="B307" s="3"/>
      <c r="C307" s="4"/>
      <c r="D307" s="9" t="str">
        <f>IF(C307="","",IFERROR(INDEX($E$5:$E$486,SUMPRODUCT(MAX(($C$5:$C$486=C307)*($A$5:$A$486&lt;A307)*$A$5:$A$486))),""))</f>
        <v/>
      </c>
      <c r="E307" s="4"/>
      <c r="F307" s="2">
        <f t="shared" si="17"/>
        <v>0</v>
      </c>
      <c r="G307" s="4" t="str">
        <f>IF(C307="","",IFERROR(VLOOKUP(C307,Listas!$A$2:$C$39,3,FALSE()),"Asigna combustible en hoja Listas"))</f>
        <v/>
      </c>
      <c r="H307" s="9"/>
      <c r="I307" s="5"/>
      <c r="J307" s="6">
        <f t="shared" si="18"/>
        <v>0</v>
      </c>
      <c r="K307" s="7">
        <f t="shared" si="19"/>
        <v>0</v>
      </c>
    </row>
    <row r="308" spans="1:11" hidden="1" x14ac:dyDescent="0.3">
      <c r="A308" s="2">
        <f t="shared" si="16"/>
        <v>304</v>
      </c>
      <c r="B308" s="3"/>
      <c r="C308" s="4"/>
      <c r="D308" s="9" t="str">
        <f>IF(C308="","",IFERROR(INDEX($E$5:$E$486,SUMPRODUCT(MAX(($C$5:$C$486=C308)*($A$5:$A$486&lt;A308)*$A$5:$A$486))),""))</f>
        <v/>
      </c>
      <c r="E308" s="4"/>
      <c r="F308" s="2">
        <f t="shared" si="17"/>
        <v>0</v>
      </c>
      <c r="G308" s="4" t="str">
        <f>IF(C308="","",IFERROR(VLOOKUP(C308,Listas!$A$2:$C$39,3,FALSE()),"Asigna combustible en hoja Listas"))</f>
        <v/>
      </c>
      <c r="H308" s="9"/>
      <c r="I308" s="5"/>
      <c r="J308" s="6">
        <f t="shared" si="18"/>
        <v>0</v>
      </c>
      <c r="K308" s="7">
        <f t="shared" si="19"/>
        <v>0</v>
      </c>
    </row>
    <row r="309" spans="1:11" hidden="1" x14ac:dyDescent="0.3">
      <c r="A309" s="2">
        <f t="shared" si="16"/>
        <v>305</v>
      </c>
      <c r="B309" s="3"/>
      <c r="C309" s="4"/>
      <c r="D309" s="9" t="str">
        <f>IF(C309="","",IFERROR(INDEX($E$5:$E$486,SUMPRODUCT(MAX(($C$5:$C$486=C309)*($A$5:$A$486&lt;A309)*$A$5:$A$486))),""))</f>
        <v/>
      </c>
      <c r="E309" s="4"/>
      <c r="F309" s="2">
        <f t="shared" si="17"/>
        <v>0</v>
      </c>
      <c r="G309" s="4" t="str">
        <f>IF(C309="","",IFERROR(VLOOKUP(C309,Listas!$A$2:$C$39,3,FALSE()),"Asigna combustible en hoja Listas"))</f>
        <v/>
      </c>
      <c r="H309" s="9"/>
      <c r="I309" s="5"/>
      <c r="J309" s="6">
        <f t="shared" si="18"/>
        <v>0</v>
      </c>
      <c r="K309" s="7">
        <f t="shared" si="19"/>
        <v>0</v>
      </c>
    </row>
    <row r="310" spans="1:11" hidden="1" x14ac:dyDescent="0.3">
      <c r="A310" s="2">
        <f t="shared" si="16"/>
        <v>306</v>
      </c>
      <c r="B310" s="3"/>
      <c r="C310" s="4"/>
      <c r="D310" s="9" t="str">
        <f>IF(C310="","",IFERROR(INDEX($E$5:$E$486,SUMPRODUCT(MAX(($C$5:$C$486=C310)*($A$5:$A$486&lt;A310)*$A$5:$A$486))),""))</f>
        <v/>
      </c>
      <c r="E310" s="4"/>
      <c r="F310" s="2">
        <f t="shared" si="17"/>
        <v>0</v>
      </c>
      <c r="G310" s="4" t="str">
        <f>IF(C310="","",IFERROR(VLOOKUP(C310,Listas!$A$2:$C$39,3,FALSE()),"Asigna combustible en hoja Listas"))</f>
        <v/>
      </c>
      <c r="H310" s="9"/>
      <c r="I310" s="5"/>
      <c r="J310" s="6">
        <f t="shared" si="18"/>
        <v>0</v>
      </c>
      <c r="K310" s="7">
        <f t="shared" si="19"/>
        <v>0</v>
      </c>
    </row>
    <row r="311" spans="1:11" hidden="1" x14ac:dyDescent="0.3">
      <c r="A311" s="2">
        <f t="shared" si="16"/>
        <v>307</v>
      </c>
      <c r="B311" s="3"/>
      <c r="C311" s="4"/>
      <c r="D311" s="9" t="str">
        <f>IF(C311="","",IFERROR(INDEX($E$5:$E$486,SUMPRODUCT(MAX(($C$5:$C$486=C311)*($A$5:$A$486&lt;A311)*$A$5:$A$486))),""))</f>
        <v/>
      </c>
      <c r="E311" s="4"/>
      <c r="F311" s="2">
        <f t="shared" si="17"/>
        <v>0</v>
      </c>
      <c r="G311" s="4" t="str">
        <f>IF(C311="","",IFERROR(VLOOKUP(C311,Listas!$A$2:$C$39,3,FALSE()),"Asigna combustible en hoja Listas"))</f>
        <v/>
      </c>
      <c r="H311" s="9"/>
      <c r="I311" s="5"/>
      <c r="J311" s="6">
        <f t="shared" si="18"/>
        <v>0</v>
      </c>
      <c r="K311" s="7">
        <f t="shared" si="19"/>
        <v>0</v>
      </c>
    </row>
    <row r="312" spans="1:11" hidden="1" x14ac:dyDescent="0.3">
      <c r="A312" s="2">
        <f t="shared" si="16"/>
        <v>308</v>
      </c>
      <c r="B312" s="3"/>
      <c r="C312" s="4"/>
      <c r="D312" s="9" t="str">
        <f>IF(C312="","",IFERROR(INDEX($E$5:$E$486,SUMPRODUCT(MAX(($C$5:$C$486=C312)*($A$5:$A$486&lt;A312)*$A$5:$A$486))),""))</f>
        <v/>
      </c>
      <c r="E312" s="4"/>
      <c r="F312" s="2">
        <f t="shared" si="17"/>
        <v>0</v>
      </c>
      <c r="G312" s="4" t="str">
        <f>IF(C312="","",IFERROR(VLOOKUP(C312,Listas!$A$2:$C$39,3,FALSE()),"Asigna combustible en hoja Listas"))</f>
        <v/>
      </c>
      <c r="H312" s="9"/>
      <c r="I312" s="5"/>
      <c r="J312" s="6">
        <f t="shared" si="18"/>
        <v>0</v>
      </c>
      <c r="K312" s="7">
        <f t="shared" si="19"/>
        <v>0</v>
      </c>
    </row>
    <row r="313" spans="1:11" hidden="1" x14ac:dyDescent="0.3">
      <c r="A313" s="2">
        <f t="shared" si="16"/>
        <v>309</v>
      </c>
      <c r="B313" s="3"/>
      <c r="C313" s="4"/>
      <c r="D313" s="9" t="str">
        <f>IF(C313="","",IFERROR(INDEX($E$5:$E$486,SUMPRODUCT(MAX(($C$5:$C$486=C313)*($A$5:$A$486&lt;A313)*$A$5:$A$486))),""))</f>
        <v/>
      </c>
      <c r="E313" s="4"/>
      <c r="F313" s="2">
        <f t="shared" si="17"/>
        <v>0</v>
      </c>
      <c r="G313" s="4" t="str">
        <f>IF(C313="","",IFERROR(VLOOKUP(C313,Listas!$A$2:$C$39,3,FALSE()),"Asigna combustible en hoja Listas"))</f>
        <v/>
      </c>
      <c r="H313" s="9"/>
      <c r="I313" s="5"/>
      <c r="J313" s="6">
        <f t="shared" si="18"/>
        <v>0</v>
      </c>
      <c r="K313" s="7">
        <f t="shared" si="19"/>
        <v>0</v>
      </c>
    </row>
    <row r="314" spans="1:11" hidden="1" x14ac:dyDescent="0.3">
      <c r="A314" s="2">
        <f t="shared" si="16"/>
        <v>310</v>
      </c>
      <c r="B314" s="3"/>
      <c r="C314" s="4"/>
      <c r="D314" s="9" t="str">
        <f>IF(C314="","",IFERROR(INDEX($E$5:$E$486,SUMPRODUCT(MAX(($C$5:$C$486=C314)*($A$5:$A$486&lt;A314)*$A$5:$A$486))),""))</f>
        <v/>
      </c>
      <c r="E314" s="4"/>
      <c r="F314" s="2">
        <f t="shared" si="17"/>
        <v>0</v>
      </c>
      <c r="G314" s="4" t="str">
        <f>IF(C314="","",IFERROR(VLOOKUP(C314,Listas!$A$2:$C$39,3,FALSE()),"Asigna combustible en hoja Listas"))</f>
        <v/>
      </c>
      <c r="H314" s="9"/>
      <c r="I314" s="5"/>
      <c r="J314" s="6">
        <f t="shared" si="18"/>
        <v>0</v>
      </c>
      <c r="K314" s="7">
        <f t="shared" si="19"/>
        <v>0</v>
      </c>
    </row>
    <row r="315" spans="1:11" hidden="1" x14ac:dyDescent="0.3">
      <c r="A315" s="2">
        <f t="shared" si="16"/>
        <v>311</v>
      </c>
      <c r="B315" s="3"/>
      <c r="C315" s="4"/>
      <c r="D315" s="9" t="str">
        <f>IF(C315="","",IFERROR(INDEX($E$5:$E$486,SUMPRODUCT(MAX(($C$5:$C$486=C315)*($A$5:$A$486&lt;A315)*$A$5:$A$486))),""))</f>
        <v/>
      </c>
      <c r="E315" s="4"/>
      <c r="F315" s="2">
        <f t="shared" si="17"/>
        <v>0</v>
      </c>
      <c r="G315" s="4" t="str">
        <f>IF(C315="","",IFERROR(VLOOKUP(C315,Listas!$A$2:$C$39,3,FALSE()),"Asigna combustible en hoja Listas"))</f>
        <v/>
      </c>
      <c r="H315" s="9"/>
      <c r="I315" s="5"/>
      <c r="J315" s="6">
        <f t="shared" si="18"/>
        <v>0</v>
      </c>
      <c r="K315" s="7">
        <f t="shared" si="19"/>
        <v>0</v>
      </c>
    </row>
    <row r="316" spans="1:11" hidden="1" x14ac:dyDescent="0.3">
      <c r="A316" s="2">
        <f t="shared" si="16"/>
        <v>312</v>
      </c>
      <c r="B316" s="3"/>
      <c r="C316" s="4"/>
      <c r="D316" s="9" t="str">
        <f>IF(C316="","",IFERROR(INDEX($E$5:$E$486,SUMPRODUCT(MAX(($C$5:$C$486=C316)*($A$5:$A$486&lt;A316)*$A$5:$A$486))),""))</f>
        <v/>
      </c>
      <c r="E316" s="4"/>
      <c r="F316" s="2">
        <f t="shared" si="17"/>
        <v>0</v>
      </c>
      <c r="G316" s="4" t="str">
        <f>IF(C316="","",IFERROR(VLOOKUP(C316,Listas!$A$2:$C$39,3,FALSE()),"Asigna combustible en hoja Listas"))</f>
        <v/>
      </c>
      <c r="H316" s="9"/>
      <c r="I316" s="5"/>
      <c r="J316" s="6">
        <f t="shared" si="18"/>
        <v>0</v>
      </c>
      <c r="K316" s="7">
        <f t="shared" si="19"/>
        <v>0</v>
      </c>
    </row>
    <row r="317" spans="1:11" hidden="1" x14ac:dyDescent="0.3">
      <c r="A317" s="2">
        <f t="shared" si="16"/>
        <v>313</v>
      </c>
      <c r="B317" s="3"/>
      <c r="C317" s="4"/>
      <c r="D317" s="9" t="str">
        <f>IF(C317="","",IFERROR(INDEX($E$5:$E$486,SUMPRODUCT(MAX(($C$5:$C$486=C317)*($A$5:$A$486&lt;A317)*$A$5:$A$486))),""))</f>
        <v/>
      </c>
      <c r="E317" s="4"/>
      <c r="F317" s="2">
        <f t="shared" si="17"/>
        <v>0</v>
      </c>
      <c r="G317" s="4" t="str">
        <f>IF(C317="","",IFERROR(VLOOKUP(C317,Listas!$A$2:$C$39,3,FALSE()),"Asigna combustible en hoja Listas"))</f>
        <v/>
      </c>
      <c r="H317" s="9"/>
      <c r="I317" s="5"/>
      <c r="J317" s="6">
        <f t="shared" si="18"/>
        <v>0</v>
      </c>
      <c r="K317" s="7">
        <f t="shared" si="19"/>
        <v>0</v>
      </c>
    </row>
    <row r="318" spans="1:11" hidden="1" x14ac:dyDescent="0.3">
      <c r="A318" s="2">
        <f t="shared" si="16"/>
        <v>314</v>
      </c>
      <c r="B318" s="3"/>
      <c r="C318" s="4"/>
      <c r="D318" s="9" t="str">
        <f>IF(C318="","",IFERROR(INDEX($E$5:$E$486,SUMPRODUCT(MAX(($C$5:$C$486=C318)*($A$5:$A$486&lt;A318)*$A$5:$A$486))),""))</f>
        <v/>
      </c>
      <c r="E318" s="4"/>
      <c r="F318" s="2">
        <f t="shared" si="17"/>
        <v>0</v>
      </c>
      <c r="G318" s="4" t="str">
        <f>IF(C318="","",IFERROR(VLOOKUP(C318,Listas!$A$2:$C$39,3,FALSE()),"Asigna combustible en hoja Listas"))</f>
        <v/>
      </c>
      <c r="H318" s="9"/>
      <c r="I318" s="5"/>
      <c r="J318" s="6">
        <f t="shared" si="18"/>
        <v>0</v>
      </c>
      <c r="K318" s="7">
        <f t="shared" si="19"/>
        <v>0</v>
      </c>
    </row>
    <row r="319" spans="1:11" hidden="1" x14ac:dyDescent="0.3">
      <c r="A319" s="2">
        <f t="shared" si="16"/>
        <v>315</v>
      </c>
      <c r="B319" s="3"/>
      <c r="C319" s="4"/>
      <c r="D319" s="9" t="str">
        <f>IF(C319="","",IFERROR(INDEX($E$5:$E$486,SUMPRODUCT(MAX(($C$5:$C$486=C319)*($A$5:$A$486&lt;A319)*$A$5:$A$486))),""))</f>
        <v/>
      </c>
      <c r="E319" s="4"/>
      <c r="F319" s="2">
        <f t="shared" si="17"/>
        <v>0</v>
      </c>
      <c r="G319" s="4" t="str">
        <f>IF(C319="","",IFERROR(VLOOKUP(C319,Listas!$A$2:$C$39,3,FALSE()),"Asigna combustible en hoja Listas"))</f>
        <v/>
      </c>
      <c r="H319" s="9"/>
      <c r="I319" s="5"/>
      <c r="J319" s="6">
        <f t="shared" si="18"/>
        <v>0</v>
      </c>
      <c r="K319" s="7">
        <f t="shared" si="19"/>
        <v>0</v>
      </c>
    </row>
    <row r="320" spans="1:11" hidden="1" x14ac:dyDescent="0.3">
      <c r="A320" s="2">
        <f t="shared" si="16"/>
        <v>316</v>
      </c>
      <c r="B320" s="3"/>
      <c r="C320" s="4"/>
      <c r="D320" s="9" t="str">
        <f>IF(C320="","",IFERROR(INDEX($E$5:$E$486,SUMPRODUCT(MAX(($C$5:$C$486=C320)*($A$5:$A$486&lt;A320)*$A$5:$A$486))),""))</f>
        <v/>
      </c>
      <c r="E320" s="4"/>
      <c r="F320" s="2">
        <f t="shared" si="17"/>
        <v>0</v>
      </c>
      <c r="G320" s="4" t="str">
        <f>IF(C320="","",IFERROR(VLOOKUP(C320,Listas!$A$2:$C$39,3,FALSE()),"Asigna combustible en hoja Listas"))</f>
        <v/>
      </c>
      <c r="H320" s="9"/>
      <c r="I320" s="5"/>
      <c r="J320" s="6">
        <f t="shared" si="18"/>
        <v>0</v>
      </c>
      <c r="K320" s="7">
        <f t="shared" si="19"/>
        <v>0</v>
      </c>
    </row>
    <row r="321" spans="1:11" hidden="1" x14ac:dyDescent="0.3">
      <c r="A321" s="2">
        <f t="shared" si="16"/>
        <v>317</v>
      </c>
      <c r="B321" s="3"/>
      <c r="C321" s="4"/>
      <c r="D321" s="9" t="str">
        <f>IF(C321="","",IFERROR(INDEX($E$5:$E$486,SUMPRODUCT(MAX(($C$5:$C$486=C321)*($A$5:$A$486&lt;A321)*$A$5:$A$486))),""))</f>
        <v/>
      </c>
      <c r="E321" s="4"/>
      <c r="F321" s="2">
        <f t="shared" si="17"/>
        <v>0</v>
      </c>
      <c r="G321" s="4" t="str">
        <f>IF(C321="","",IFERROR(VLOOKUP(C321,Listas!$A$2:$C$39,3,FALSE()),"Asigna combustible en hoja Listas"))</f>
        <v/>
      </c>
      <c r="H321" s="9"/>
      <c r="I321" s="5"/>
      <c r="J321" s="6">
        <f t="shared" si="18"/>
        <v>0</v>
      </c>
      <c r="K321" s="7">
        <f t="shared" si="19"/>
        <v>0</v>
      </c>
    </row>
    <row r="322" spans="1:11" hidden="1" x14ac:dyDescent="0.3">
      <c r="A322" s="2">
        <f t="shared" si="16"/>
        <v>318</v>
      </c>
      <c r="B322" s="3"/>
      <c r="C322" s="4"/>
      <c r="D322" s="9" t="str">
        <f>IF(C322="","",IFERROR(INDEX($E$5:$E$486,SUMPRODUCT(MAX(($C$5:$C$486=C322)*($A$5:$A$486&lt;A322)*$A$5:$A$486))),""))</f>
        <v/>
      </c>
      <c r="E322" s="4"/>
      <c r="F322" s="2">
        <f t="shared" si="17"/>
        <v>0</v>
      </c>
      <c r="G322" s="4" t="str">
        <f>IF(C322="","",IFERROR(VLOOKUP(C322,Listas!$A$2:$C$39,3,FALSE()),"Asigna combustible en hoja Listas"))</f>
        <v/>
      </c>
      <c r="H322" s="9"/>
      <c r="I322" s="5"/>
      <c r="J322" s="6">
        <f t="shared" si="18"/>
        <v>0</v>
      </c>
      <c r="K322" s="7">
        <f t="shared" si="19"/>
        <v>0</v>
      </c>
    </row>
    <row r="323" spans="1:11" hidden="1" x14ac:dyDescent="0.3">
      <c r="A323" s="2">
        <f t="shared" si="16"/>
        <v>319</v>
      </c>
      <c r="B323" s="3"/>
      <c r="C323" s="4"/>
      <c r="D323" s="9" t="str">
        <f>IF(C323="","",IFERROR(INDEX($E$5:$E$486,SUMPRODUCT(MAX(($C$5:$C$486=C323)*($A$5:$A$486&lt;A323)*$A$5:$A$486))),""))</f>
        <v/>
      </c>
      <c r="E323" s="4"/>
      <c r="F323" s="2">
        <f t="shared" si="17"/>
        <v>0</v>
      </c>
      <c r="G323" s="4" t="str">
        <f>IF(C323="","",IFERROR(VLOOKUP(C323,Listas!$A$2:$C$39,3,FALSE()),"Asigna combustible en hoja Listas"))</f>
        <v/>
      </c>
      <c r="H323" s="9"/>
      <c r="I323" s="10"/>
      <c r="J323" s="6">
        <f t="shared" si="18"/>
        <v>0</v>
      </c>
      <c r="K323" s="7">
        <f t="shared" si="19"/>
        <v>0</v>
      </c>
    </row>
    <row r="324" spans="1:11" hidden="1" x14ac:dyDescent="0.3">
      <c r="A324" s="2">
        <f t="shared" si="16"/>
        <v>320</v>
      </c>
      <c r="B324" s="3"/>
      <c r="C324" s="4"/>
      <c r="D324" s="9" t="str">
        <f>IF(C324="","",IFERROR(INDEX($E$5:$E$486,SUMPRODUCT(MAX(($C$5:$C$486=C324)*($A$5:$A$486&lt;A324)*$A$5:$A$486))),""))</f>
        <v/>
      </c>
      <c r="E324" s="4"/>
      <c r="F324" s="2">
        <f t="shared" si="17"/>
        <v>0</v>
      </c>
      <c r="G324" s="4" t="str">
        <f>IF(C324="","",IFERROR(VLOOKUP(C324,Listas!$A$2:$C$39,3,FALSE()),"Asigna combustible en hoja Listas"))</f>
        <v/>
      </c>
      <c r="H324" s="9"/>
      <c r="I324" s="10"/>
      <c r="J324" s="6">
        <f t="shared" si="18"/>
        <v>0</v>
      </c>
      <c r="K324" s="7">
        <f t="shared" si="19"/>
        <v>0</v>
      </c>
    </row>
    <row r="325" spans="1:11" hidden="1" x14ac:dyDescent="0.3">
      <c r="A325" s="2">
        <f t="shared" ref="A325:A388" si="20">ROW()-4</f>
        <v>321</v>
      </c>
      <c r="B325" s="3"/>
      <c r="C325" s="4"/>
      <c r="D325" s="9" t="str">
        <f>IF(C325="","",IFERROR(INDEX($E$5:$E$486,SUMPRODUCT(MAX(($C$5:$C$486=C325)*($A$5:$A$486&lt;A325)*$A$5:$A$486))),""))</f>
        <v/>
      </c>
      <c r="E325" s="4"/>
      <c r="F325" s="2">
        <f t="shared" ref="F325:F388" si="21">IFERROR(E325-D325,0)</f>
        <v>0</v>
      </c>
      <c r="G325" s="4" t="str">
        <f>IF(C325="","",IFERROR(VLOOKUP(C325,Listas!$A$2:$C$39,3,FALSE()),"Asigna combustible en hoja Listas"))</f>
        <v/>
      </c>
      <c r="H325" s="9"/>
      <c r="I325" s="10"/>
      <c r="J325" s="6">
        <f t="shared" ref="J325:J388" si="22">H325*I325</f>
        <v>0</v>
      </c>
      <c r="K325" s="7">
        <f t="shared" ref="K325:K388" si="23">IFERROR(F325/H325,0)</f>
        <v>0</v>
      </c>
    </row>
    <row r="326" spans="1:11" hidden="1" x14ac:dyDescent="0.3">
      <c r="A326" s="2">
        <f t="shared" si="20"/>
        <v>322</v>
      </c>
      <c r="B326" s="3"/>
      <c r="C326" s="4"/>
      <c r="D326" s="9" t="str">
        <f>IF(C326="","",IFERROR(INDEX($E$5:$E$486,SUMPRODUCT(MAX(($C$5:$C$486=C326)*($A$5:$A$486&lt;A326)*$A$5:$A$486))),""))</f>
        <v/>
      </c>
      <c r="E326" s="4"/>
      <c r="F326" s="2">
        <f t="shared" si="21"/>
        <v>0</v>
      </c>
      <c r="G326" s="4" t="str">
        <f>IF(C326="","",IFERROR(VLOOKUP(C326,Listas!$A$2:$C$39,3,FALSE()),"Asigna combustible en hoja Listas"))</f>
        <v/>
      </c>
      <c r="H326" s="9"/>
      <c r="I326" s="10"/>
      <c r="J326" s="6">
        <f t="shared" si="22"/>
        <v>0</v>
      </c>
      <c r="K326" s="7">
        <f t="shared" si="23"/>
        <v>0</v>
      </c>
    </row>
    <row r="327" spans="1:11" hidden="1" x14ac:dyDescent="0.3">
      <c r="A327" s="2">
        <f t="shared" si="20"/>
        <v>323</v>
      </c>
      <c r="B327" s="3"/>
      <c r="C327" s="4"/>
      <c r="D327" s="9" t="str">
        <f>IF(C327="","",IFERROR(INDEX($E$5:$E$486,SUMPRODUCT(MAX(($C$5:$C$486=C327)*($A$5:$A$486&lt;A327)*$A$5:$A$486))),""))</f>
        <v/>
      </c>
      <c r="E327" s="4"/>
      <c r="F327" s="2">
        <f t="shared" si="21"/>
        <v>0</v>
      </c>
      <c r="G327" s="4" t="str">
        <f>IF(C327="","",IFERROR(VLOOKUP(C327,Listas!$A$2:$C$39,3,FALSE()),"Asigna combustible en hoja Listas"))</f>
        <v/>
      </c>
      <c r="H327" s="9"/>
      <c r="I327" s="10"/>
      <c r="J327" s="6">
        <f t="shared" si="22"/>
        <v>0</v>
      </c>
      <c r="K327" s="7">
        <f t="shared" si="23"/>
        <v>0</v>
      </c>
    </row>
    <row r="328" spans="1:11" hidden="1" x14ac:dyDescent="0.3">
      <c r="A328" s="2">
        <f t="shared" si="20"/>
        <v>324</v>
      </c>
      <c r="B328" s="3"/>
      <c r="C328" s="4"/>
      <c r="D328" s="9" t="str">
        <f>IF(C328="","",IFERROR(INDEX($E$5:$E$486,SUMPRODUCT(MAX(($C$5:$C$486=C328)*($A$5:$A$486&lt;A328)*$A$5:$A$486))),""))</f>
        <v/>
      </c>
      <c r="E328" s="4"/>
      <c r="F328" s="2">
        <f t="shared" si="21"/>
        <v>0</v>
      </c>
      <c r="G328" s="4" t="str">
        <f>IF(C328="","",IFERROR(VLOOKUP(C328,Listas!$A$2:$C$39,3,FALSE()),"Asigna combustible en hoja Listas"))</f>
        <v/>
      </c>
      <c r="H328" s="9"/>
      <c r="I328" s="10"/>
      <c r="J328" s="6">
        <f t="shared" si="22"/>
        <v>0</v>
      </c>
      <c r="K328" s="7">
        <f t="shared" si="23"/>
        <v>0</v>
      </c>
    </row>
    <row r="329" spans="1:11" hidden="1" x14ac:dyDescent="0.3">
      <c r="A329" s="2">
        <f t="shared" si="20"/>
        <v>325</v>
      </c>
      <c r="B329" s="3"/>
      <c r="C329" s="4"/>
      <c r="D329" s="9" t="str">
        <f>IF(C329="","",IFERROR(INDEX($E$5:$E$486,SUMPRODUCT(MAX(($C$5:$C$486=C329)*($A$5:$A$486&lt;A329)*$A$5:$A$486))),""))</f>
        <v/>
      </c>
      <c r="E329" s="4"/>
      <c r="F329" s="2">
        <f t="shared" si="21"/>
        <v>0</v>
      </c>
      <c r="G329" s="4" t="str">
        <f>IF(C329="","",IFERROR(VLOOKUP(C329,Listas!$A$2:$C$39,3,FALSE()),"Asigna combustible en hoja Listas"))</f>
        <v/>
      </c>
      <c r="H329" s="9"/>
      <c r="I329" s="10"/>
      <c r="J329" s="6">
        <f t="shared" si="22"/>
        <v>0</v>
      </c>
      <c r="K329" s="7">
        <f t="shared" si="23"/>
        <v>0</v>
      </c>
    </row>
    <row r="330" spans="1:11" hidden="1" x14ac:dyDescent="0.3">
      <c r="A330" s="2">
        <f t="shared" si="20"/>
        <v>326</v>
      </c>
      <c r="B330" s="3"/>
      <c r="C330" s="4"/>
      <c r="D330" s="9" t="str">
        <f>IF(C330="","",IFERROR(INDEX($E$5:$E$486,SUMPRODUCT(MAX(($C$5:$C$486=C330)*($A$5:$A$486&lt;A330)*$A$5:$A$486))),""))</f>
        <v/>
      </c>
      <c r="E330" s="4"/>
      <c r="F330" s="2">
        <f t="shared" si="21"/>
        <v>0</v>
      </c>
      <c r="G330" s="4" t="str">
        <f>IF(C330="","",IFERROR(VLOOKUP(C330,Listas!$A$2:$C$39,3,FALSE()),"Asigna combustible en hoja Listas"))</f>
        <v/>
      </c>
      <c r="H330" s="9"/>
      <c r="I330" s="10"/>
      <c r="J330" s="6">
        <f t="shared" si="22"/>
        <v>0</v>
      </c>
      <c r="K330" s="7">
        <f t="shared" si="23"/>
        <v>0</v>
      </c>
    </row>
    <row r="331" spans="1:11" hidden="1" x14ac:dyDescent="0.3">
      <c r="A331" s="2">
        <f t="shared" si="20"/>
        <v>327</v>
      </c>
      <c r="B331" s="3"/>
      <c r="C331" s="4"/>
      <c r="D331" s="9" t="str">
        <f>IF(C331="","",IFERROR(INDEX($E$5:$E$486,SUMPRODUCT(MAX(($C$5:$C$486=C331)*($A$5:$A$486&lt;A331)*$A$5:$A$486))),""))</f>
        <v/>
      </c>
      <c r="E331" s="4"/>
      <c r="F331" s="2">
        <f t="shared" si="21"/>
        <v>0</v>
      </c>
      <c r="G331" s="4" t="str">
        <f>IF(C331="","",IFERROR(VLOOKUP(C331,Listas!$A$2:$C$39,3,FALSE()),"Asigna combustible en hoja Listas"))</f>
        <v/>
      </c>
      <c r="H331" s="9"/>
      <c r="I331" s="10"/>
      <c r="J331" s="6">
        <f t="shared" si="22"/>
        <v>0</v>
      </c>
      <c r="K331" s="7">
        <f t="shared" si="23"/>
        <v>0</v>
      </c>
    </row>
    <row r="332" spans="1:11" hidden="1" x14ac:dyDescent="0.3">
      <c r="A332" s="2">
        <f t="shared" si="20"/>
        <v>328</v>
      </c>
      <c r="B332" s="3"/>
      <c r="C332" s="4"/>
      <c r="D332" s="9" t="str">
        <f>IF(C332="","",IFERROR(INDEX($E$5:$E$486,SUMPRODUCT(MAX(($C$5:$C$486=C332)*($A$5:$A$486&lt;A332)*$A$5:$A$486))),""))</f>
        <v/>
      </c>
      <c r="E332" s="4"/>
      <c r="F332" s="2">
        <f t="shared" si="21"/>
        <v>0</v>
      </c>
      <c r="G332" s="4" t="str">
        <f>IF(C332="","",IFERROR(VLOOKUP(C332,Listas!$A$2:$C$39,3,FALSE()),"Asigna combustible en hoja Listas"))</f>
        <v/>
      </c>
      <c r="H332" s="9"/>
      <c r="I332" s="10"/>
      <c r="J332" s="6">
        <f t="shared" si="22"/>
        <v>0</v>
      </c>
      <c r="K332" s="7">
        <f t="shared" si="23"/>
        <v>0</v>
      </c>
    </row>
    <row r="333" spans="1:11" hidden="1" x14ac:dyDescent="0.3">
      <c r="A333" s="2">
        <f t="shared" si="20"/>
        <v>329</v>
      </c>
      <c r="B333" s="3"/>
      <c r="C333" s="4"/>
      <c r="D333" s="9" t="str">
        <f>IF(C333="","",IFERROR(INDEX($E$5:$E$486,SUMPRODUCT(MAX(($C$5:$C$486=C333)*($A$5:$A$486&lt;A333)*$A$5:$A$486))),""))</f>
        <v/>
      </c>
      <c r="E333" s="4"/>
      <c r="F333" s="2">
        <f t="shared" si="21"/>
        <v>0</v>
      </c>
      <c r="G333" s="4" t="str">
        <f>IF(C333="","",IFERROR(VLOOKUP(C333,Listas!$A$2:$C$39,3,FALSE()),"Asigna combustible en hoja Listas"))</f>
        <v/>
      </c>
      <c r="H333" s="9"/>
      <c r="I333" s="10"/>
      <c r="J333" s="6">
        <f t="shared" si="22"/>
        <v>0</v>
      </c>
      <c r="K333" s="7">
        <f t="shared" si="23"/>
        <v>0</v>
      </c>
    </row>
    <row r="334" spans="1:11" hidden="1" x14ac:dyDescent="0.3">
      <c r="A334" s="2">
        <f t="shared" si="20"/>
        <v>330</v>
      </c>
      <c r="B334" s="3"/>
      <c r="C334" s="4"/>
      <c r="D334" s="9" t="str">
        <f>IF(C334="","",IFERROR(INDEX($E$5:$E$486,SUMPRODUCT(MAX(($C$5:$C$486=C334)*($A$5:$A$486&lt;A334)*$A$5:$A$486))),""))</f>
        <v/>
      </c>
      <c r="E334" s="4"/>
      <c r="F334" s="2">
        <f t="shared" si="21"/>
        <v>0</v>
      </c>
      <c r="G334" s="4" t="str">
        <f>IF(C334="","",IFERROR(VLOOKUP(C334,Listas!$A$2:$C$39,3,FALSE()),"Asigna combustible en hoja Listas"))</f>
        <v/>
      </c>
      <c r="H334" s="9"/>
      <c r="I334" s="10"/>
      <c r="J334" s="6">
        <f t="shared" si="22"/>
        <v>0</v>
      </c>
      <c r="K334" s="7">
        <f t="shared" si="23"/>
        <v>0</v>
      </c>
    </row>
    <row r="335" spans="1:11" hidden="1" x14ac:dyDescent="0.3">
      <c r="A335" s="2">
        <f t="shared" si="20"/>
        <v>331</v>
      </c>
      <c r="B335" s="3"/>
      <c r="C335" s="4"/>
      <c r="D335" s="9" t="str">
        <f>IF(C335="","",IFERROR(INDEX($E$5:$E$486,SUMPRODUCT(MAX(($C$5:$C$486=C335)*($A$5:$A$486&lt;A335)*$A$5:$A$486))),""))</f>
        <v/>
      </c>
      <c r="E335" s="4"/>
      <c r="F335" s="2">
        <f t="shared" si="21"/>
        <v>0</v>
      </c>
      <c r="G335" s="4" t="str">
        <f>IF(C335="","",IFERROR(VLOOKUP(C335,Listas!$A$2:$C$39,3,FALSE()),"Asigna combustible en hoja Listas"))</f>
        <v/>
      </c>
      <c r="H335" s="9"/>
      <c r="I335" s="10"/>
      <c r="J335" s="6">
        <f t="shared" si="22"/>
        <v>0</v>
      </c>
      <c r="K335" s="7">
        <f t="shared" si="23"/>
        <v>0</v>
      </c>
    </row>
    <row r="336" spans="1:11" hidden="1" x14ac:dyDescent="0.3">
      <c r="A336" s="2">
        <f t="shared" si="20"/>
        <v>332</v>
      </c>
      <c r="B336" s="3"/>
      <c r="C336" s="4"/>
      <c r="D336" s="9" t="str">
        <f>IF(C336="","",IFERROR(INDEX($E$5:$E$486,SUMPRODUCT(MAX(($C$5:$C$486=C336)*($A$5:$A$486&lt;A336)*$A$5:$A$486))),""))</f>
        <v/>
      </c>
      <c r="E336" s="4"/>
      <c r="F336" s="2">
        <f t="shared" si="21"/>
        <v>0</v>
      </c>
      <c r="G336" s="4" t="str">
        <f>IF(C336="","",IFERROR(VLOOKUP(C336,Listas!$A$2:$C$39,3,FALSE()),"Asigna combustible en hoja Listas"))</f>
        <v/>
      </c>
      <c r="H336" s="9"/>
      <c r="I336" s="10"/>
      <c r="J336" s="6">
        <f t="shared" si="22"/>
        <v>0</v>
      </c>
      <c r="K336" s="7">
        <f t="shared" si="23"/>
        <v>0</v>
      </c>
    </row>
    <row r="337" spans="1:11" hidden="1" x14ac:dyDescent="0.3">
      <c r="A337" s="2">
        <f t="shared" si="20"/>
        <v>333</v>
      </c>
      <c r="B337" s="3"/>
      <c r="C337" s="4"/>
      <c r="D337" s="9" t="str">
        <f>IF(C337="","",IFERROR(INDEX($E$5:$E$486,SUMPRODUCT(MAX(($C$5:$C$486=C337)*($A$5:$A$486&lt;A337)*$A$5:$A$486))),""))</f>
        <v/>
      </c>
      <c r="E337" s="4"/>
      <c r="F337" s="2">
        <f t="shared" si="21"/>
        <v>0</v>
      </c>
      <c r="G337" s="4" t="str">
        <f>IF(C337="","",IFERROR(VLOOKUP(C337,Listas!$A$2:$C$39,3,FALSE()),"Asigna combustible en hoja Listas"))</f>
        <v/>
      </c>
      <c r="H337" s="9"/>
      <c r="I337" s="10"/>
      <c r="J337" s="6">
        <f t="shared" si="22"/>
        <v>0</v>
      </c>
      <c r="K337" s="7">
        <f t="shared" si="23"/>
        <v>0</v>
      </c>
    </row>
    <row r="338" spans="1:11" hidden="1" x14ac:dyDescent="0.3">
      <c r="A338" s="2">
        <f t="shared" si="20"/>
        <v>334</v>
      </c>
      <c r="B338" s="3"/>
      <c r="C338" s="4"/>
      <c r="D338" s="9" t="str">
        <f>IF(C338="","",IFERROR(INDEX($E$5:$E$486,SUMPRODUCT(MAX(($C$5:$C$486=C338)*($A$5:$A$486&lt;A338)*$A$5:$A$486))),""))</f>
        <v/>
      </c>
      <c r="E338" s="4"/>
      <c r="F338" s="2">
        <f t="shared" si="21"/>
        <v>0</v>
      </c>
      <c r="G338" s="4" t="str">
        <f>IF(C338="","",IFERROR(VLOOKUP(C338,Listas!$A$2:$C$39,3,FALSE()),"Asigna combustible en hoja Listas"))</f>
        <v/>
      </c>
      <c r="H338" s="9"/>
      <c r="I338" s="10"/>
      <c r="J338" s="6">
        <f t="shared" si="22"/>
        <v>0</v>
      </c>
      <c r="K338" s="7">
        <f t="shared" si="23"/>
        <v>0</v>
      </c>
    </row>
    <row r="339" spans="1:11" hidden="1" x14ac:dyDescent="0.3">
      <c r="A339" s="2">
        <f t="shared" si="20"/>
        <v>335</v>
      </c>
      <c r="B339" s="3"/>
      <c r="C339" s="4"/>
      <c r="D339" s="9" t="str">
        <f>IF(C339="","",IFERROR(INDEX($E$5:$E$486,SUMPRODUCT(MAX(($C$5:$C$486=C339)*($A$5:$A$486&lt;A339)*$A$5:$A$486))),""))</f>
        <v/>
      </c>
      <c r="E339" s="4"/>
      <c r="F339" s="2">
        <f t="shared" si="21"/>
        <v>0</v>
      </c>
      <c r="G339" s="4" t="str">
        <f>IF(C339="","",IFERROR(VLOOKUP(C339,Listas!$A$2:$C$39,3,FALSE()),"Asigna combustible en hoja Listas"))</f>
        <v/>
      </c>
      <c r="H339" s="9"/>
      <c r="I339" s="10"/>
      <c r="J339" s="6">
        <f t="shared" si="22"/>
        <v>0</v>
      </c>
      <c r="K339" s="7">
        <f t="shared" si="23"/>
        <v>0</v>
      </c>
    </row>
    <row r="340" spans="1:11" hidden="1" x14ac:dyDescent="0.3">
      <c r="A340" s="2">
        <f t="shared" si="20"/>
        <v>336</v>
      </c>
      <c r="B340" s="3"/>
      <c r="C340" s="4"/>
      <c r="D340" s="9" t="str">
        <f>IF(C340="","",IFERROR(INDEX($E$5:$E$486,SUMPRODUCT(MAX(($C$5:$C$486=C340)*($A$5:$A$486&lt;A340)*$A$5:$A$486))),""))</f>
        <v/>
      </c>
      <c r="E340" s="4"/>
      <c r="F340" s="2">
        <f t="shared" si="21"/>
        <v>0</v>
      </c>
      <c r="G340" s="4" t="str">
        <f>IF(C340="","",IFERROR(VLOOKUP(C340,Listas!$A$2:$C$39,3,FALSE()),"Asigna combustible en hoja Listas"))</f>
        <v/>
      </c>
      <c r="H340" s="9"/>
      <c r="I340" s="10"/>
      <c r="J340" s="6">
        <f t="shared" si="22"/>
        <v>0</v>
      </c>
      <c r="K340" s="7">
        <f t="shared" si="23"/>
        <v>0</v>
      </c>
    </row>
    <row r="341" spans="1:11" hidden="1" x14ac:dyDescent="0.3">
      <c r="A341" s="2">
        <f t="shared" si="20"/>
        <v>337</v>
      </c>
      <c r="B341" s="3"/>
      <c r="C341" s="4"/>
      <c r="D341" s="9" t="str">
        <f>IF(C341="","",IFERROR(INDEX($E$5:$E$486,SUMPRODUCT(MAX(($C$5:$C$486=C341)*($A$5:$A$486&lt;A341)*$A$5:$A$486))),""))</f>
        <v/>
      </c>
      <c r="E341" s="4"/>
      <c r="F341" s="2">
        <f t="shared" si="21"/>
        <v>0</v>
      </c>
      <c r="G341" s="4" t="str">
        <f>IF(C341="","",IFERROR(VLOOKUP(C341,Listas!$A$2:$C$39,3,FALSE()),"Asigna combustible en hoja Listas"))</f>
        <v/>
      </c>
      <c r="H341" s="9"/>
      <c r="I341" s="10"/>
      <c r="J341" s="6">
        <f t="shared" si="22"/>
        <v>0</v>
      </c>
      <c r="K341" s="7">
        <f t="shared" si="23"/>
        <v>0</v>
      </c>
    </row>
    <row r="342" spans="1:11" hidden="1" x14ac:dyDescent="0.3">
      <c r="A342" s="2">
        <f t="shared" si="20"/>
        <v>338</v>
      </c>
      <c r="B342" s="3"/>
      <c r="C342" s="4"/>
      <c r="D342" s="9" t="str">
        <f>IF(C342="","",IFERROR(INDEX($E$5:$E$486,SUMPRODUCT(MAX(($C$5:$C$486=C342)*($A$5:$A$486&lt;A342)*$A$5:$A$486))),""))</f>
        <v/>
      </c>
      <c r="E342" s="4"/>
      <c r="F342" s="2">
        <f t="shared" si="21"/>
        <v>0</v>
      </c>
      <c r="G342" s="4" t="str">
        <f>IF(C342="","",IFERROR(VLOOKUP(C342,Listas!$A$2:$C$39,3,FALSE()),"Asigna combustible en hoja Listas"))</f>
        <v/>
      </c>
      <c r="H342" s="9"/>
      <c r="I342" s="10"/>
      <c r="J342" s="6">
        <f t="shared" si="22"/>
        <v>0</v>
      </c>
      <c r="K342" s="7">
        <f t="shared" si="23"/>
        <v>0</v>
      </c>
    </row>
    <row r="343" spans="1:11" hidden="1" x14ac:dyDescent="0.3">
      <c r="A343" s="2">
        <f t="shared" si="20"/>
        <v>339</v>
      </c>
      <c r="B343" s="3"/>
      <c r="C343" s="4"/>
      <c r="D343" s="9" t="str">
        <f>IF(C343="","",IFERROR(INDEX($E$5:$E$486,SUMPRODUCT(MAX(($C$5:$C$486=C343)*($A$5:$A$486&lt;A343)*$A$5:$A$486))),""))</f>
        <v/>
      </c>
      <c r="E343" s="4"/>
      <c r="F343" s="2">
        <f t="shared" si="21"/>
        <v>0</v>
      </c>
      <c r="G343" s="4" t="str">
        <f>IF(C343="","",IFERROR(VLOOKUP(C343,Listas!$A$2:$C$39,3,FALSE()),"Asigna combustible en hoja Listas"))</f>
        <v/>
      </c>
      <c r="H343" s="9"/>
      <c r="I343" s="10"/>
      <c r="J343" s="6">
        <f t="shared" si="22"/>
        <v>0</v>
      </c>
      <c r="K343" s="7">
        <f t="shared" si="23"/>
        <v>0</v>
      </c>
    </row>
    <row r="344" spans="1:11" hidden="1" x14ac:dyDescent="0.3">
      <c r="A344" s="2">
        <f t="shared" si="20"/>
        <v>340</v>
      </c>
      <c r="B344" s="3"/>
      <c r="C344" s="4"/>
      <c r="D344" s="9" t="str">
        <f>IF(C344="","",IFERROR(INDEX($E$5:$E$486,SUMPRODUCT(MAX(($C$5:$C$486=C344)*($A$5:$A$486&lt;A344)*$A$5:$A$486))),""))</f>
        <v/>
      </c>
      <c r="E344" s="4"/>
      <c r="F344" s="2">
        <f t="shared" si="21"/>
        <v>0</v>
      </c>
      <c r="G344" s="4" t="str">
        <f>IF(C344="","",IFERROR(VLOOKUP(C344,Listas!$A$2:$C$39,3,FALSE()),"Asigna combustible en hoja Listas"))</f>
        <v/>
      </c>
      <c r="H344" s="9"/>
      <c r="I344" s="10"/>
      <c r="J344" s="6">
        <f t="shared" si="22"/>
        <v>0</v>
      </c>
      <c r="K344" s="7">
        <f t="shared" si="23"/>
        <v>0</v>
      </c>
    </row>
    <row r="345" spans="1:11" hidden="1" x14ac:dyDescent="0.3">
      <c r="A345" s="2">
        <f t="shared" si="20"/>
        <v>341</v>
      </c>
      <c r="B345" s="3"/>
      <c r="C345" s="4"/>
      <c r="D345" s="9" t="str">
        <f>IF(C345="","",IFERROR(INDEX($E$5:$E$486,SUMPRODUCT(MAX(($C$5:$C$486=C345)*($A$5:$A$486&lt;A345)*$A$5:$A$486))),""))</f>
        <v/>
      </c>
      <c r="E345" s="4"/>
      <c r="F345" s="2">
        <f t="shared" si="21"/>
        <v>0</v>
      </c>
      <c r="G345" s="4" t="str">
        <f>IF(C345="","",IFERROR(VLOOKUP(C345,Listas!$A$2:$C$39,3,FALSE()),"Asigna combustible en hoja Listas"))</f>
        <v/>
      </c>
      <c r="H345" s="9"/>
      <c r="I345" s="10"/>
      <c r="J345" s="6">
        <f t="shared" si="22"/>
        <v>0</v>
      </c>
      <c r="K345" s="7">
        <f t="shared" si="23"/>
        <v>0</v>
      </c>
    </row>
    <row r="346" spans="1:11" hidden="1" x14ac:dyDescent="0.3">
      <c r="A346" s="2">
        <f t="shared" si="20"/>
        <v>342</v>
      </c>
      <c r="B346" s="3"/>
      <c r="C346" s="4"/>
      <c r="D346" s="9" t="str">
        <f>IF(C346="","",IFERROR(INDEX($E$5:$E$486,SUMPRODUCT(MAX(($C$5:$C$486=C346)*($A$5:$A$486&lt;A346)*$A$5:$A$486))),""))</f>
        <v/>
      </c>
      <c r="E346" s="4"/>
      <c r="F346" s="2">
        <f t="shared" si="21"/>
        <v>0</v>
      </c>
      <c r="G346" s="4" t="str">
        <f>IF(C346="","",IFERROR(VLOOKUP(C346,Listas!$A$2:$C$39,3,FALSE()),"Asigna combustible en hoja Listas"))</f>
        <v/>
      </c>
      <c r="H346" s="9"/>
      <c r="I346" s="10"/>
      <c r="J346" s="6">
        <f t="shared" si="22"/>
        <v>0</v>
      </c>
      <c r="K346" s="7">
        <f t="shared" si="23"/>
        <v>0</v>
      </c>
    </row>
    <row r="347" spans="1:11" hidden="1" x14ac:dyDescent="0.3">
      <c r="A347" s="2">
        <f t="shared" si="20"/>
        <v>343</v>
      </c>
      <c r="B347" s="3"/>
      <c r="C347" s="4"/>
      <c r="D347" s="9" t="str">
        <f>IF(C347="","",IFERROR(INDEX($E$5:$E$486,SUMPRODUCT(MAX(($C$5:$C$486=C347)*($A$5:$A$486&lt;A347)*$A$5:$A$486))),""))</f>
        <v/>
      </c>
      <c r="E347" s="4"/>
      <c r="F347" s="2">
        <f t="shared" si="21"/>
        <v>0</v>
      </c>
      <c r="G347" s="4" t="str">
        <f>IF(C347="","",IFERROR(VLOOKUP(C347,Listas!$A$2:$C$39,3,FALSE()),"Asigna combustible en hoja Listas"))</f>
        <v/>
      </c>
      <c r="H347" s="9"/>
      <c r="I347" s="10"/>
      <c r="J347" s="6">
        <f t="shared" si="22"/>
        <v>0</v>
      </c>
      <c r="K347" s="7">
        <f t="shared" si="23"/>
        <v>0</v>
      </c>
    </row>
    <row r="348" spans="1:11" hidden="1" x14ac:dyDescent="0.3">
      <c r="A348" s="2">
        <f t="shared" si="20"/>
        <v>344</v>
      </c>
      <c r="B348" s="3"/>
      <c r="C348" s="4"/>
      <c r="D348" s="9" t="str">
        <f>IF(C348="","",IFERROR(INDEX($E$5:$E$486,SUMPRODUCT(MAX(($C$5:$C$486=C348)*($A$5:$A$486&lt;A348)*$A$5:$A$486))),""))</f>
        <v/>
      </c>
      <c r="E348" s="4"/>
      <c r="F348" s="2">
        <f t="shared" si="21"/>
        <v>0</v>
      </c>
      <c r="G348" s="4" t="str">
        <f>IF(C348="","",IFERROR(VLOOKUP(C348,Listas!$A$2:$C$39,3,FALSE()),"Asigna combustible en hoja Listas"))</f>
        <v/>
      </c>
      <c r="H348" s="9"/>
      <c r="I348" s="10"/>
      <c r="J348" s="6">
        <f t="shared" si="22"/>
        <v>0</v>
      </c>
      <c r="K348" s="7">
        <f t="shared" si="23"/>
        <v>0</v>
      </c>
    </row>
    <row r="349" spans="1:11" hidden="1" x14ac:dyDescent="0.3">
      <c r="A349" s="2">
        <f t="shared" si="20"/>
        <v>345</v>
      </c>
      <c r="B349" s="3"/>
      <c r="C349" s="4"/>
      <c r="D349" s="9" t="str">
        <f>IF(C349="","",IFERROR(INDEX($E$5:$E$486,SUMPRODUCT(MAX(($C$5:$C$486=C349)*($A$5:$A$486&lt;A349)*$A$5:$A$486))),""))</f>
        <v/>
      </c>
      <c r="E349" s="4"/>
      <c r="F349" s="2">
        <f t="shared" si="21"/>
        <v>0</v>
      </c>
      <c r="G349" s="4" t="str">
        <f>IF(C349="","",IFERROR(VLOOKUP(C349,Listas!$A$2:$C$39,3,FALSE()),"Asigna combustible en hoja Listas"))</f>
        <v/>
      </c>
      <c r="H349" s="9"/>
      <c r="I349" s="10"/>
      <c r="J349" s="6">
        <f t="shared" si="22"/>
        <v>0</v>
      </c>
      <c r="K349" s="7">
        <f t="shared" si="23"/>
        <v>0</v>
      </c>
    </row>
    <row r="350" spans="1:11" hidden="1" x14ac:dyDescent="0.3">
      <c r="A350" s="2">
        <f t="shared" si="20"/>
        <v>346</v>
      </c>
      <c r="B350" s="3"/>
      <c r="C350" s="4"/>
      <c r="D350" s="9" t="str">
        <f>IF(C350="","",IFERROR(INDEX($E$5:$E$486,SUMPRODUCT(MAX(($C$5:$C$486=C350)*($A$5:$A$486&lt;A350)*$A$5:$A$486))),""))</f>
        <v/>
      </c>
      <c r="E350" s="4"/>
      <c r="F350" s="2">
        <f t="shared" si="21"/>
        <v>0</v>
      </c>
      <c r="G350" s="4" t="str">
        <f>IF(C350="","",IFERROR(VLOOKUP(C350,Listas!$A$2:$C$39,3,FALSE()),"Asigna combustible en hoja Listas"))</f>
        <v/>
      </c>
      <c r="H350" s="9"/>
      <c r="I350" s="10"/>
      <c r="J350" s="6">
        <f t="shared" si="22"/>
        <v>0</v>
      </c>
      <c r="K350" s="7">
        <f t="shared" si="23"/>
        <v>0</v>
      </c>
    </row>
    <row r="351" spans="1:11" hidden="1" x14ac:dyDescent="0.3">
      <c r="A351" s="2">
        <f t="shared" si="20"/>
        <v>347</v>
      </c>
      <c r="B351" s="3"/>
      <c r="C351" s="4"/>
      <c r="D351" s="9" t="str">
        <f>IF(C351="","",IFERROR(INDEX($E$5:$E$486,SUMPRODUCT(MAX(($C$5:$C$486=C351)*($A$5:$A$486&lt;A351)*$A$5:$A$486))),""))</f>
        <v/>
      </c>
      <c r="E351" s="4"/>
      <c r="F351" s="2">
        <f t="shared" si="21"/>
        <v>0</v>
      </c>
      <c r="G351" s="4" t="str">
        <f>IF(C351="","",IFERROR(VLOOKUP(C351,Listas!$A$2:$C$39,3,FALSE()),"Asigna combustible en hoja Listas"))</f>
        <v/>
      </c>
      <c r="H351" s="9"/>
      <c r="I351" s="10"/>
      <c r="J351" s="6">
        <f t="shared" si="22"/>
        <v>0</v>
      </c>
      <c r="K351" s="7">
        <f t="shared" si="23"/>
        <v>0</v>
      </c>
    </row>
    <row r="352" spans="1:11" hidden="1" x14ac:dyDescent="0.3">
      <c r="A352" s="2">
        <f t="shared" si="20"/>
        <v>348</v>
      </c>
      <c r="B352" s="3"/>
      <c r="C352" s="4"/>
      <c r="D352" s="9" t="str">
        <f>IF(C352="","",IFERROR(INDEX($E$5:$E$486,SUMPRODUCT(MAX(($C$5:$C$486=C352)*($A$5:$A$486&lt;A352)*$A$5:$A$486))),""))</f>
        <v/>
      </c>
      <c r="E352" s="4"/>
      <c r="F352" s="2">
        <f t="shared" si="21"/>
        <v>0</v>
      </c>
      <c r="G352" s="4" t="str">
        <f>IF(C352="","",IFERROR(VLOOKUP(C352,Listas!$A$2:$C$39,3,FALSE()),"Asigna combustible en hoja Listas"))</f>
        <v/>
      </c>
      <c r="H352" s="9"/>
      <c r="I352" s="10"/>
      <c r="J352" s="6">
        <f t="shared" si="22"/>
        <v>0</v>
      </c>
      <c r="K352" s="7">
        <f t="shared" si="23"/>
        <v>0</v>
      </c>
    </row>
    <row r="353" spans="1:11" hidden="1" x14ac:dyDescent="0.3">
      <c r="A353" s="2">
        <f t="shared" si="20"/>
        <v>349</v>
      </c>
      <c r="B353" s="3"/>
      <c r="C353" s="4"/>
      <c r="D353" s="9" t="str">
        <f>IF(C353="","",IFERROR(INDEX($E$5:$E$486,SUMPRODUCT(MAX(($C$5:$C$486=C353)*($A$5:$A$486&lt;A353)*$A$5:$A$486))),""))</f>
        <v/>
      </c>
      <c r="E353" s="4"/>
      <c r="F353" s="2">
        <f t="shared" si="21"/>
        <v>0</v>
      </c>
      <c r="G353" s="4" t="str">
        <f>IF(C353="","",IFERROR(VLOOKUP(C353,Listas!$A$2:$C$39,3,FALSE()),"Asigna combustible en hoja Listas"))</f>
        <v/>
      </c>
      <c r="H353" s="9"/>
      <c r="I353" s="10"/>
      <c r="J353" s="6">
        <f t="shared" si="22"/>
        <v>0</v>
      </c>
      <c r="K353" s="7">
        <f t="shared" si="23"/>
        <v>0</v>
      </c>
    </row>
    <row r="354" spans="1:11" hidden="1" x14ac:dyDescent="0.3">
      <c r="A354" s="2">
        <f t="shared" si="20"/>
        <v>350</v>
      </c>
      <c r="B354" s="3"/>
      <c r="C354" s="4"/>
      <c r="D354" s="9" t="str">
        <f>IF(C354="","",IFERROR(INDEX($E$5:$E$486,SUMPRODUCT(MAX(($C$5:$C$486=C354)*($A$5:$A$486&lt;A354)*$A$5:$A$486))),""))</f>
        <v/>
      </c>
      <c r="E354" s="4"/>
      <c r="F354" s="2">
        <f t="shared" si="21"/>
        <v>0</v>
      </c>
      <c r="G354" s="4" t="str">
        <f>IF(C354="","",IFERROR(VLOOKUP(C354,Listas!$A$2:$C$39,3,FALSE()),"Asigna combustible en hoja Listas"))</f>
        <v/>
      </c>
      <c r="H354" s="9"/>
      <c r="I354" s="10"/>
      <c r="J354" s="6">
        <f t="shared" si="22"/>
        <v>0</v>
      </c>
      <c r="K354" s="7">
        <f t="shared" si="23"/>
        <v>0</v>
      </c>
    </row>
    <row r="355" spans="1:11" hidden="1" x14ac:dyDescent="0.3">
      <c r="A355" s="2">
        <f t="shared" si="20"/>
        <v>351</v>
      </c>
      <c r="B355" s="3"/>
      <c r="C355" s="4"/>
      <c r="D355" s="9" t="str">
        <f>IF(C355="","",IFERROR(INDEX($E$5:$E$486,SUMPRODUCT(MAX(($C$5:$C$486=C355)*($A$5:$A$486&lt;A355)*$A$5:$A$486))),""))</f>
        <v/>
      </c>
      <c r="E355" s="4"/>
      <c r="F355" s="2">
        <f t="shared" si="21"/>
        <v>0</v>
      </c>
      <c r="G355" s="4" t="str">
        <f>IF(C355="","",IFERROR(VLOOKUP(C355,Listas!$A$2:$C$39,3,FALSE()),"Asigna combustible en hoja Listas"))</f>
        <v/>
      </c>
      <c r="H355" s="9"/>
      <c r="I355" s="10"/>
      <c r="J355" s="6">
        <f t="shared" si="22"/>
        <v>0</v>
      </c>
      <c r="K355" s="7">
        <f t="shared" si="23"/>
        <v>0</v>
      </c>
    </row>
    <row r="356" spans="1:11" hidden="1" x14ac:dyDescent="0.3">
      <c r="A356" s="2">
        <f t="shared" si="20"/>
        <v>352</v>
      </c>
      <c r="B356" s="3"/>
      <c r="C356" s="4"/>
      <c r="D356" s="9" t="str">
        <f>IF(C356="","",IFERROR(INDEX($E$5:$E$486,SUMPRODUCT(MAX(($C$5:$C$486=C356)*($A$5:$A$486&lt;A356)*$A$5:$A$486))),""))</f>
        <v/>
      </c>
      <c r="E356" s="4"/>
      <c r="F356" s="2">
        <f t="shared" si="21"/>
        <v>0</v>
      </c>
      <c r="G356" s="4" t="str">
        <f>IF(C356="","",IFERROR(VLOOKUP(C356,Listas!$A$2:$C$39,3,FALSE()),"Asigna combustible en hoja Listas"))</f>
        <v/>
      </c>
      <c r="H356" s="9"/>
      <c r="I356" s="10"/>
      <c r="J356" s="6">
        <f t="shared" si="22"/>
        <v>0</v>
      </c>
      <c r="K356" s="7">
        <f t="shared" si="23"/>
        <v>0</v>
      </c>
    </row>
    <row r="357" spans="1:11" hidden="1" x14ac:dyDescent="0.3">
      <c r="A357" s="2">
        <f t="shared" si="20"/>
        <v>353</v>
      </c>
      <c r="B357" s="3"/>
      <c r="C357" s="4"/>
      <c r="D357" s="9" t="str">
        <f>IF(C357="","",IFERROR(INDEX($E$5:$E$486,SUMPRODUCT(MAX(($C$5:$C$486=C357)*($A$5:$A$486&lt;A357)*$A$5:$A$486))),""))</f>
        <v/>
      </c>
      <c r="E357" s="4"/>
      <c r="F357" s="2">
        <f t="shared" si="21"/>
        <v>0</v>
      </c>
      <c r="G357" s="4" t="str">
        <f>IF(C357="","",IFERROR(VLOOKUP(C357,Listas!$A$2:$C$39,3,FALSE()),"Asigna combustible en hoja Listas"))</f>
        <v/>
      </c>
      <c r="H357" s="9"/>
      <c r="I357" s="10"/>
      <c r="J357" s="6">
        <f t="shared" si="22"/>
        <v>0</v>
      </c>
      <c r="K357" s="7">
        <f t="shared" si="23"/>
        <v>0</v>
      </c>
    </row>
    <row r="358" spans="1:11" hidden="1" x14ac:dyDescent="0.3">
      <c r="A358" s="2">
        <f t="shared" si="20"/>
        <v>354</v>
      </c>
      <c r="B358" s="3"/>
      <c r="C358" s="4"/>
      <c r="D358" s="9" t="str">
        <f>IF(C358="","",IFERROR(INDEX($E$5:$E$486,SUMPRODUCT(MAX(($C$5:$C$486=C358)*($A$5:$A$486&lt;A358)*$A$5:$A$486))),""))</f>
        <v/>
      </c>
      <c r="E358" s="4"/>
      <c r="F358" s="2">
        <f t="shared" si="21"/>
        <v>0</v>
      </c>
      <c r="G358" s="4" t="str">
        <f>IF(C358="","",IFERROR(VLOOKUP(C358,Listas!$A$2:$C$39,3,FALSE()),"Asigna combustible en hoja Listas"))</f>
        <v/>
      </c>
      <c r="H358" s="9"/>
      <c r="I358" s="10"/>
      <c r="J358" s="6">
        <f t="shared" si="22"/>
        <v>0</v>
      </c>
      <c r="K358" s="7">
        <f t="shared" si="23"/>
        <v>0</v>
      </c>
    </row>
    <row r="359" spans="1:11" hidden="1" x14ac:dyDescent="0.3">
      <c r="A359" s="2">
        <f t="shared" si="20"/>
        <v>355</v>
      </c>
      <c r="B359" s="3"/>
      <c r="C359" s="4"/>
      <c r="D359" s="9" t="str">
        <f>IF(C359="","",IFERROR(INDEX($E$5:$E$486,SUMPRODUCT(MAX(($C$5:$C$486=C359)*($A$5:$A$486&lt;A359)*$A$5:$A$486))),""))</f>
        <v/>
      </c>
      <c r="E359" s="4"/>
      <c r="F359" s="2">
        <f t="shared" si="21"/>
        <v>0</v>
      </c>
      <c r="G359" s="4" t="str">
        <f>IF(C359="","",IFERROR(VLOOKUP(C359,Listas!$A$2:$C$39,3,FALSE()),"Asigna combustible en hoja Listas"))</f>
        <v/>
      </c>
      <c r="H359" s="9"/>
      <c r="I359" s="10"/>
      <c r="J359" s="6">
        <f t="shared" si="22"/>
        <v>0</v>
      </c>
      <c r="K359" s="7">
        <f t="shared" si="23"/>
        <v>0</v>
      </c>
    </row>
    <row r="360" spans="1:11" hidden="1" x14ac:dyDescent="0.3">
      <c r="A360" s="2">
        <f t="shared" si="20"/>
        <v>356</v>
      </c>
      <c r="B360" s="3"/>
      <c r="C360" s="4"/>
      <c r="D360" s="9" t="str">
        <f>IF(C360="","",IFERROR(INDEX($E$5:$E$486,SUMPRODUCT(MAX(($C$5:$C$486=C360)*($A$5:$A$486&lt;A360)*$A$5:$A$486))),""))</f>
        <v/>
      </c>
      <c r="E360" s="4"/>
      <c r="F360" s="2">
        <f t="shared" si="21"/>
        <v>0</v>
      </c>
      <c r="G360" s="4" t="str">
        <f>IF(C360="","",IFERROR(VLOOKUP(C360,Listas!$A$2:$C$39,3,FALSE()),"Asigna combustible en hoja Listas"))</f>
        <v/>
      </c>
      <c r="H360" s="9"/>
      <c r="I360" s="10"/>
      <c r="J360" s="6">
        <f t="shared" si="22"/>
        <v>0</v>
      </c>
      <c r="K360" s="7">
        <f t="shared" si="23"/>
        <v>0</v>
      </c>
    </row>
    <row r="361" spans="1:11" hidden="1" x14ac:dyDescent="0.3">
      <c r="A361" s="2">
        <f t="shared" si="20"/>
        <v>357</v>
      </c>
      <c r="B361" s="3"/>
      <c r="C361" s="4"/>
      <c r="D361" s="9" t="str">
        <f>IF(C361="","",IFERROR(INDEX($E$5:$E$486,SUMPRODUCT(MAX(($C$5:$C$486=C361)*($A$5:$A$486&lt;A361)*$A$5:$A$486))),""))</f>
        <v/>
      </c>
      <c r="E361" s="4"/>
      <c r="F361" s="2">
        <f t="shared" si="21"/>
        <v>0</v>
      </c>
      <c r="G361" s="4" t="str">
        <f>IF(C361="","",IFERROR(VLOOKUP(C361,Listas!$A$2:$C$39,3,FALSE()),"Asigna combustible en hoja Listas"))</f>
        <v/>
      </c>
      <c r="H361" s="9"/>
      <c r="I361" s="10"/>
      <c r="J361" s="6">
        <f t="shared" si="22"/>
        <v>0</v>
      </c>
      <c r="K361" s="7">
        <f t="shared" si="23"/>
        <v>0</v>
      </c>
    </row>
    <row r="362" spans="1:11" hidden="1" x14ac:dyDescent="0.3">
      <c r="A362" s="2">
        <f t="shared" si="20"/>
        <v>358</v>
      </c>
      <c r="B362" s="3"/>
      <c r="C362" s="4"/>
      <c r="D362" s="9" t="str">
        <f>IF(C362="","",IFERROR(INDEX($E$5:$E$486,SUMPRODUCT(MAX(($C$5:$C$486=C362)*($A$5:$A$486&lt;A362)*$A$5:$A$486))),""))</f>
        <v/>
      </c>
      <c r="E362" s="4"/>
      <c r="F362" s="2">
        <f t="shared" si="21"/>
        <v>0</v>
      </c>
      <c r="G362" s="4" t="str">
        <f>IF(C362="","",IFERROR(VLOOKUP(C362,Listas!$A$2:$C$39,3,FALSE()),"Asigna combustible en hoja Listas"))</f>
        <v/>
      </c>
      <c r="H362" s="9"/>
      <c r="I362" s="10"/>
      <c r="J362" s="6">
        <f t="shared" si="22"/>
        <v>0</v>
      </c>
      <c r="K362" s="7">
        <f t="shared" si="23"/>
        <v>0</v>
      </c>
    </row>
    <row r="363" spans="1:11" hidden="1" x14ac:dyDescent="0.3">
      <c r="A363" s="2">
        <f t="shared" si="20"/>
        <v>359</v>
      </c>
      <c r="B363" s="3"/>
      <c r="C363" s="4"/>
      <c r="D363" s="9" t="str">
        <f>IF(C363="","",IFERROR(INDEX($E$5:$E$486,SUMPRODUCT(MAX(($C$5:$C$486=C363)*($A$5:$A$486&lt;A363)*$A$5:$A$486))),""))</f>
        <v/>
      </c>
      <c r="E363" s="4"/>
      <c r="F363" s="2">
        <f t="shared" si="21"/>
        <v>0</v>
      </c>
      <c r="G363" s="4" t="str">
        <f>IF(C363="","",IFERROR(VLOOKUP(C363,Listas!$A$2:$C$39,3,FALSE()),"Asigna combustible en hoja Listas"))</f>
        <v/>
      </c>
      <c r="H363" s="9"/>
      <c r="I363" s="10"/>
      <c r="J363" s="6">
        <f t="shared" si="22"/>
        <v>0</v>
      </c>
      <c r="K363" s="7">
        <f t="shared" si="23"/>
        <v>0</v>
      </c>
    </row>
    <row r="364" spans="1:11" hidden="1" x14ac:dyDescent="0.3">
      <c r="A364" s="2">
        <f t="shared" si="20"/>
        <v>360</v>
      </c>
      <c r="B364" s="3"/>
      <c r="C364" s="4"/>
      <c r="D364" s="9" t="str">
        <f>IF(C364="","",IFERROR(INDEX($E$5:$E$486,SUMPRODUCT(MAX(($C$5:$C$486=C364)*($A$5:$A$486&lt;A364)*$A$5:$A$486))),""))</f>
        <v/>
      </c>
      <c r="E364" s="4"/>
      <c r="F364" s="2">
        <f t="shared" si="21"/>
        <v>0</v>
      </c>
      <c r="G364" s="4" t="str">
        <f>IF(C364="","",IFERROR(VLOOKUP(C364,Listas!$A$2:$C$39,3,FALSE()),"Asigna combustible en hoja Listas"))</f>
        <v/>
      </c>
      <c r="H364" s="9"/>
      <c r="I364" s="10"/>
      <c r="J364" s="6">
        <f t="shared" si="22"/>
        <v>0</v>
      </c>
      <c r="K364" s="7">
        <f t="shared" si="23"/>
        <v>0</v>
      </c>
    </row>
    <row r="365" spans="1:11" hidden="1" x14ac:dyDescent="0.3">
      <c r="A365" s="2">
        <f t="shared" si="20"/>
        <v>361</v>
      </c>
      <c r="B365" s="3"/>
      <c r="C365" s="4"/>
      <c r="D365" s="9" t="str">
        <f>IF(C365="","",IFERROR(INDEX($E$5:$E$486,SUMPRODUCT(MAX(($C$5:$C$486=C365)*($A$5:$A$486&lt;A365)*$A$5:$A$486))),""))</f>
        <v/>
      </c>
      <c r="E365" s="4"/>
      <c r="F365" s="2">
        <f t="shared" si="21"/>
        <v>0</v>
      </c>
      <c r="G365" s="4" t="str">
        <f>IF(C365="","",IFERROR(VLOOKUP(C365,Listas!$A$2:$C$39,3,FALSE()),"Asigna combustible en hoja Listas"))</f>
        <v/>
      </c>
      <c r="H365" s="9"/>
      <c r="I365" s="10"/>
      <c r="J365" s="6">
        <f t="shared" si="22"/>
        <v>0</v>
      </c>
      <c r="K365" s="7">
        <f t="shared" si="23"/>
        <v>0</v>
      </c>
    </row>
    <row r="366" spans="1:11" hidden="1" x14ac:dyDescent="0.3">
      <c r="A366" s="2">
        <f t="shared" si="20"/>
        <v>362</v>
      </c>
      <c r="B366" s="3"/>
      <c r="C366" s="4"/>
      <c r="D366" s="9" t="str">
        <f>IF(C366="","",IFERROR(INDEX($E$5:$E$486,SUMPRODUCT(MAX(($C$5:$C$486=C366)*($A$5:$A$486&lt;A366)*$A$5:$A$486))),""))</f>
        <v/>
      </c>
      <c r="E366" s="4"/>
      <c r="F366" s="2">
        <f t="shared" si="21"/>
        <v>0</v>
      </c>
      <c r="G366" s="4" t="str">
        <f>IF(C366="","",IFERROR(VLOOKUP(C366,Listas!$A$2:$C$39,3,FALSE()),"Asigna combustible en hoja Listas"))</f>
        <v/>
      </c>
      <c r="H366" s="9"/>
      <c r="I366" s="10"/>
      <c r="J366" s="6">
        <f t="shared" si="22"/>
        <v>0</v>
      </c>
      <c r="K366" s="7">
        <f t="shared" si="23"/>
        <v>0</v>
      </c>
    </row>
    <row r="367" spans="1:11" hidden="1" x14ac:dyDescent="0.3">
      <c r="A367" s="2">
        <f t="shared" si="20"/>
        <v>363</v>
      </c>
      <c r="B367" s="3"/>
      <c r="C367" s="4"/>
      <c r="D367" s="9" t="str">
        <f>IF(C367="","",IFERROR(INDEX($E$5:$E$486,SUMPRODUCT(MAX(($C$5:$C$486=C367)*($A$5:$A$486&lt;A367)*$A$5:$A$486))),""))</f>
        <v/>
      </c>
      <c r="E367" s="4"/>
      <c r="F367" s="2">
        <f t="shared" si="21"/>
        <v>0</v>
      </c>
      <c r="G367" s="4" t="str">
        <f>IF(C367="","",IFERROR(VLOOKUP(C367,Listas!$A$2:$C$39,3,FALSE()),"Asigna combustible en hoja Listas"))</f>
        <v/>
      </c>
      <c r="H367" s="9"/>
      <c r="I367" s="10"/>
      <c r="J367" s="6">
        <f t="shared" si="22"/>
        <v>0</v>
      </c>
      <c r="K367" s="7">
        <f t="shared" si="23"/>
        <v>0</v>
      </c>
    </row>
    <row r="368" spans="1:11" hidden="1" x14ac:dyDescent="0.3">
      <c r="A368" s="2">
        <f t="shared" si="20"/>
        <v>364</v>
      </c>
      <c r="B368" s="3"/>
      <c r="C368" s="4"/>
      <c r="D368" s="9" t="str">
        <f>IF(C368="","",IFERROR(INDEX($E$5:$E$486,SUMPRODUCT(MAX(($C$5:$C$486=C368)*($A$5:$A$486&lt;A368)*$A$5:$A$486))),""))</f>
        <v/>
      </c>
      <c r="E368" s="4"/>
      <c r="F368" s="2">
        <f t="shared" si="21"/>
        <v>0</v>
      </c>
      <c r="G368" s="4" t="str">
        <f>IF(C368="","",IFERROR(VLOOKUP(C368,Listas!$A$2:$C$39,3,FALSE()),"Asigna combustible en hoja Listas"))</f>
        <v/>
      </c>
      <c r="H368" s="9"/>
      <c r="I368" s="10"/>
      <c r="J368" s="6">
        <f t="shared" si="22"/>
        <v>0</v>
      </c>
      <c r="K368" s="7">
        <f t="shared" si="23"/>
        <v>0</v>
      </c>
    </row>
    <row r="369" spans="1:11" hidden="1" x14ac:dyDescent="0.3">
      <c r="A369" s="2">
        <f t="shared" si="20"/>
        <v>365</v>
      </c>
      <c r="B369" s="3"/>
      <c r="C369" s="4"/>
      <c r="D369" s="9" t="str">
        <f>IF(C369="","",IFERROR(INDEX($E$5:$E$486,SUMPRODUCT(MAX(($C$5:$C$486=C369)*($A$5:$A$486&lt;A369)*$A$5:$A$486))),""))</f>
        <v/>
      </c>
      <c r="E369" s="4"/>
      <c r="F369" s="2">
        <f t="shared" si="21"/>
        <v>0</v>
      </c>
      <c r="G369" s="4" t="str">
        <f>IF(C369="","",IFERROR(VLOOKUP(C369,Listas!$A$2:$C$39,3,FALSE()),"Asigna combustible en hoja Listas"))</f>
        <v/>
      </c>
      <c r="H369" s="9"/>
      <c r="I369" s="10"/>
      <c r="J369" s="6">
        <f t="shared" si="22"/>
        <v>0</v>
      </c>
      <c r="K369" s="7">
        <f t="shared" si="23"/>
        <v>0</v>
      </c>
    </row>
    <row r="370" spans="1:11" hidden="1" x14ac:dyDescent="0.3">
      <c r="A370" s="2">
        <f t="shared" si="20"/>
        <v>366</v>
      </c>
      <c r="B370" s="3"/>
      <c r="C370" s="4"/>
      <c r="D370" s="9" t="str">
        <f>IF(C370="","",IFERROR(INDEX($E$5:$E$486,SUMPRODUCT(MAX(($C$5:$C$486=C370)*($A$5:$A$486&lt;A370)*$A$5:$A$486))),""))</f>
        <v/>
      </c>
      <c r="E370" s="4"/>
      <c r="F370" s="2">
        <f t="shared" si="21"/>
        <v>0</v>
      </c>
      <c r="G370" s="4" t="str">
        <f>IF(C370="","",IFERROR(VLOOKUP(C370,Listas!$A$2:$C$39,3,FALSE()),"Asigna combustible en hoja Listas"))</f>
        <v/>
      </c>
      <c r="H370" s="9"/>
      <c r="I370" s="10"/>
      <c r="J370" s="6">
        <f t="shared" si="22"/>
        <v>0</v>
      </c>
      <c r="K370" s="7">
        <f t="shared" si="23"/>
        <v>0</v>
      </c>
    </row>
    <row r="371" spans="1:11" hidden="1" x14ac:dyDescent="0.3">
      <c r="A371" s="2">
        <f t="shared" si="20"/>
        <v>367</v>
      </c>
      <c r="B371" s="3"/>
      <c r="C371" s="4"/>
      <c r="D371" s="9" t="str">
        <f>IF(C371="","",IFERROR(INDEX($E$5:$E$486,SUMPRODUCT(MAX(($C$5:$C$486=C371)*($A$5:$A$486&lt;A371)*$A$5:$A$486))),""))</f>
        <v/>
      </c>
      <c r="E371" s="4"/>
      <c r="F371" s="2">
        <f t="shared" si="21"/>
        <v>0</v>
      </c>
      <c r="G371" s="4" t="str">
        <f>IF(C371="","",IFERROR(VLOOKUP(C371,Listas!$A$2:$C$39,3,FALSE()),"Asigna combustible en hoja Listas"))</f>
        <v/>
      </c>
      <c r="H371" s="9"/>
      <c r="I371" s="10"/>
      <c r="J371" s="6">
        <f t="shared" si="22"/>
        <v>0</v>
      </c>
      <c r="K371" s="7">
        <f t="shared" si="23"/>
        <v>0</v>
      </c>
    </row>
    <row r="372" spans="1:11" hidden="1" x14ac:dyDescent="0.3">
      <c r="A372" s="2">
        <f t="shared" si="20"/>
        <v>368</v>
      </c>
      <c r="B372" s="3"/>
      <c r="C372" s="4"/>
      <c r="D372" s="9" t="str">
        <f>IF(C372="","",IFERROR(INDEX($E$5:$E$486,SUMPRODUCT(MAX(($C$5:$C$486=C372)*($A$5:$A$486&lt;A372)*$A$5:$A$486))),""))</f>
        <v/>
      </c>
      <c r="E372" s="4"/>
      <c r="F372" s="2">
        <f t="shared" si="21"/>
        <v>0</v>
      </c>
      <c r="G372" s="4" t="str">
        <f>IF(C372="","",IFERROR(VLOOKUP(C372,Listas!$A$2:$C$39,3,FALSE()),"Asigna combustible en hoja Listas"))</f>
        <v/>
      </c>
      <c r="H372" s="9"/>
      <c r="I372" s="10"/>
      <c r="J372" s="6">
        <f t="shared" si="22"/>
        <v>0</v>
      </c>
      <c r="K372" s="7">
        <f t="shared" si="23"/>
        <v>0</v>
      </c>
    </row>
    <row r="373" spans="1:11" hidden="1" x14ac:dyDescent="0.3">
      <c r="A373" s="2">
        <f t="shared" si="20"/>
        <v>369</v>
      </c>
      <c r="B373" s="3"/>
      <c r="C373" s="4"/>
      <c r="D373" s="9" t="str">
        <f>IF(C373="","",IFERROR(INDEX($E$5:$E$486,SUMPRODUCT(MAX(($C$5:$C$486=C373)*($A$5:$A$486&lt;A373)*$A$5:$A$486))),""))</f>
        <v/>
      </c>
      <c r="E373" s="4"/>
      <c r="F373" s="2">
        <f t="shared" si="21"/>
        <v>0</v>
      </c>
      <c r="G373" s="4" t="str">
        <f>IF(C373="","",IFERROR(VLOOKUP(C373,Listas!$A$2:$C$39,3,FALSE()),"Asigna combustible en hoja Listas"))</f>
        <v/>
      </c>
      <c r="H373" s="9"/>
      <c r="I373" s="10"/>
      <c r="J373" s="6">
        <f t="shared" si="22"/>
        <v>0</v>
      </c>
      <c r="K373" s="7">
        <f t="shared" si="23"/>
        <v>0</v>
      </c>
    </row>
    <row r="374" spans="1:11" hidden="1" x14ac:dyDescent="0.3">
      <c r="A374" s="2">
        <f t="shared" si="20"/>
        <v>370</v>
      </c>
      <c r="B374" s="8"/>
      <c r="C374" s="4"/>
      <c r="D374" s="9" t="str">
        <f>IF(C374="","",IFERROR(INDEX($E$5:$E$486,SUMPRODUCT(MAX(($C$5:$C$486=C374)*($A$5:$A$486&lt;A374)*$A$5:$A$486))),""))</f>
        <v/>
      </c>
      <c r="E374" s="9"/>
      <c r="F374" s="2">
        <f t="shared" si="21"/>
        <v>0</v>
      </c>
      <c r="G374" s="4" t="str">
        <f>IF(C374="","",IFERROR(VLOOKUP(C374,Listas!$A$2:$C$39,3,FALSE()),"Asigna combustible en hoja Listas"))</f>
        <v/>
      </c>
      <c r="H374" s="9"/>
      <c r="I374" s="10"/>
      <c r="J374" s="6">
        <f t="shared" si="22"/>
        <v>0</v>
      </c>
      <c r="K374" s="7">
        <f t="shared" si="23"/>
        <v>0</v>
      </c>
    </row>
    <row r="375" spans="1:11" hidden="1" x14ac:dyDescent="0.3">
      <c r="A375" s="2">
        <f t="shared" si="20"/>
        <v>371</v>
      </c>
      <c r="B375" s="8"/>
      <c r="C375" s="4"/>
      <c r="D375" s="9" t="str">
        <f>IF(C375="","",IFERROR(INDEX($E$5:$E$486,SUMPRODUCT(MAX(($C$5:$C$486=C375)*($A$5:$A$486&lt;A375)*$A$5:$A$486))),""))</f>
        <v/>
      </c>
      <c r="E375" s="9"/>
      <c r="F375" s="2">
        <f t="shared" si="21"/>
        <v>0</v>
      </c>
      <c r="G375" s="4" t="str">
        <f>IF(C375="","",IFERROR(VLOOKUP(C375,Listas!$A$2:$C$39,3,FALSE()),"Asigna combustible en hoja Listas"))</f>
        <v/>
      </c>
      <c r="H375" s="9"/>
      <c r="I375" s="10"/>
      <c r="J375" s="6">
        <f t="shared" si="22"/>
        <v>0</v>
      </c>
      <c r="K375" s="7">
        <f t="shared" si="23"/>
        <v>0</v>
      </c>
    </row>
    <row r="376" spans="1:11" hidden="1" x14ac:dyDescent="0.3">
      <c r="A376" s="2">
        <f t="shared" si="20"/>
        <v>372</v>
      </c>
      <c r="B376" s="8"/>
      <c r="C376" s="4"/>
      <c r="D376" s="9" t="str">
        <f>IF(C376="","",IFERROR(INDEX($E$5:$E$486,SUMPRODUCT(MAX(($C$5:$C$486=C376)*($A$5:$A$486&lt;A376)*$A$5:$A$486))),""))</f>
        <v/>
      </c>
      <c r="E376" s="9"/>
      <c r="F376" s="2">
        <f t="shared" si="21"/>
        <v>0</v>
      </c>
      <c r="G376" s="4" t="str">
        <f>IF(C376="","",IFERROR(VLOOKUP(C376,Listas!$A$2:$C$39,3,FALSE()),"Asigna combustible en hoja Listas"))</f>
        <v/>
      </c>
      <c r="H376" s="9"/>
      <c r="I376" s="10"/>
      <c r="J376" s="6">
        <f t="shared" si="22"/>
        <v>0</v>
      </c>
      <c r="K376" s="7">
        <f t="shared" si="23"/>
        <v>0</v>
      </c>
    </row>
    <row r="377" spans="1:11" hidden="1" x14ac:dyDescent="0.3">
      <c r="A377" s="2">
        <f t="shared" si="20"/>
        <v>373</v>
      </c>
      <c r="B377" s="8"/>
      <c r="C377" s="4"/>
      <c r="D377" s="9" t="str">
        <f>IF(C377="","",IFERROR(INDEX($E$5:$E$486,SUMPRODUCT(MAX(($C$5:$C$486=C377)*($A$5:$A$486&lt;A377)*$A$5:$A$486))),""))</f>
        <v/>
      </c>
      <c r="E377" s="9"/>
      <c r="F377" s="2">
        <f t="shared" si="21"/>
        <v>0</v>
      </c>
      <c r="G377" s="4" t="str">
        <f>IF(C377="","",IFERROR(VLOOKUP(C377,Listas!$A$2:$C$39,3,FALSE()),"Asigna combustible en hoja Listas"))</f>
        <v/>
      </c>
      <c r="H377" s="9"/>
      <c r="I377" s="10"/>
      <c r="J377" s="6">
        <f t="shared" si="22"/>
        <v>0</v>
      </c>
      <c r="K377" s="7">
        <f t="shared" si="23"/>
        <v>0</v>
      </c>
    </row>
    <row r="378" spans="1:11" hidden="1" x14ac:dyDescent="0.3">
      <c r="A378" s="2">
        <f t="shared" si="20"/>
        <v>374</v>
      </c>
      <c r="B378" s="8"/>
      <c r="C378" s="4"/>
      <c r="D378" s="9" t="str">
        <f>IF(C378="","",IFERROR(INDEX($E$5:$E$486,SUMPRODUCT(MAX(($C$5:$C$486=C378)*($A$5:$A$486&lt;A378)*$A$5:$A$486))),""))</f>
        <v/>
      </c>
      <c r="E378" s="9"/>
      <c r="F378" s="2">
        <f t="shared" si="21"/>
        <v>0</v>
      </c>
      <c r="G378" s="4" t="str">
        <f>IF(C378="","",IFERROR(VLOOKUP(C378,Listas!$A$2:$C$39,3,FALSE()),"Asigna combustible en hoja Listas"))</f>
        <v/>
      </c>
      <c r="H378" s="9"/>
      <c r="I378" s="10"/>
      <c r="J378" s="6">
        <f t="shared" si="22"/>
        <v>0</v>
      </c>
      <c r="K378" s="7">
        <f t="shared" si="23"/>
        <v>0</v>
      </c>
    </row>
    <row r="379" spans="1:11" hidden="1" x14ac:dyDescent="0.3">
      <c r="A379" s="2">
        <f t="shared" si="20"/>
        <v>375</v>
      </c>
      <c r="B379" s="8"/>
      <c r="C379" s="4"/>
      <c r="D379" s="9" t="str">
        <f>IF(C379="","",IFERROR(INDEX($E$5:$E$486,SUMPRODUCT(MAX(($C$5:$C$486=C379)*($A$5:$A$486&lt;A379)*$A$5:$A$486))),""))</f>
        <v/>
      </c>
      <c r="E379" s="9"/>
      <c r="F379" s="2">
        <f t="shared" si="21"/>
        <v>0</v>
      </c>
      <c r="G379" s="4" t="str">
        <f>IF(C379="","",IFERROR(VLOOKUP(C379,Listas!$A$2:$C$39,3,FALSE()),"Asigna combustible en hoja Listas"))</f>
        <v/>
      </c>
      <c r="H379" s="9"/>
      <c r="I379" s="10"/>
      <c r="J379" s="6">
        <f t="shared" si="22"/>
        <v>0</v>
      </c>
      <c r="K379" s="7">
        <f t="shared" si="23"/>
        <v>0</v>
      </c>
    </row>
    <row r="380" spans="1:11" hidden="1" x14ac:dyDescent="0.3">
      <c r="A380" s="2">
        <f t="shared" si="20"/>
        <v>376</v>
      </c>
      <c r="B380" s="8"/>
      <c r="C380" s="4"/>
      <c r="D380" s="9" t="str">
        <f>IF(C380="","",IFERROR(INDEX($E$5:$E$486,SUMPRODUCT(MAX(($C$5:$C$486=C380)*($A$5:$A$486&lt;A380)*$A$5:$A$486))),""))</f>
        <v/>
      </c>
      <c r="E380" s="9"/>
      <c r="F380" s="2">
        <f t="shared" si="21"/>
        <v>0</v>
      </c>
      <c r="G380" s="4" t="str">
        <f>IF(C380="","",IFERROR(VLOOKUP(C380,Listas!$A$2:$C$39,3,FALSE()),"Asigna combustible en hoja Listas"))</f>
        <v/>
      </c>
      <c r="H380" s="9"/>
      <c r="I380" s="10"/>
      <c r="J380" s="6">
        <f t="shared" si="22"/>
        <v>0</v>
      </c>
      <c r="K380" s="7">
        <f t="shared" si="23"/>
        <v>0</v>
      </c>
    </row>
    <row r="381" spans="1:11" hidden="1" x14ac:dyDescent="0.3">
      <c r="A381" s="2">
        <f t="shared" si="20"/>
        <v>377</v>
      </c>
      <c r="B381" s="8"/>
      <c r="C381" s="4"/>
      <c r="D381" s="9" t="str">
        <f>IF(C381="","",IFERROR(INDEX($E$5:$E$486,SUMPRODUCT(MAX(($C$5:$C$486=C381)*($A$5:$A$486&lt;A381)*$A$5:$A$486))),""))</f>
        <v/>
      </c>
      <c r="E381" s="9"/>
      <c r="F381" s="2">
        <f t="shared" si="21"/>
        <v>0</v>
      </c>
      <c r="G381" s="4" t="str">
        <f>IF(C381="","",IFERROR(VLOOKUP(C381,Listas!$A$2:$C$39,3,FALSE()),"Asigna combustible en hoja Listas"))</f>
        <v/>
      </c>
      <c r="H381" s="9"/>
      <c r="I381" s="10"/>
      <c r="J381" s="6">
        <f t="shared" si="22"/>
        <v>0</v>
      </c>
      <c r="K381" s="7">
        <f t="shared" si="23"/>
        <v>0</v>
      </c>
    </row>
    <row r="382" spans="1:11" hidden="1" x14ac:dyDescent="0.3">
      <c r="A382" s="2">
        <f t="shared" si="20"/>
        <v>378</v>
      </c>
      <c r="B382" s="8"/>
      <c r="C382" s="4"/>
      <c r="D382" s="9" t="str">
        <f>IF(C382="","",IFERROR(INDEX($E$5:$E$486,SUMPRODUCT(MAX(($C$5:$C$486=C382)*($A$5:$A$486&lt;A382)*$A$5:$A$486))),""))</f>
        <v/>
      </c>
      <c r="E382" s="9"/>
      <c r="F382" s="2">
        <f t="shared" si="21"/>
        <v>0</v>
      </c>
      <c r="G382" s="4" t="str">
        <f>IF(C382="","",IFERROR(VLOOKUP(C382,Listas!$A$2:$C$39,3,FALSE()),"Asigna combustible en hoja Listas"))</f>
        <v/>
      </c>
      <c r="H382" s="9"/>
      <c r="I382" s="10"/>
      <c r="J382" s="6">
        <f t="shared" si="22"/>
        <v>0</v>
      </c>
      <c r="K382" s="7">
        <f t="shared" si="23"/>
        <v>0</v>
      </c>
    </row>
    <row r="383" spans="1:11" hidden="1" x14ac:dyDescent="0.3">
      <c r="A383" s="2">
        <f t="shared" si="20"/>
        <v>379</v>
      </c>
      <c r="B383" s="8"/>
      <c r="C383" s="4"/>
      <c r="D383" s="9" t="str">
        <f>IF(C383="","",IFERROR(INDEX($E$5:$E$486,SUMPRODUCT(MAX(($C$5:$C$486=C383)*($A$5:$A$486&lt;A383)*$A$5:$A$486))),""))</f>
        <v/>
      </c>
      <c r="E383" s="9"/>
      <c r="F383" s="2">
        <f t="shared" si="21"/>
        <v>0</v>
      </c>
      <c r="G383" s="4" t="str">
        <f>IF(C383="","",IFERROR(VLOOKUP(C383,Listas!$A$2:$C$39,3,FALSE()),"Asigna combustible en hoja Listas"))</f>
        <v/>
      </c>
      <c r="H383" s="9"/>
      <c r="I383" s="10"/>
      <c r="J383" s="6">
        <f t="shared" si="22"/>
        <v>0</v>
      </c>
      <c r="K383" s="7">
        <f t="shared" si="23"/>
        <v>0</v>
      </c>
    </row>
    <row r="384" spans="1:11" hidden="1" x14ac:dyDescent="0.3">
      <c r="A384" s="2">
        <f t="shared" si="20"/>
        <v>380</v>
      </c>
      <c r="B384" s="8"/>
      <c r="C384" s="4"/>
      <c r="D384" s="9" t="str">
        <f>IF(C384="","",IFERROR(INDEX($E$5:$E$486,SUMPRODUCT(MAX(($C$5:$C$486=C384)*($A$5:$A$486&lt;A384)*$A$5:$A$486))),""))</f>
        <v/>
      </c>
      <c r="E384" s="9"/>
      <c r="F384" s="2">
        <f t="shared" si="21"/>
        <v>0</v>
      </c>
      <c r="G384" s="4" t="str">
        <f>IF(C384="","",IFERROR(VLOOKUP(C384,Listas!$A$2:$C$39,3,FALSE()),"Asigna combustible en hoja Listas"))</f>
        <v/>
      </c>
      <c r="H384" s="9"/>
      <c r="I384" s="10"/>
      <c r="J384" s="6">
        <f t="shared" si="22"/>
        <v>0</v>
      </c>
      <c r="K384" s="7">
        <f t="shared" si="23"/>
        <v>0</v>
      </c>
    </row>
    <row r="385" spans="1:11" hidden="1" x14ac:dyDescent="0.3">
      <c r="A385" s="2">
        <f t="shared" si="20"/>
        <v>381</v>
      </c>
      <c r="B385" s="8"/>
      <c r="C385" s="4"/>
      <c r="D385" s="9" t="str">
        <f>IF(C385="","",IFERROR(INDEX($E$5:$E$486,SUMPRODUCT(MAX(($C$5:$C$486=C385)*($A$5:$A$486&lt;A385)*$A$5:$A$486))),""))</f>
        <v/>
      </c>
      <c r="E385" s="9"/>
      <c r="F385" s="2">
        <f t="shared" si="21"/>
        <v>0</v>
      </c>
      <c r="G385" s="4" t="str">
        <f>IF(C385="","",IFERROR(VLOOKUP(C385,Listas!$A$2:$C$39,3,FALSE()),"Asigna combustible en hoja Listas"))</f>
        <v/>
      </c>
      <c r="H385" s="9"/>
      <c r="I385" s="10"/>
      <c r="J385" s="6">
        <f t="shared" si="22"/>
        <v>0</v>
      </c>
      <c r="K385" s="7">
        <f t="shared" si="23"/>
        <v>0</v>
      </c>
    </row>
    <row r="386" spans="1:11" hidden="1" x14ac:dyDescent="0.3">
      <c r="A386" s="2">
        <f t="shared" si="20"/>
        <v>382</v>
      </c>
      <c r="B386" s="8"/>
      <c r="C386" s="4"/>
      <c r="D386" s="9" t="str">
        <f>IF(C386="","",IFERROR(INDEX($E$5:$E$486,SUMPRODUCT(MAX(($C$5:$C$486=C386)*($A$5:$A$486&lt;A386)*$A$5:$A$486))),""))</f>
        <v/>
      </c>
      <c r="E386" s="9"/>
      <c r="F386" s="2">
        <f t="shared" si="21"/>
        <v>0</v>
      </c>
      <c r="G386" s="4" t="str">
        <f>IF(C386="","",IFERROR(VLOOKUP(C386,Listas!$A$2:$C$39,3,FALSE()),"Asigna combustible en hoja Listas"))</f>
        <v/>
      </c>
      <c r="H386" s="9"/>
      <c r="I386" s="10"/>
      <c r="J386" s="6">
        <f t="shared" si="22"/>
        <v>0</v>
      </c>
      <c r="K386" s="7">
        <f t="shared" si="23"/>
        <v>0</v>
      </c>
    </row>
    <row r="387" spans="1:11" hidden="1" x14ac:dyDescent="0.3">
      <c r="A387" s="2">
        <f t="shared" si="20"/>
        <v>383</v>
      </c>
      <c r="B387" s="8"/>
      <c r="C387" s="4"/>
      <c r="D387" s="9" t="str">
        <f>IF(C387="","",IFERROR(INDEX($E$5:$E$486,SUMPRODUCT(MAX(($C$5:$C$486=C387)*($A$5:$A$486&lt;A387)*$A$5:$A$486))),""))</f>
        <v/>
      </c>
      <c r="E387" s="9"/>
      <c r="F387" s="2">
        <f t="shared" si="21"/>
        <v>0</v>
      </c>
      <c r="G387" s="4" t="str">
        <f>IF(C387="","",IFERROR(VLOOKUP(C387,Listas!$A$2:$C$39,3,FALSE()),"Asigna combustible en hoja Listas"))</f>
        <v/>
      </c>
      <c r="H387" s="9"/>
      <c r="I387" s="10"/>
      <c r="J387" s="6">
        <f t="shared" si="22"/>
        <v>0</v>
      </c>
      <c r="K387" s="7">
        <f t="shared" si="23"/>
        <v>0</v>
      </c>
    </row>
    <row r="388" spans="1:11" hidden="1" x14ac:dyDescent="0.3">
      <c r="A388" s="2">
        <f t="shared" si="20"/>
        <v>384</v>
      </c>
      <c r="B388" s="8"/>
      <c r="C388" s="4"/>
      <c r="D388" s="9" t="str">
        <f>IF(C388="","",IFERROR(INDEX($E$5:$E$486,SUMPRODUCT(MAX(($C$5:$C$486=C388)*($A$5:$A$486&lt;A388)*$A$5:$A$486))),""))</f>
        <v/>
      </c>
      <c r="E388" s="9"/>
      <c r="F388" s="2">
        <f t="shared" si="21"/>
        <v>0</v>
      </c>
      <c r="G388" s="4" t="str">
        <f>IF(C388="","",IFERROR(VLOOKUP(C388,Listas!$A$2:$C$39,3,FALSE()),"Asigna combustible en hoja Listas"))</f>
        <v/>
      </c>
      <c r="H388" s="9"/>
      <c r="I388" s="10"/>
      <c r="J388" s="6">
        <f t="shared" si="22"/>
        <v>0</v>
      </c>
      <c r="K388" s="7">
        <f t="shared" si="23"/>
        <v>0</v>
      </c>
    </row>
    <row r="389" spans="1:11" hidden="1" x14ac:dyDescent="0.3">
      <c r="A389" s="2">
        <f t="shared" ref="A389:A404" si="24">ROW()-4</f>
        <v>385</v>
      </c>
      <c r="B389" s="8"/>
      <c r="C389" s="4"/>
      <c r="D389" s="9" t="str">
        <f>IF(C389="","",IFERROR(INDEX($E$5:$E$486,SUMPRODUCT(MAX(($C$5:$C$486=C389)*($A$5:$A$486&lt;A389)*$A$5:$A$486))),""))</f>
        <v/>
      </c>
      <c r="E389" s="9"/>
      <c r="F389" s="2">
        <f t="shared" ref="F389:F404" si="25">IFERROR(E389-D389,0)</f>
        <v>0</v>
      </c>
      <c r="G389" s="4" t="str">
        <f>IF(C389="","",IFERROR(VLOOKUP(C389,Listas!$A$2:$C$39,3,FALSE()),"Asigna combustible en hoja Listas"))</f>
        <v/>
      </c>
      <c r="H389" s="9"/>
      <c r="I389" s="10"/>
      <c r="J389" s="6">
        <f t="shared" ref="J389:J404" si="26">H389*I389</f>
        <v>0</v>
      </c>
      <c r="K389" s="7">
        <f t="shared" ref="K389:K404" si="27">IFERROR(F389/H389,0)</f>
        <v>0</v>
      </c>
    </row>
    <row r="390" spans="1:11" hidden="1" x14ac:dyDescent="0.3">
      <c r="A390" s="2">
        <f t="shared" si="24"/>
        <v>386</v>
      </c>
      <c r="B390" s="8"/>
      <c r="C390" s="4"/>
      <c r="D390" s="9" t="str">
        <f>IF(C390="","",IFERROR(INDEX($E$5:$E$486,SUMPRODUCT(MAX(($C$5:$C$486=C390)*($A$5:$A$486&lt;A390)*$A$5:$A$486))),""))</f>
        <v/>
      </c>
      <c r="E390" s="9"/>
      <c r="F390" s="2">
        <f t="shared" si="25"/>
        <v>0</v>
      </c>
      <c r="G390" s="4" t="str">
        <f>IF(C390="","",IFERROR(VLOOKUP(C390,Listas!$A$2:$C$39,3,FALSE()),"Asigna combustible en hoja Listas"))</f>
        <v/>
      </c>
      <c r="H390" s="9"/>
      <c r="I390" s="10"/>
      <c r="J390" s="6">
        <f t="shared" si="26"/>
        <v>0</v>
      </c>
      <c r="K390" s="7">
        <f t="shared" si="27"/>
        <v>0</v>
      </c>
    </row>
    <row r="391" spans="1:11" hidden="1" x14ac:dyDescent="0.3">
      <c r="A391" s="2">
        <f t="shared" si="24"/>
        <v>387</v>
      </c>
      <c r="B391" s="8"/>
      <c r="C391" s="4"/>
      <c r="D391" s="9" t="str">
        <f>IF(C391="","",IFERROR(INDEX($E$5:$E$486,SUMPRODUCT(MAX(($C$5:$C$486=C391)*($A$5:$A$486&lt;A391)*$A$5:$A$486))),""))</f>
        <v/>
      </c>
      <c r="E391" s="9"/>
      <c r="F391" s="2">
        <f t="shared" si="25"/>
        <v>0</v>
      </c>
      <c r="G391" s="4" t="str">
        <f>IF(C391="","",IFERROR(VLOOKUP(C391,Listas!$A$2:$C$39,3,FALSE()),"Asigna combustible en hoja Listas"))</f>
        <v/>
      </c>
      <c r="H391" s="9"/>
      <c r="I391" s="10"/>
      <c r="J391" s="6">
        <f t="shared" si="26"/>
        <v>0</v>
      </c>
      <c r="K391" s="7">
        <f t="shared" si="27"/>
        <v>0</v>
      </c>
    </row>
    <row r="392" spans="1:11" hidden="1" x14ac:dyDescent="0.3">
      <c r="A392" s="2">
        <f t="shared" si="24"/>
        <v>388</v>
      </c>
      <c r="B392" s="8"/>
      <c r="C392" s="4"/>
      <c r="D392" s="9" t="str">
        <f>IF(C392="","",IFERROR(INDEX($E$5:$E$486,SUMPRODUCT(MAX(($C$5:$C$486=C392)*($A$5:$A$486&lt;A392)*$A$5:$A$486))),""))</f>
        <v/>
      </c>
      <c r="E392" s="9"/>
      <c r="F392" s="2">
        <f t="shared" si="25"/>
        <v>0</v>
      </c>
      <c r="G392" s="4" t="str">
        <f>IF(C392="","",IFERROR(VLOOKUP(C392,Listas!$A$2:$C$39,3,FALSE()),"Asigna combustible en hoja Listas"))</f>
        <v/>
      </c>
      <c r="H392" s="9"/>
      <c r="I392" s="10"/>
      <c r="J392" s="6">
        <f t="shared" si="26"/>
        <v>0</v>
      </c>
      <c r="K392" s="7">
        <f t="shared" si="27"/>
        <v>0</v>
      </c>
    </row>
    <row r="393" spans="1:11" hidden="1" x14ac:dyDescent="0.3">
      <c r="A393" s="2">
        <f t="shared" si="24"/>
        <v>389</v>
      </c>
      <c r="B393" s="8"/>
      <c r="C393" s="4"/>
      <c r="D393" s="9" t="str">
        <f>IF(C393="","",IFERROR(INDEX($E$5:$E$486,SUMPRODUCT(MAX(($C$5:$C$486=C393)*($A$5:$A$486&lt;A393)*$A$5:$A$486))),""))</f>
        <v/>
      </c>
      <c r="E393" s="9"/>
      <c r="F393" s="2">
        <f t="shared" si="25"/>
        <v>0</v>
      </c>
      <c r="G393" s="4" t="str">
        <f>IF(C393="","",IFERROR(VLOOKUP(C393,Listas!$A$2:$C$39,3,FALSE()),"Asigna combustible en hoja Listas"))</f>
        <v/>
      </c>
      <c r="H393" s="9"/>
      <c r="I393" s="10"/>
      <c r="J393" s="6">
        <f t="shared" si="26"/>
        <v>0</v>
      </c>
      <c r="K393" s="7">
        <f t="shared" si="27"/>
        <v>0</v>
      </c>
    </row>
    <row r="394" spans="1:11" hidden="1" x14ac:dyDescent="0.3">
      <c r="A394" s="2">
        <f t="shared" si="24"/>
        <v>390</v>
      </c>
      <c r="B394" s="8"/>
      <c r="C394" s="4"/>
      <c r="D394" s="9" t="str">
        <f>IF(C394="","",IFERROR(INDEX($E$5:$E$486,SUMPRODUCT(MAX(($C$5:$C$486=C394)*($A$5:$A$486&lt;A394)*$A$5:$A$486))),""))</f>
        <v/>
      </c>
      <c r="E394" s="9"/>
      <c r="F394" s="2">
        <f t="shared" si="25"/>
        <v>0</v>
      </c>
      <c r="G394" s="4" t="str">
        <f>IF(C394="","",IFERROR(VLOOKUP(C394,Listas!$A$2:$C$39,3,FALSE()),"Asigna combustible en hoja Listas"))</f>
        <v/>
      </c>
      <c r="H394" s="9"/>
      <c r="I394" s="10"/>
      <c r="J394" s="6">
        <f t="shared" si="26"/>
        <v>0</v>
      </c>
      <c r="K394" s="7">
        <f t="shared" si="27"/>
        <v>0</v>
      </c>
    </row>
    <row r="395" spans="1:11" hidden="1" x14ac:dyDescent="0.3">
      <c r="A395" s="2">
        <f t="shared" si="24"/>
        <v>391</v>
      </c>
      <c r="B395" s="8"/>
      <c r="C395" s="4"/>
      <c r="D395" s="9" t="str">
        <f>IF(C395="","",IFERROR(INDEX($E$5:$E$486,SUMPRODUCT(MAX(($C$5:$C$486=C395)*($A$5:$A$486&lt;A395)*$A$5:$A$486))),""))</f>
        <v/>
      </c>
      <c r="E395" s="9"/>
      <c r="F395" s="2">
        <f t="shared" si="25"/>
        <v>0</v>
      </c>
      <c r="G395" s="4" t="str">
        <f>IF(C395="","",IFERROR(VLOOKUP(C395,Listas!$A$2:$C$39,3,FALSE()),"Asigna combustible en hoja Listas"))</f>
        <v/>
      </c>
      <c r="H395" s="9"/>
      <c r="I395" s="10"/>
      <c r="J395" s="6">
        <f t="shared" si="26"/>
        <v>0</v>
      </c>
      <c r="K395" s="7">
        <f t="shared" si="27"/>
        <v>0</v>
      </c>
    </row>
    <row r="396" spans="1:11" hidden="1" x14ac:dyDescent="0.3">
      <c r="A396" s="2">
        <f t="shared" si="24"/>
        <v>392</v>
      </c>
      <c r="B396" s="8"/>
      <c r="C396" s="4"/>
      <c r="D396" s="9" t="str">
        <f>IF(C396="","",IFERROR(INDEX($E$5:$E$486,SUMPRODUCT(MAX(($C$5:$C$486=C396)*($A$5:$A$486&lt;A396)*$A$5:$A$486))),""))</f>
        <v/>
      </c>
      <c r="E396" s="9"/>
      <c r="F396" s="2">
        <f t="shared" si="25"/>
        <v>0</v>
      </c>
      <c r="G396" s="4" t="str">
        <f>IF(C396="","",IFERROR(VLOOKUP(C396,Listas!$A$2:$C$39,3,FALSE()),"Asigna combustible en hoja Listas"))</f>
        <v/>
      </c>
      <c r="H396" s="9"/>
      <c r="I396" s="10"/>
      <c r="J396" s="6">
        <f t="shared" si="26"/>
        <v>0</v>
      </c>
      <c r="K396" s="7">
        <f t="shared" si="27"/>
        <v>0</v>
      </c>
    </row>
    <row r="397" spans="1:11" hidden="1" x14ac:dyDescent="0.3">
      <c r="A397" s="2">
        <f t="shared" si="24"/>
        <v>393</v>
      </c>
      <c r="B397" s="8"/>
      <c r="C397" s="4"/>
      <c r="D397" s="9" t="str">
        <f>IF(C397="","",IFERROR(INDEX($E$5:$E$486,SUMPRODUCT(MAX(($C$5:$C$486=C397)*($A$5:$A$486&lt;A397)*$A$5:$A$486))),""))</f>
        <v/>
      </c>
      <c r="E397" s="9"/>
      <c r="F397" s="2">
        <f t="shared" si="25"/>
        <v>0</v>
      </c>
      <c r="G397" s="4" t="str">
        <f>IF(C397="","",IFERROR(VLOOKUP(C397,Listas!$A$2:$C$39,3,FALSE()),"Asigna combustible en hoja Listas"))</f>
        <v/>
      </c>
      <c r="H397" s="9"/>
      <c r="I397" s="10"/>
      <c r="J397" s="6">
        <f t="shared" si="26"/>
        <v>0</v>
      </c>
      <c r="K397" s="7">
        <f t="shared" si="27"/>
        <v>0</v>
      </c>
    </row>
    <row r="398" spans="1:11" hidden="1" x14ac:dyDescent="0.3">
      <c r="A398" s="2">
        <f t="shared" si="24"/>
        <v>394</v>
      </c>
      <c r="B398" s="8"/>
      <c r="C398" s="4"/>
      <c r="D398" s="9" t="str">
        <f>IF(C398="","",IFERROR(INDEX($E$5:$E$486,SUMPRODUCT(MAX(($C$5:$C$486=C398)*($A$5:$A$486&lt;A398)*$A$5:$A$486))),""))</f>
        <v/>
      </c>
      <c r="E398" s="9"/>
      <c r="F398" s="2">
        <f t="shared" si="25"/>
        <v>0</v>
      </c>
      <c r="G398" s="4" t="str">
        <f>IF(C398="","",IFERROR(VLOOKUP(C398,Listas!$A$2:$C$39,3,FALSE()),"Asigna combustible en hoja Listas"))</f>
        <v/>
      </c>
      <c r="H398" s="9"/>
      <c r="I398" s="10"/>
      <c r="J398" s="6">
        <f t="shared" si="26"/>
        <v>0</v>
      </c>
      <c r="K398" s="7">
        <f t="shared" si="27"/>
        <v>0</v>
      </c>
    </row>
    <row r="399" spans="1:11" hidden="1" x14ac:dyDescent="0.3">
      <c r="A399" s="2">
        <f t="shared" si="24"/>
        <v>395</v>
      </c>
      <c r="B399" s="8"/>
      <c r="C399" s="4"/>
      <c r="D399" s="9" t="str">
        <f>IF(C399="","",IFERROR(INDEX($E$5:$E$486,SUMPRODUCT(MAX(($C$5:$C$486=C399)*($A$5:$A$486&lt;A399)*$A$5:$A$486))),""))</f>
        <v/>
      </c>
      <c r="E399" s="9"/>
      <c r="F399" s="2">
        <f t="shared" si="25"/>
        <v>0</v>
      </c>
      <c r="G399" s="4" t="str">
        <f>IF(C399="","",IFERROR(VLOOKUP(C399,Listas!$A$2:$C$39,3,FALSE()),"Asigna combustible en hoja Listas"))</f>
        <v/>
      </c>
      <c r="H399" s="9"/>
      <c r="I399" s="10"/>
      <c r="J399" s="6">
        <f t="shared" si="26"/>
        <v>0</v>
      </c>
      <c r="K399" s="7">
        <f t="shared" si="27"/>
        <v>0</v>
      </c>
    </row>
    <row r="400" spans="1:11" hidden="1" x14ac:dyDescent="0.3">
      <c r="A400" s="2">
        <f t="shared" si="24"/>
        <v>396</v>
      </c>
      <c r="B400" s="8"/>
      <c r="C400" s="4"/>
      <c r="D400" s="9" t="str">
        <f>IF(C400="","",IFERROR(INDEX($E$5:$E$486,SUMPRODUCT(MAX(($C$5:$C$486=C400)*($A$5:$A$486&lt;A400)*$A$5:$A$486))),""))</f>
        <v/>
      </c>
      <c r="E400" s="9"/>
      <c r="F400" s="2">
        <f t="shared" si="25"/>
        <v>0</v>
      </c>
      <c r="G400" s="4" t="str">
        <f>IF(C400="","",IFERROR(VLOOKUP(C400,Listas!$A$2:$C$39,3,FALSE()),"Asigna combustible en hoja Listas"))</f>
        <v/>
      </c>
      <c r="H400" s="9"/>
      <c r="I400" s="10"/>
      <c r="J400" s="6">
        <f t="shared" si="26"/>
        <v>0</v>
      </c>
      <c r="K400" s="7">
        <f t="shared" si="27"/>
        <v>0</v>
      </c>
    </row>
    <row r="401" spans="1:11" hidden="1" x14ac:dyDescent="0.3">
      <c r="A401" s="2">
        <f t="shared" si="24"/>
        <v>397</v>
      </c>
      <c r="B401" s="8"/>
      <c r="C401" s="4"/>
      <c r="D401" s="9" t="str">
        <f>IF(C401="","",IFERROR(INDEX($E$5:$E$486,SUMPRODUCT(MAX(($C$5:$C$486=C401)*($A$5:$A$486&lt;A401)*$A$5:$A$486))),""))</f>
        <v/>
      </c>
      <c r="E401" s="9"/>
      <c r="F401" s="2">
        <f t="shared" si="25"/>
        <v>0</v>
      </c>
      <c r="G401" s="4" t="str">
        <f>IF(C401="","",IFERROR(VLOOKUP(C401,Listas!$A$2:$C$39,3,FALSE()),"Asigna combustible en hoja Listas"))</f>
        <v/>
      </c>
      <c r="H401" s="9"/>
      <c r="I401" s="10"/>
      <c r="J401" s="6">
        <f t="shared" si="26"/>
        <v>0</v>
      </c>
      <c r="K401" s="7">
        <f t="shared" si="27"/>
        <v>0</v>
      </c>
    </row>
    <row r="402" spans="1:11" hidden="1" x14ac:dyDescent="0.3">
      <c r="A402" s="2">
        <f t="shared" si="24"/>
        <v>398</v>
      </c>
      <c r="B402" s="8"/>
      <c r="C402" s="4"/>
      <c r="D402" s="9" t="str">
        <f>IF(C402="","",IFERROR(INDEX($E$5:$E$486,SUMPRODUCT(MAX(($C$5:$C$486=C402)*($A$5:$A$486&lt;A402)*$A$5:$A$486))),""))</f>
        <v/>
      </c>
      <c r="E402" s="9"/>
      <c r="F402" s="2">
        <f t="shared" si="25"/>
        <v>0</v>
      </c>
      <c r="G402" s="4" t="str">
        <f>IF(C402="","",IFERROR(VLOOKUP(C402,Listas!$A$2:$C$39,3,FALSE()),"Asigna combustible en hoja Listas"))</f>
        <v/>
      </c>
      <c r="H402" s="9"/>
      <c r="I402" s="10"/>
      <c r="J402" s="6">
        <f t="shared" si="26"/>
        <v>0</v>
      </c>
      <c r="K402" s="7">
        <f t="shared" si="27"/>
        <v>0</v>
      </c>
    </row>
    <row r="403" spans="1:11" hidden="1" x14ac:dyDescent="0.3">
      <c r="A403" s="2">
        <f t="shared" si="24"/>
        <v>399</v>
      </c>
      <c r="B403" s="8"/>
      <c r="C403" s="4"/>
      <c r="D403" s="9" t="str">
        <f>IF(C403="","",IFERROR(INDEX($E$5:$E$486,SUMPRODUCT(MAX(($C$5:$C$486=C403)*($A$5:$A$486&lt;A403)*$A$5:$A$486))),""))</f>
        <v/>
      </c>
      <c r="E403" s="9"/>
      <c r="F403" s="2">
        <f t="shared" si="25"/>
        <v>0</v>
      </c>
      <c r="G403" s="4" t="str">
        <f>IF(C403="","",IFERROR(VLOOKUP(C403,Listas!$A$2:$C$39,3,FALSE()),"Asigna combustible en hoja Listas"))</f>
        <v/>
      </c>
      <c r="H403" s="9"/>
      <c r="I403" s="10"/>
      <c r="J403" s="6">
        <f t="shared" si="26"/>
        <v>0</v>
      </c>
      <c r="K403" s="7">
        <f t="shared" si="27"/>
        <v>0</v>
      </c>
    </row>
    <row r="404" spans="1:11" hidden="1" x14ac:dyDescent="0.3">
      <c r="A404" s="2">
        <f t="shared" si="24"/>
        <v>400</v>
      </c>
      <c r="B404" s="8"/>
      <c r="C404" s="4"/>
      <c r="D404" s="9" t="str">
        <f>IF(C404="","",IFERROR(INDEX($E$5:$E$486,SUMPRODUCT(MAX(($C$5:$C$486=C404)*($A$5:$A$486&lt;A404)*$A$5:$A$486))),""))</f>
        <v/>
      </c>
      <c r="E404" s="9"/>
      <c r="F404" s="2">
        <f t="shared" si="25"/>
        <v>0</v>
      </c>
      <c r="G404" s="4" t="str">
        <f>IF(C404="","",IFERROR(VLOOKUP(C404,Listas!$A$2:$C$39,3,FALSE()),"Asigna combustible en hoja Listas"))</f>
        <v/>
      </c>
      <c r="H404" s="9"/>
      <c r="I404" s="10"/>
      <c r="J404" s="6">
        <f t="shared" si="26"/>
        <v>0</v>
      </c>
      <c r="K404" s="7">
        <f t="shared" si="27"/>
        <v>0</v>
      </c>
    </row>
    <row r="405" spans="1:11" hidden="1" x14ac:dyDescent="0.3">
      <c r="B405" s="3">
        <v>46274</v>
      </c>
      <c r="C405" s="4"/>
    </row>
    <row r="406" spans="1:11" hidden="1" x14ac:dyDescent="0.3">
      <c r="B406" s="3"/>
      <c r="C406" s="4"/>
    </row>
    <row r="407" spans="1:11" hidden="1" x14ac:dyDescent="0.3">
      <c r="B407" s="3"/>
      <c r="C407" s="4"/>
    </row>
    <row r="408" spans="1:11" hidden="1" x14ac:dyDescent="0.3">
      <c r="B408" s="3"/>
      <c r="C408" s="4"/>
    </row>
    <row r="409" spans="1:11" hidden="1" x14ac:dyDescent="0.3">
      <c r="B409" s="3"/>
      <c r="C409" s="4"/>
    </row>
    <row r="410" spans="1:11" hidden="1" x14ac:dyDescent="0.3">
      <c r="B410" s="3"/>
      <c r="C410" s="4"/>
    </row>
    <row r="411" spans="1:11" hidden="1" x14ac:dyDescent="0.3">
      <c r="B411" s="3"/>
      <c r="C411" s="4"/>
    </row>
    <row r="412" spans="1:11" hidden="1" x14ac:dyDescent="0.3">
      <c r="B412" s="3"/>
      <c r="C412" s="4"/>
    </row>
    <row r="413" spans="1:11" hidden="1" x14ac:dyDescent="0.3">
      <c r="B413" s="3"/>
      <c r="C413" s="4"/>
    </row>
    <row r="414" spans="1:11" hidden="1" x14ac:dyDescent="0.3">
      <c r="B414" s="3"/>
      <c r="C414" s="4"/>
    </row>
    <row r="415" spans="1:11" hidden="1" x14ac:dyDescent="0.3">
      <c r="B415" s="3"/>
      <c r="C415" s="4"/>
    </row>
    <row r="416" spans="1:11" hidden="1" x14ac:dyDescent="0.3">
      <c r="B416" s="3"/>
      <c r="C416" s="4"/>
    </row>
    <row r="417" spans="2:3" hidden="1" x14ac:dyDescent="0.3">
      <c r="B417" s="3"/>
      <c r="C417" s="4"/>
    </row>
    <row r="418" spans="2:3" hidden="1" x14ac:dyDescent="0.3">
      <c r="B418" s="3"/>
      <c r="C418" s="4"/>
    </row>
    <row r="419" spans="2:3" hidden="1" x14ac:dyDescent="0.3">
      <c r="B419" s="3"/>
    </row>
    <row r="420" spans="2:3" hidden="1" x14ac:dyDescent="0.3">
      <c r="B420" s="3"/>
    </row>
    <row r="421" spans="2:3" hidden="1" x14ac:dyDescent="0.3">
      <c r="B421" s="3"/>
    </row>
    <row r="422" spans="2:3" hidden="1" x14ac:dyDescent="0.3">
      <c r="B422" s="3"/>
    </row>
    <row r="423" spans="2:3" hidden="1" x14ac:dyDescent="0.3">
      <c r="B423" s="3"/>
    </row>
    <row r="424" spans="2:3" hidden="1" x14ac:dyDescent="0.3">
      <c r="B424" s="3"/>
    </row>
    <row r="425" spans="2:3" hidden="1" x14ac:dyDescent="0.3">
      <c r="B425" s="3"/>
    </row>
    <row r="426" spans="2:3" hidden="1" x14ac:dyDescent="0.3">
      <c r="B426" s="3"/>
    </row>
    <row r="427" spans="2:3" hidden="1" x14ac:dyDescent="0.3">
      <c r="B427" s="3"/>
    </row>
    <row r="428" spans="2:3" hidden="1" x14ac:dyDescent="0.3">
      <c r="B428" s="3"/>
    </row>
    <row r="429" spans="2:3" hidden="1" x14ac:dyDescent="0.3">
      <c r="B429" s="3"/>
    </row>
    <row r="430" spans="2:3" hidden="1" x14ac:dyDescent="0.3">
      <c r="B430" s="3"/>
    </row>
    <row r="431" spans="2:3" hidden="1" x14ac:dyDescent="0.3">
      <c r="B431" s="3"/>
    </row>
    <row r="432" spans="2:3" hidden="1" x14ac:dyDescent="0.3">
      <c r="B432" s="3"/>
    </row>
    <row r="433" spans="2:4" hidden="1" x14ac:dyDescent="0.3">
      <c r="B433" s="3"/>
    </row>
    <row r="434" spans="2:4" hidden="1" x14ac:dyDescent="0.3">
      <c r="B434" s="3"/>
      <c r="C434" s="4"/>
      <c r="D434" s="9" t="str">
        <f>IF(C434="","",IFERROR(INDEX($E$5:$E$486,SUMPRODUCT(MAX(($C$5:$C$486=C434)*($A$5:$A$486&lt;A434)*$A$5:$A$486))),""))</f>
        <v/>
      </c>
    </row>
    <row r="435" spans="2:4" hidden="1" x14ac:dyDescent="0.3">
      <c r="B435" s="3"/>
      <c r="C435" s="4"/>
      <c r="D435" s="9" t="str">
        <f>IF(C435="","",IFERROR(INDEX($E$5:$E$486,SUMPRODUCT(MAX(($C$5:$C$486=C435)*($A$5:$A$486&lt;A435)*$A$5:$A$486))),""))</f>
        <v/>
      </c>
    </row>
    <row r="436" spans="2:4" hidden="1" x14ac:dyDescent="0.3">
      <c r="B436" s="3"/>
      <c r="C436" s="4"/>
      <c r="D436" s="9" t="str">
        <f>IF(C436="","",IFERROR(INDEX($E$5:$E$486,SUMPRODUCT(MAX(($C$5:$C$486=C436)*($A$5:$A$486&lt;A436)*$A$5:$A$486))),""))</f>
        <v/>
      </c>
    </row>
    <row r="437" spans="2:4" hidden="1" x14ac:dyDescent="0.3">
      <c r="B437" s="3"/>
      <c r="C437" s="4"/>
      <c r="D437" s="9" t="str">
        <f>IF(C437="","",IFERROR(INDEX($E$5:$E$486,SUMPRODUCT(MAX(($C$5:$C$486=C437)*($A$5:$A$486&lt;A437)*$A$5:$A$486))),""))</f>
        <v/>
      </c>
    </row>
    <row r="438" spans="2:4" hidden="1" x14ac:dyDescent="0.3">
      <c r="B438" s="3"/>
      <c r="C438" s="4"/>
      <c r="D438" s="9" t="str">
        <f>IF(C438="","",IFERROR(INDEX($E$5:$E$486,SUMPRODUCT(MAX(($C$5:$C$486=C438)*($A$5:$A$486&lt;A438)*$A$5:$A$486))),""))</f>
        <v/>
      </c>
    </row>
    <row r="439" spans="2:4" hidden="1" x14ac:dyDescent="0.3">
      <c r="B439" s="3"/>
      <c r="C439" s="4"/>
      <c r="D439" s="9" t="str">
        <f>IF(C439="","",IFERROR(INDEX($E$5:$E$486,SUMPRODUCT(MAX(($C$5:$C$486=C439)*($A$5:$A$486&lt;A439)*$A$5:$A$486))),""))</f>
        <v/>
      </c>
    </row>
    <row r="440" spans="2:4" hidden="1" x14ac:dyDescent="0.3">
      <c r="B440" s="3"/>
      <c r="C440" s="4"/>
      <c r="D440" s="9" t="str">
        <f>IF(C440="","",IFERROR(INDEX($E$5:$E$486,SUMPRODUCT(MAX(($C$5:$C$486=C440)*($A$5:$A$486&lt;A440)*$A$5:$A$486))),""))</f>
        <v/>
      </c>
    </row>
    <row r="441" spans="2:4" hidden="1" x14ac:dyDescent="0.3">
      <c r="B441" s="3"/>
      <c r="C441" s="4"/>
      <c r="D441" s="9" t="str">
        <f>IF(C441="","",IFERROR(INDEX($E$5:$E$486,SUMPRODUCT(MAX(($C$5:$C$486=C441)*($A$5:$A$486&lt;A441)*$A$5:$A$486))),""))</f>
        <v/>
      </c>
    </row>
    <row r="442" spans="2:4" hidden="1" x14ac:dyDescent="0.3">
      <c r="B442" s="3"/>
      <c r="C442" s="4"/>
      <c r="D442" s="9" t="str">
        <f>IF(C442="","",IFERROR(INDEX($E$5:$E$486,SUMPRODUCT(MAX(($C$5:$C$486=C442)*($A$5:$A$486&lt;A442)*$A$5:$A$486))),""))</f>
        <v/>
      </c>
    </row>
    <row r="443" spans="2:4" hidden="1" x14ac:dyDescent="0.3">
      <c r="B443" s="3"/>
      <c r="C443" s="4"/>
      <c r="D443" s="9" t="str">
        <f>IF(C443="","",IFERROR(INDEX($E$5:$E$486,SUMPRODUCT(MAX(($C$5:$C$486=C443)*($A$5:$A$486&lt;A443)*$A$5:$A$486))),""))</f>
        <v/>
      </c>
    </row>
    <row r="444" spans="2:4" hidden="1" x14ac:dyDescent="0.3">
      <c r="B444" s="3"/>
      <c r="C444" s="4"/>
      <c r="D444" s="9" t="str">
        <f>IF(C444="","",IFERROR(INDEX($E$5:$E$486,SUMPRODUCT(MAX(($C$5:$C$486=C444)*($A$5:$A$486&lt;A444)*$A$5:$A$486))),""))</f>
        <v/>
      </c>
    </row>
    <row r="445" spans="2:4" hidden="1" x14ac:dyDescent="0.3">
      <c r="B445" s="3"/>
      <c r="C445" s="4"/>
      <c r="D445" s="9" t="str">
        <f>IF(C445="","",IFERROR(INDEX($E$5:$E$486,SUMPRODUCT(MAX(($C$5:$C$486=C445)*($A$5:$A$486&lt;A445)*$A$5:$A$486))),""))</f>
        <v/>
      </c>
    </row>
    <row r="446" spans="2:4" hidden="1" x14ac:dyDescent="0.3">
      <c r="B446" s="3"/>
      <c r="C446" s="4"/>
      <c r="D446" s="9" t="str">
        <f>IF(C446="","",IFERROR(INDEX($E$5:$E$486,SUMPRODUCT(MAX(($C$5:$C$486=C446)*($A$5:$A$486&lt;A446)*$A$5:$A$486))),""))</f>
        <v/>
      </c>
    </row>
    <row r="447" spans="2:4" hidden="1" x14ac:dyDescent="0.3">
      <c r="B447" s="3"/>
      <c r="C447" s="4"/>
      <c r="D447" s="9" t="str">
        <f>IF(C447="","",IFERROR(INDEX($E$5:$E$486,SUMPRODUCT(MAX(($C$5:$C$486=C447)*($A$5:$A$486&lt;A447)*$A$5:$A$486))),""))</f>
        <v/>
      </c>
    </row>
    <row r="448" spans="2:4" hidden="1" x14ac:dyDescent="0.3">
      <c r="B448" s="3"/>
      <c r="C448" s="4"/>
      <c r="D448" s="9" t="str">
        <f>IF(C448="","",IFERROR(INDEX($E$5:$E$486,SUMPRODUCT(MAX(($C$5:$C$486=C448)*($A$5:$A$486&lt;A448)*$A$5:$A$486))),""))</f>
        <v/>
      </c>
    </row>
    <row r="449" spans="2:4" hidden="1" x14ac:dyDescent="0.3">
      <c r="B449" s="3"/>
      <c r="C449" s="4"/>
      <c r="D449" s="9" t="str">
        <f>IF(C449="","",IFERROR(INDEX($E$5:$E$486,SUMPRODUCT(MAX(($C$5:$C$486=C449)*($A$5:$A$486&lt;A449)*$A$5:$A$486))),""))</f>
        <v/>
      </c>
    </row>
    <row r="450" spans="2:4" hidden="1" x14ac:dyDescent="0.3">
      <c r="B450" s="3"/>
      <c r="C450" s="4"/>
      <c r="D450" s="9" t="str">
        <f>IF(C450="","",IFERROR(INDEX($E$5:$E$486,SUMPRODUCT(MAX(($C$5:$C$486=C450)*($A$5:$A$486&lt;A450)*$A$5:$A$486))),""))</f>
        <v/>
      </c>
    </row>
    <row r="451" spans="2:4" hidden="1" x14ac:dyDescent="0.3">
      <c r="B451" s="3"/>
      <c r="C451" s="4"/>
      <c r="D451" s="9" t="str">
        <f>IF(C451="","",IFERROR(INDEX($E$5:$E$486,SUMPRODUCT(MAX(($C$5:$C$486=C451)*($A$5:$A$486&lt;A451)*$A$5:$A$486))),""))</f>
        <v/>
      </c>
    </row>
    <row r="452" spans="2:4" hidden="1" x14ac:dyDescent="0.3">
      <c r="B452" s="3"/>
      <c r="C452" s="4"/>
      <c r="D452" s="9" t="str">
        <f>IF(C452="","",IFERROR(INDEX($E$5:$E$486,SUMPRODUCT(MAX(($C$5:$C$486=C452)*($A$5:$A$486&lt;A452)*$A$5:$A$486))),""))</f>
        <v/>
      </c>
    </row>
    <row r="453" spans="2:4" hidden="1" x14ac:dyDescent="0.3">
      <c r="C453" s="4"/>
      <c r="D453" s="9" t="str">
        <f>IF(C453="","",IFERROR(INDEX($E$5:$E$486,SUMPRODUCT(MAX(($C$5:$C$486=C453)*($A$5:$A$486&lt;A453)*$A$5:$A$486))),""))</f>
        <v/>
      </c>
    </row>
    <row r="454" spans="2:4" hidden="1" x14ac:dyDescent="0.3">
      <c r="B454" s="3"/>
    </row>
    <row r="455" spans="2:4" hidden="1" x14ac:dyDescent="0.3">
      <c r="B455" s="3"/>
    </row>
    <row r="456" spans="2:4" hidden="1" x14ac:dyDescent="0.3">
      <c r="B456" s="3"/>
    </row>
    <row r="457" spans="2:4" hidden="1" x14ac:dyDescent="0.3">
      <c r="B457" s="3"/>
    </row>
    <row r="458" spans="2:4" hidden="1" x14ac:dyDescent="0.3">
      <c r="B458" s="3"/>
    </row>
    <row r="459" spans="2:4" hidden="1" x14ac:dyDescent="0.3">
      <c r="B459" s="3"/>
    </row>
    <row r="460" spans="2:4" hidden="1" x14ac:dyDescent="0.3">
      <c r="B460" s="3"/>
    </row>
    <row r="461" spans="2:4" hidden="1" x14ac:dyDescent="0.3">
      <c r="B461" s="3"/>
    </row>
    <row r="462" spans="2:4" hidden="1" x14ac:dyDescent="0.3">
      <c r="B462" s="3"/>
    </row>
    <row r="463" spans="2:4" hidden="1" x14ac:dyDescent="0.3">
      <c r="B463" s="3"/>
    </row>
    <row r="464" spans="2:4" hidden="1" x14ac:dyDescent="0.3">
      <c r="B464" s="3"/>
    </row>
    <row r="465" spans="2:2" hidden="1" x14ac:dyDescent="0.3">
      <c r="B465" s="3"/>
    </row>
    <row r="466" spans="2:2" hidden="1" x14ac:dyDescent="0.3">
      <c r="B466" s="3"/>
    </row>
    <row r="467" spans="2:2" hidden="1" x14ac:dyDescent="0.3">
      <c r="B467" s="3"/>
    </row>
    <row r="468" spans="2:2" hidden="1" x14ac:dyDescent="0.3">
      <c r="B468" s="3"/>
    </row>
    <row r="469" spans="2:2" hidden="1" x14ac:dyDescent="0.3">
      <c r="B469" s="3"/>
    </row>
    <row r="470" spans="2:2" hidden="1" x14ac:dyDescent="0.3">
      <c r="B470" s="3"/>
    </row>
    <row r="471" spans="2:2" hidden="1" x14ac:dyDescent="0.3">
      <c r="B471" s="3"/>
    </row>
    <row r="472" spans="2:2" hidden="1" x14ac:dyDescent="0.3">
      <c r="B472" s="3"/>
    </row>
    <row r="473" spans="2:2" hidden="1" x14ac:dyDescent="0.3">
      <c r="B473" s="3"/>
    </row>
    <row r="474" spans="2:2" hidden="1" x14ac:dyDescent="0.3">
      <c r="B474" s="3"/>
    </row>
    <row r="475" spans="2:2" hidden="1" x14ac:dyDescent="0.3">
      <c r="B475" s="3"/>
    </row>
    <row r="476" spans="2:2" hidden="1" x14ac:dyDescent="0.3">
      <c r="B476" s="3"/>
    </row>
    <row r="477" spans="2:2" hidden="1" x14ac:dyDescent="0.3">
      <c r="B477" s="3"/>
    </row>
    <row r="478" spans="2:2" hidden="1" x14ac:dyDescent="0.3">
      <c r="B478" s="3"/>
    </row>
    <row r="479" spans="2:2" hidden="1" x14ac:dyDescent="0.3">
      <c r="B479" s="3"/>
    </row>
    <row r="480" spans="2:2" hidden="1" x14ac:dyDescent="0.3">
      <c r="B480" s="3"/>
    </row>
    <row r="481" spans="2:2" hidden="1" x14ac:dyDescent="0.3">
      <c r="B481" s="3"/>
    </row>
    <row r="482" spans="2:2" hidden="1" x14ac:dyDescent="0.3">
      <c r="B482" s="3"/>
    </row>
    <row r="483" spans="2:2" hidden="1" x14ac:dyDescent="0.3">
      <c r="B483" s="3"/>
    </row>
    <row r="484" spans="2:2" hidden="1" x14ac:dyDescent="0.3">
      <c r="B484" s="3"/>
    </row>
    <row r="485" spans="2:2" hidden="1" x14ac:dyDescent="0.3">
      <c r="B485" s="3"/>
    </row>
    <row r="486" spans="2:2" hidden="1" x14ac:dyDescent="0.3"/>
  </sheetData>
  <mergeCells count="2">
    <mergeCell ref="A1:K1"/>
    <mergeCell ref="A2:K2"/>
  </mergeCells>
  <dataValidations count="2">
    <dataValidation type="list" allowBlank="1" errorTitle="Vehiculo no valido" error="Selecciona un numero economico valido de la lista." sqref="C6:C9 C22:C38 C11:C20 C40:C43 C51:C57" xr:uid="{00000000-0002-0000-0000-000000000000}">
      <formula1>Lista_Vehiculos</formula1>
      <formula2>0</formula2>
    </dataValidation>
    <dataValidation type="list" allowBlank="1" errorTitle="Combustible no valido" error="Selecciona Gasolina o Diesel." sqref="G5:G124" xr:uid="{00000000-0002-0000-0000-000001000000}">
      <formula1>Lista_Combustible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Vehiculo no valido" error="Selecciona un numero economico valido de la lista." xr:uid="{00000000-0002-0000-0000-000002000000}">
          <x14:formula1>
            <xm:f>Listas!$A$2:$A$41</xm:f>
          </x14:formula1>
          <xm:sqref>C434:C453 C58:C418</xm:sqref>
        </x14:dataValidation>
        <x14:dataValidation type="list" allowBlank="1" errorTitle="Vehiculo no valido" error="Selecciona un numero economico valido de la lista." xr:uid="{00000000-0002-0000-0000-000003000000}">
          <x14:formula1>
            <xm:f>Listas!A2:A39</xm:f>
          </x14:formula1>
          <xm:sqref>C5</xm:sqref>
        </x14:dataValidation>
        <x14:dataValidation type="list" allowBlank="1" errorTitle="Vehiculo no valido" error="Selecciona un numero economico valido de la lista." xr:uid="{00000000-0002-0000-0000-000004000000}">
          <x14:formula1>
            <xm:f>Listas!A2:A39</xm:f>
          </x14:formula1>
          <xm:sqref>C10</xm:sqref>
        </x14:dataValidation>
        <x14:dataValidation type="list" allowBlank="1" errorTitle="Vehiculo no valido" error="Selecciona un numero economico valido de la lista." xr:uid="{00000000-0002-0000-0000-000005000000}">
          <x14:formula1>
            <xm:f>Listas!A2:A41</xm:f>
          </x14:formula1>
          <xm:sqref>C39</xm:sqref>
        </x14:dataValidation>
        <x14:dataValidation type="list" allowBlank="1" errorTitle="Vehiculo no valido" error="Selecciona un numero economico valido de la lista." xr:uid="{00000000-0002-0000-0000-000006000000}">
          <x14:formula1>
            <xm:f>Listas!A2:A38</xm:f>
          </x14:formula1>
          <xm:sqref>C21</xm:sqref>
        </x14:dataValidation>
        <x14:dataValidation type="list" allowBlank="1" errorTitle="Vehiculo no valido" error="Selecciona un numero economico valido de la lista." xr:uid="{00000000-0002-0000-0000-000007000000}">
          <x14:formula1>
            <xm:f>Listas!A2:A39</xm:f>
          </x14:formula1>
          <xm:sqref>C50</xm:sqref>
        </x14:dataValidation>
        <x14:dataValidation type="list" allowBlank="1" errorTitle="Vehiculo no valido" error="Selecciona un numero economico valido de la lista." xr:uid="{00000000-0002-0000-0000-000008000000}">
          <x14:formula1>
            <xm:f>Listas!A2:A38</xm:f>
          </x14:formula1>
          <xm:sqref>C44:C49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2"/>
  <sheetViews>
    <sheetView workbookViewId="0">
      <selection activeCell="D6" sqref="D6"/>
    </sheetView>
  </sheetViews>
  <sheetFormatPr baseColWidth="10" defaultRowHeight="14.4" x14ac:dyDescent="0.3"/>
  <cols>
    <col min="1" max="1" width="22.33203125" customWidth="1"/>
    <col min="2" max="2" width="22.44140625" style="25" bestFit="1" customWidth="1"/>
    <col min="3" max="3" width="12" style="25" bestFit="1" customWidth="1"/>
    <col min="4" max="5" width="12.5546875" style="25" bestFit="1" customWidth="1"/>
    <col min="6" max="7" width="12.5546875" bestFit="1" customWidth="1"/>
  </cols>
  <sheetData>
    <row r="3" spans="1:5" x14ac:dyDescent="0.3">
      <c r="A3" s="23" t="s">
        <v>68</v>
      </c>
      <c r="B3" s="23" t="s">
        <v>67</v>
      </c>
      <c r="C3"/>
      <c r="D3"/>
      <c r="E3"/>
    </row>
    <row r="4" spans="1:5" x14ac:dyDescent="0.3">
      <c r="A4" s="23" t="s">
        <v>65</v>
      </c>
      <c r="B4" t="s">
        <v>14</v>
      </c>
      <c r="C4" t="s">
        <v>70</v>
      </c>
      <c r="D4" t="s">
        <v>66</v>
      </c>
      <c r="E4"/>
    </row>
    <row r="5" spans="1:5" x14ac:dyDescent="0.3">
      <c r="A5" s="24" t="s">
        <v>74</v>
      </c>
      <c r="B5">
        <v>11659.464</v>
      </c>
      <c r="C5">
        <v>22018.915919999996</v>
      </c>
      <c r="D5">
        <v>33678.379919999992</v>
      </c>
      <c r="E5"/>
    </row>
    <row r="6" spans="1:5" x14ac:dyDescent="0.3">
      <c r="A6" s="24" t="s">
        <v>66</v>
      </c>
      <c r="B6" s="26">
        <v>11659.464</v>
      </c>
      <c r="C6">
        <v>22018.915919999996</v>
      </c>
      <c r="D6" s="26">
        <v>33678.379919999992</v>
      </c>
      <c r="E6"/>
    </row>
    <row r="7" spans="1:5" x14ac:dyDescent="0.3">
      <c r="B7"/>
      <c r="C7"/>
      <c r="D7"/>
      <c r="E7"/>
    </row>
    <row r="8" spans="1:5" x14ac:dyDescent="0.3">
      <c r="B8"/>
      <c r="C8"/>
      <c r="D8"/>
      <c r="E8"/>
    </row>
    <row r="9" spans="1:5" x14ac:dyDescent="0.3">
      <c r="B9"/>
      <c r="C9"/>
      <c r="D9"/>
      <c r="E9"/>
    </row>
    <row r="10" spans="1:5" x14ac:dyDescent="0.3">
      <c r="B10"/>
      <c r="C10"/>
      <c r="D10"/>
      <c r="E10"/>
    </row>
    <row r="11" spans="1:5" x14ac:dyDescent="0.3">
      <c r="B11"/>
      <c r="C11"/>
      <c r="D11"/>
      <c r="E11"/>
    </row>
    <row r="12" spans="1:5" x14ac:dyDescent="0.3">
      <c r="B12"/>
      <c r="C12"/>
      <c r="D12"/>
      <c r="E1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zoomScaleNormal="100" workbookViewId="0">
      <pane ySplit="6" topLeftCell="A43" activePane="bottomLeft" state="frozen"/>
      <selection pane="bottomLeft" activeCell="B5" sqref="B5"/>
    </sheetView>
  </sheetViews>
  <sheetFormatPr baseColWidth="10" defaultColWidth="8.6640625" defaultRowHeight="14.4" x14ac:dyDescent="0.3"/>
  <cols>
    <col min="1" max="1" width="18" customWidth="1"/>
    <col min="2" max="3" width="20" customWidth="1"/>
    <col min="4" max="4" width="16" customWidth="1"/>
    <col min="5" max="5" width="26" customWidth="1"/>
    <col min="6" max="6" width="11.33203125" bestFit="1" customWidth="1"/>
    <col min="8" max="8" width="11.33203125" bestFit="1" customWidth="1"/>
  </cols>
  <sheetData>
    <row r="1" spans="1:8" ht="21" x14ac:dyDescent="0.4">
      <c r="A1" s="27" t="s">
        <v>15</v>
      </c>
      <c r="B1" s="27"/>
      <c r="C1" s="27"/>
      <c r="D1" s="27"/>
      <c r="E1" s="27"/>
      <c r="F1" s="27"/>
    </row>
    <row r="2" spans="1:8" x14ac:dyDescent="0.3">
      <c r="A2" s="28" t="s">
        <v>16</v>
      </c>
      <c r="B2" s="28"/>
      <c r="C2" s="28"/>
      <c r="D2" s="28"/>
      <c r="E2" s="28"/>
      <c r="F2" s="28"/>
    </row>
    <row r="4" spans="1:8" x14ac:dyDescent="0.3">
      <c r="A4" s="11" t="s">
        <v>17</v>
      </c>
      <c r="B4" s="12">
        <v>8</v>
      </c>
      <c r="C4" s="11" t="s">
        <v>18</v>
      </c>
      <c r="D4" s="12">
        <v>2026</v>
      </c>
      <c r="E4" s="11" t="s">
        <v>19</v>
      </c>
      <c r="F4" s="13">
        <f>DATE(D4,B4,1)</f>
        <v>46235</v>
      </c>
      <c r="G4" s="11" t="s">
        <v>20</v>
      </c>
      <c r="H4" s="13">
        <f>EOMONTH(F4,0)</f>
        <v>46265</v>
      </c>
    </row>
    <row r="6" spans="1:8" ht="27.6" x14ac:dyDescent="0.3">
      <c r="A6" s="1" t="s">
        <v>4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8" x14ac:dyDescent="0.3">
      <c r="A7" s="2" t="str">
        <f>Listas!A2</f>
        <v>U-260</v>
      </c>
      <c r="B7" s="9">
        <f>SUMIFS('Registro Diario'!$F$5:$F$486,'Registro Diario'!$C$5:$C$486,A7,'Registro Diario'!$B$5:$B$486,"&gt;="&amp;$F$4,'Registro Diario'!$B$5:$B$486,"&lt;="&amp;$H$4)</f>
        <v>0</v>
      </c>
      <c r="C7" s="9">
        <f>SUMIFS('Registro Diario'!$H$5:$H$486,'Registro Diario'!$C$5:$C$486,A7,'Registro Diario'!$B$5:$B$486,"&gt;="&amp;$F$4,'Registro Diario'!$B$5:$B$486,"&lt;="&amp;$H$4)</f>
        <v>0</v>
      </c>
      <c r="D7" s="10">
        <f>SUMIFS('Registro Diario'!$J$5:$J$486,'Registro Diario'!$C$5:$C$486,A7,'Registro Diario'!$B$5:$B$486,"&gt;="&amp;$F$4,'Registro Diario'!$B$5:$B$486,"&lt;="&amp;$H$4)</f>
        <v>0</v>
      </c>
      <c r="E7" s="7">
        <f t="shared" ref="E7:E40" si="0">IFERROR(B7/C7,0)</f>
        <v>0</v>
      </c>
    </row>
    <row r="8" spans="1:8" x14ac:dyDescent="0.3">
      <c r="A8" s="2" t="str">
        <f>Listas!A4</f>
        <v>U-274</v>
      </c>
      <c r="B8" s="9">
        <f>SUMIFS('Registro Diario'!$F$5:$F$486,'Registro Diario'!$C$5:$C$486,A8,'Registro Diario'!$B$5:$B$486,"&gt;="&amp;$F$4,'Registro Diario'!$B$5:$B$486,"&lt;="&amp;$H$4)</f>
        <v>219</v>
      </c>
      <c r="C8" s="9">
        <f>SUMIFS('Registro Diario'!$H$5:$H$486,'Registro Diario'!$C$5:$C$486,A8,'Registro Diario'!$B$5:$B$486,"&gt;="&amp;$F$4,'Registro Diario'!$B$5:$B$486,"&lt;="&amp;$H$4)</f>
        <v>192.892</v>
      </c>
      <c r="D8" s="10">
        <f>SUMIFS('Registro Diario'!$J$5:$J$486,'Registro Diario'!$C$5:$C$486,A8,'Registro Diario'!$B$5:$B$486,"&gt;="&amp;$F$4,'Registro Diario'!$B$5:$B$486,"&lt;="&amp;$H$4)</f>
        <v>5208.0840000000007</v>
      </c>
      <c r="E8" s="7">
        <f t="shared" si="0"/>
        <v>1.1353503514920267</v>
      </c>
    </row>
    <row r="9" spans="1:8" x14ac:dyDescent="0.3">
      <c r="A9" s="2" t="str">
        <f>Listas!A5</f>
        <v>U-293</v>
      </c>
      <c r="B9" s="9">
        <f>SUMIFS('Registro Diario'!$F$5:$F$486,'Registro Diario'!$C$5:$C$486,A9,'Registro Diario'!$B$5:$B$486,"&gt;="&amp;$F$4,'Registro Diario'!$B$5:$B$486,"&lt;="&amp;$H$4)</f>
        <v>288</v>
      </c>
      <c r="C9" s="9">
        <f>SUMIFS('Registro Diario'!$H$5:$H$486,'Registro Diario'!$C$5:$C$486,A9,'Registro Diario'!$B$5:$B$486,"&gt;="&amp;$F$4,'Registro Diario'!$B$5:$B$486,"&lt;="&amp;$H$4)</f>
        <v>68.731999999999999</v>
      </c>
      <c r="D9" s="10">
        <f>SUMIFS('Registro Diario'!$J$5:$J$486,'Registro Diario'!$C$5:$C$486,A9,'Registro Diario'!$B$5:$B$486,"&gt;="&amp;$F$4,'Registro Diario'!$B$5:$B$486,"&lt;="&amp;$H$4)</f>
        <v>1648.1933600000002</v>
      </c>
      <c r="E9" s="7">
        <f t="shared" si="0"/>
        <v>4.1901879764883896</v>
      </c>
    </row>
    <row r="10" spans="1:8" x14ac:dyDescent="0.3">
      <c r="A10" s="2" t="str">
        <f>Listas!A6</f>
        <v>U-337</v>
      </c>
      <c r="B10" s="9">
        <f>SUMIFS('Registro Diario'!$F$5:$F$486,'Registro Diario'!$C$5:$C$486,A10,'Registro Diario'!$B$5:$B$486,"&gt;="&amp;$F$4,'Registro Diario'!$B$5:$B$486,"&lt;="&amp;$H$4)</f>
        <v>0</v>
      </c>
      <c r="C10" s="9">
        <f>SUMIFS('Registro Diario'!$H$5:$H$486,'Registro Diario'!$C$5:$C$486,A10,'Registro Diario'!$B$5:$B$486,"&gt;="&amp;$F$4,'Registro Diario'!$B$5:$B$486,"&lt;="&amp;$H$4)</f>
        <v>145.85400000000001</v>
      </c>
      <c r="D10" s="10">
        <f>SUMIFS('Registro Diario'!$J$5:$J$486,'Registro Diario'!$C$5:$C$486,A10,'Registro Diario'!$B$5:$B$486,"&gt;="&amp;$F$4,'Registro Diario'!$B$5:$B$486,"&lt;="&amp;$H$4)</f>
        <v>3938.0580000000004</v>
      </c>
      <c r="E10" s="7">
        <f t="shared" si="0"/>
        <v>0</v>
      </c>
    </row>
    <row r="11" spans="1:8" x14ac:dyDescent="0.3">
      <c r="A11" s="2" t="str">
        <f>Listas!A7</f>
        <v>U-338</v>
      </c>
      <c r="B11" s="9">
        <f>SUMIFS('Registro Diario'!$F$5:$F$486,'Registro Diario'!$C$5:$C$486,A11,'Registro Diario'!$B$5:$B$486,"&gt;="&amp;$F$4,'Registro Diario'!$B$5:$B$486,"&lt;="&amp;$H$4)</f>
        <v>170787</v>
      </c>
      <c r="C11" s="9">
        <f>SUMIFS('Registro Diario'!$H$5:$H$486,'Registro Diario'!$C$5:$C$486,A11,'Registro Diario'!$B$5:$B$486,"&gt;="&amp;$F$4,'Registro Diario'!$B$5:$B$486,"&lt;="&amp;$H$4)</f>
        <v>241.85399999999998</v>
      </c>
      <c r="D11" s="10">
        <f>SUMIFS('Registro Diario'!$J$5:$J$486,'Registro Diario'!$C$5:$C$486,A11,'Registro Diario'!$B$5:$B$486,"&gt;="&amp;$F$4,'Registro Diario'!$B$5:$B$486,"&lt;="&amp;$H$4)</f>
        <v>6530.058</v>
      </c>
      <c r="E11" s="7">
        <f t="shared" si="0"/>
        <v>706.15743382371193</v>
      </c>
    </row>
    <row r="12" spans="1:8" x14ac:dyDescent="0.3">
      <c r="A12" s="2" t="str">
        <f>Listas!A8</f>
        <v>U-434</v>
      </c>
      <c r="B12" s="9">
        <f>SUMIFS('Registro Diario'!$F$5:$F$486,'Registro Diario'!$C$5:$C$486,A12,'Registro Diario'!$B$5:$B$486,"&gt;="&amp;$F$4,'Registro Diario'!$B$5:$B$486,"&lt;="&amp;$H$4)</f>
        <v>0</v>
      </c>
      <c r="C12" s="9">
        <f>SUMIFS('Registro Diario'!$H$5:$H$486,'Registro Diario'!$C$5:$C$486,A12,'Registro Diario'!$B$5:$B$486,"&gt;="&amp;$F$4,'Registro Diario'!$B$5:$B$486,"&lt;="&amp;$H$4)</f>
        <v>0</v>
      </c>
      <c r="D12" s="10">
        <f>SUMIFS('Registro Diario'!$J$5:$J$486,'Registro Diario'!$C$5:$C$486,A12,'Registro Diario'!$B$5:$B$486,"&gt;="&amp;$F$4,'Registro Diario'!$B$5:$B$486,"&lt;="&amp;$H$4)</f>
        <v>0</v>
      </c>
      <c r="E12" s="7">
        <f t="shared" si="0"/>
        <v>0</v>
      </c>
    </row>
    <row r="13" spans="1:8" x14ac:dyDescent="0.3">
      <c r="A13" s="2" t="str">
        <f>Listas!A9</f>
        <v>U-460</v>
      </c>
      <c r="B13" s="9">
        <f>SUMIFS('Registro Diario'!$F$5:$F$486,'Registro Diario'!$C$5:$C$486,A13,'Registro Diario'!$B$5:$B$486,"&gt;="&amp;$F$4,'Registro Diario'!$B$5:$B$486,"&lt;="&amp;$H$4)</f>
        <v>0</v>
      </c>
      <c r="C13" s="9">
        <f>SUMIFS('Registro Diario'!$H$5:$H$486,'Registro Diario'!$C$5:$C$486,A13,'Registro Diario'!$B$5:$B$486,"&gt;="&amp;$F$4,'Registro Diario'!$B$5:$B$486,"&lt;="&amp;$H$4)</f>
        <v>0</v>
      </c>
      <c r="D13" s="10">
        <f>SUMIFS('Registro Diario'!$J$5:$J$486,'Registro Diario'!$C$5:$C$486,A13,'Registro Diario'!$B$5:$B$486,"&gt;="&amp;$F$4,'Registro Diario'!$B$5:$B$486,"&lt;="&amp;$H$4)</f>
        <v>0</v>
      </c>
      <c r="E13" s="7">
        <f t="shared" si="0"/>
        <v>0</v>
      </c>
    </row>
    <row r="14" spans="1:8" x14ac:dyDescent="0.3">
      <c r="A14" s="2" t="str">
        <f>Listas!A10</f>
        <v>U-468</v>
      </c>
      <c r="B14" s="9">
        <f>SUMIFS('Registro Diario'!$F$5:$F$486,'Registro Diario'!$C$5:$C$486,A14,'Registro Diario'!$B$5:$B$486,"&gt;="&amp;$F$4,'Registro Diario'!$B$5:$B$486,"&lt;="&amp;$H$4)</f>
        <v>0</v>
      </c>
      <c r="C14" s="9">
        <f>SUMIFS('Registro Diario'!$H$5:$H$486,'Registro Diario'!$C$5:$C$486,A14,'Registro Diario'!$B$5:$B$486,"&gt;="&amp;$F$4,'Registro Diario'!$B$5:$B$486,"&lt;="&amp;$H$4)</f>
        <v>0</v>
      </c>
      <c r="D14" s="10">
        <f>SUMIFS('Registro Diario'!$J$5:$J$486,'Registro Diario'!$C$5:$C$486,A14,'Registro Diario'!$B$5:$B$486,"&gt;="&amp;$F$4,'Registro Diario'!$B$5:$B$486,"&lt;="&amp;$H$4)</f>
        <v>0</v>
      </c>
      <c r="E14" s="7">
        <f t="shared" si="0"/>
        <v>0</v>
      </c>
    </row>
    <row r="15" spans="1:8" x14ac:dyDescent="0.3">
      <c r="A15" s="2" t="str">
        <f>Listas!A11</f>
        <v>U-477</v>
      </c>
      <c r="B15" s="9">
        <f>SUMIFS('Registro Diario'!$F$5:$F$486,'Registro Diario'!$C$5:$C$486,A15,'Registro Diario'!$B$5:$B$486,"&gt;="&amp;$F$4,'Registro Diario'!$B$5:$B$486,"&lt;="&amp;$H$4)</f>
        <v>0</v>
      </c>
      <c r="C15" s="9">
        <f>SUMIFS('Registro Diario'!$H$5:$H$486,'Registro Diario'!$C$5:$C$486,A15,'Registro Diario'!$B$5:$B$486,"&gt;="&amp;$F$4,'Registro Diario'!$B$5:$B$486,"&lt;="&amp;$H$4)</f>
        <v>0</v>
      </c>
      <c r="D15" s="10">
        <f>SUMIFS('Registro Diario'!$J$5:$J$486,'Registro Diario'!$C$5:$C$486,A15,'Registro Diario'!$B$5:$B$486,"&gt;="&amp;$F$4,'Registro Diario'!$B$5:$B$486,"&lt;="&amp;$H$4)</f>
        <v>0</v>
      </c>
      <c r="E15" s="7">
        <f t="shared" si="0"/>
        <v>0</v>
      </c>
    </row>
    <row r="16" spans="1:8" x14ac:dyDescent="0.3">
      <c r="A16" s="2" t="str">
        <f>Listas!A12</f>
        <v>U-545</v>
      </c>
      <c r="B16" s="9">
        <f>SUMIFS('Registro Diario'!$F$5:$F$486,'Registro Diario'!$C$5:$C$486,A16,'Registro Diario'!$B$5:$B$486,"&gt;="&amp;$F$4,'Registro Diario'!$B$5:$B$486,"&lt;="&amp;$H$4)</f>
        <v>206510</v>
      </c>
      <c r="C16" s="9">
        <f>SUMIFS('Registro Diario'!$H$5:$H$486,'Registro Diario'!$C$5:$C$486,A16,'Registro Diario'!$B$5:$B$486,"&gt;="&amp;$F$4,'Registro Diario'!$B$5:$B$486,"&lt;="&amp;$H$4)</f>
        <v>157.80199999999999</v>
      </c>
      <c r="D16" s="10">
        <f>SUMIFS('Registro Diario'!$J$5:$J$486,'Registro Diario'!$C$5:$C$486,A16,'Registro Diario'!$B$5:$B$486,"&gt;="&amp;$F$4,'Registro Diario'!$B$5:$B$486,"&lt;="&amp;$H$4)</f>
        <v>4260.6540000000005</v>
      </c>
      <c r="E16" s="7">
        <f t="shared" si="0"/>
        <v>1308.6652894133156</v>
      </c>
    </row>
    <row r="17" spans="1:5" x14ac:dyDescent="0.3">
      <c r="A17" s="2" t="str">
        <f>Listas!A13</f>
        <v>U-549</v>
      </c>
      <c r="B17" s="9">
        <f>SUMIFS('Registro Diario'!$F$5:$F$486,'Registro Diario'!$C$5:$C$486,A17,'Registro Diario'!$B$5:$B$486,"&gt;="&amp;$F$4,'Registro Diario'!$B$5:$B$486,"&lt;="&amp;$H$4)</f>
        <v>214087</v>
      </c>
      <c r="C17" s="9">
        <f>SUMIFS('Registro Diario'!$H$5:$H$486,'Registro Diario'!$C$5:$C$486,A17,'Registro Diario'!$B$5:$B$486,"&gt;="&amp;$F$4,'Registro Diario'!$B$5:$B$486,"&lt;="&amp;$H$4)</f>
        <v>87.001000000000005</v>
      </c>
      <c r="D17" s="10">
        <f>SUMIFS('Registro Diario'!$J$5:$J$486,'Registro Diario'!$C$5:$C$486,A17,'Registro Diario'!$B$5:$B$486,"&gt;="&amp;$F$4,'Registro Diario'!$B$5:$B$486,"&lt;="&amp;$H$4)</f>
        <v>2349.027</v>
      </c>
      <c r="E17" s="7">
        <f t="shared" si="0"/>
        <v>2460.7418305536717</v>
      </c>
    </row>
    <row r="18" spans="1:5" x14ac:dyDescent="0.3">
      <c r="A18" s="2" t="str">
        <f>Listas!A14</f>
        <v>U-551</v>
      </c>
      <c r="B18" s="9">
        <f>SUMIFS('Registro Diario'!$F$5:$F$486,'Registro Diario'!$C$5:$C$486,A18,'Registro Diario'!$B$5:$B$486,"&gt;="&amp;$F$4,'Registro Diario'!$B$5:$B$486,"&lt;="&amp;$H$4)</f>
        <v>975</v>
      </c>
      <c r="C18" s="9">
        <f>SUMIFS('Registro Diario'!$H$5:$H$486,'Registro Diario'!$C$5:$C$486,A18,'Registro Diario'!$B$5:$B$486,"&gt;="&amp;$F$4,'Registro Diario'!$B$5:$B$486,"&lt;="&amp;$H$4)</f>
        <v>245.48400000000004</v>
      </c>
      <c r="D18" s="10">
        <f>SUMIFS('Registro Diario'!$J$5:$J$486,'Registro Diario'!$C$5:$C$486,A18,'Registro Diario'!$B$5:$B$486,"&gt;="&amp;$F$4,'Registro Diario'!$B$5:$B$486,"&lt;="&amp;$H$4)</f>
        <v>6628.0680000000002</v>
      </c>
      <c r="E18" s="7">
        <f t="shared" si="0"/>
        <v>3.9717456127486916</v>
      </c>
    </row>
    <row r="19" spans="1:5" x14ac:dyDescent="0.3">
      <c r="A19" s="2" t="str">
        <f>Listas!A15</f>
        <v>U-554</v>
      </c>
      <c r="B19" s="9">
        <f>SUMIFS('Registro Diario'!$F$5:$F$486,'Registro Diario'!$C$5:$C$486,A19,'Registro Diario'!$B$5:$B$486,"&gt;="&amp;$F$4,'Registro Diario'!$B$5:$B$486,"&lt;="&amp;$H$4)</f>
        <v>845</v>
      </c>
      <c r="C19" s="9">
        <f>SUMIFS('Registro Diario'!$H$5:$H$486,'Registro Diario'!$C$5:$C$486,A19,'Registro Diario'!$B$5:$B$486,"&gt;="&amp;$F$4,'Registro Diario'!$B$5:$B$486,"&lt;="&amp;$H$4)</f>
        <v>207.43800000000002</v>
      </c>
      <c r="D19" s="10">
        <f>SUMIFS('Registro Diario'!$J$5:$J$486,'Registro Diario'!$C$5:$C$486,A19,'Registro Diario'!$B$5:$B$486,"&gt;="&amp;$F$4,'Registro Diario'!$B$5:$B$486,"&lt;="&amp;$H$4)</f>
        <v>5600.826</v>
      </c>
      <c r="E19" s="7">
        <f t="shared" si="0"/>
        <v>4.073506300677793</v>
      </c>
    </row>
    <row r="20" spans="1:5" x14ac:dyDescent="0.3">
      <c r="A20" s="2" t="str">
        <f>Listas!A16</f>
        <v>U-559</v>
      </c>
      <c r="B20" s="9">
        <f>SUMIFS('Registro Diario'!$F$5:$F$486,'Registro Diario'!$C$5:$C$486,A20,'Registro Diario'!$B$5:$B$486,"&gt;="&amp;$F$4,'Registro Diario'!$B$5:$B$486,"&lt;="&amp;$H$4)</f>
        <v>1312</v>
      </c>
      <c r="C20" s="9">
        <f>SUMIFS('Registro Diario'!$H$5:$H$486,'Registro Diario'!$C$5:$C$486,A20,'Registro Diario'!$B$5:$B$486,"&gt;="&amp;$F$4,'Registro Diario'!$B$5:$B$486,"&lt;="&amp;$H$4)</f>
        <v>201.68800000000002</v>
      </c>
      <c r="D20" s="10">
        <f>SUMIFS('Registro Diario'!$J$5:$J$486,'Registro Diario'!$C$5:$C$486,A20,'Registro Diario'!$B$5:$B$486,"&gt;="&amp;$F$4,'Registro Diario'!$B$5:$B$486,"&lt;="&amp;$H$4)</f>
        <v>5445.576</v>
      </c>
      <c r="E20" s="7">
        <f t="shared" si="0"/>
        <v>6.5050969814763393</v>
      </c>
    </row>
    <row r="21" spans="1:5" x14ac:dyDescent="0.3">
      <c r="A21" s="2" t="str">
        <f>Listas!A17</f>
        <v>U-560</v>
      </c>
      <c r="B21" s="9">
        <f>SUMIFS('Registro Diario'!$F$5:$F$486,'Registro Diario'!$C$5:$C$486,A21,'Registro Diario'!$B$5:$B$486,"&gt;="&amp;$F$4,'Registro Diario'!$B$5:$B$486,"&lt;="&amp;$H$4)</f>
        <v>277385</v>
      </c>
      <c r="C21" s="9">
        <f>SUMIFS('Registro Diario'!$H$5:$H$486,'Registro Diario'!$C$5:$C$486,A21,'Registro Diario'!$B$5:$B$486,"&gt;="&amp;$F$4,'Registro Diario'!$B$5:$B$486,"&lt;="&amp;$H$4)</f>
        <v>389.90699999999998</v>
      </c>
      <c r="D21" s="10">
        <f>SUMIFS('Registro Diario'!$J$5:$J$486,'Registro Diario'!$C$5:$C$486,A21,'Registro Diario'!$B$5:$B$486,"&gt;="&amp;$F$4,'Registro Diario'!$B$5:$B$486,"&lt;="&amp;$H$4)</f>
        <v>10527.489</v>
      </c>
      <c r="E21" s="7">
        <f t="shared" si="0"/>
        <v>711.41323443795579</v>
      </c>
    </row>
    <row r="22" spans="1:5" x14ac:dyDescent="0.3">
      <c r="A22" s="2" t="str">
        <f>Listas!A18</f>
        <v>U-562</v>
      </c>
      <c r="B22" s="9">
        <f>SUMIFS('Registro Diario'!$F$5:$F$486,'Registro Diario'!$C$5:$C$486,A22,'Registro Diario'!$B$5:$B$486,"&gt;="&amp;$F$4,'Registro Diario'!$B$5:$B$486,"&lt;="&amp;$H$4)</f>
        <v>669</v>
      </c>
      <c r="C22" s="9">
        <f>SUMIFS('Registro Diario'!$H$5:$H$486,'Registro Diario'!$C$5:$C$486,A22,'Registro Diario'!$B$5:$B$486,"&gt;="&amp;$F$4,'Registro Diario'!$B$5:$B$486,"&lt;="&amp;$H$4)</f>
        <v>170.60600000000002</v>
      </c>
      <c r="D22" s="10">
        <f>SUMIFS('Registro Diario'!$J$5:$J$486,'Registro Diario'!$C$5:$C$486,A22,'Registro Diario'!$B$5:$B$486,"&gt;="&amp;$F$4,'Registro Diario'!$B$5:$B$486,"&lt;="&amp;$H$4)</f>
        <v>4606.3620000000001</v>
      </c>
      <c r="E22" s="7">
        <f t="shared" si="0"/>
        <v>3.921315780218749</v>
      </c>
    </row>
    <row r="23" spans="1:5" x14ac:dyDescent="0.3">
      <c r="A23" s="2" t="str">
        <f>Listas!A19</f>
        <v>U-566</v>
      </c>
      <c r="B23" s="9">
        <f>SUMIFS('Registro Diario'!$F$5:$F$486,'Registro Diario'!$C$5:$C$486,A23,'Registro Diario'!$B$5:$B$486,"&gt;="&amp;$F$4,'Registro Diario'!$B$5:$B$486,"&lt;="&amp;$H$4)</f>
        <v>245</v>
      </c>
      <c r="C23" s="9">
        <f>SUMIFS('Registro Diario'!$H$5:$H$486,'Registro Diario'!$C$5:$C$486,A23,'Registro Diario'!$B$5:$B$486,"&gt;="&amp;$F$4,'Registro Diario'!$B$5:$B$486,"&lt;="&amp;$H$4)</f>
        <v>79.724999999999994</v>
      </c>
      <c r="D23" s="10">
        <f>SUMIFS('Registro Diario'!$J$5:$J$486,'Registro Diario'!$C$5:$C$486,A23,'Registro Diario'!$B$5:$B$486,"&gt;="&amp;$F$4,'Registro Diario'!$B$5:$B$486,"&lt;="&amp;$H$4)</f>
        <v>2153.9298074999997</v>
      </c>
      <c r="E23" s="7">
        <f t="shared" si="0"/>
        <v>3.0730636563185953</v>
      </c>
    </row>
    <row r="24" spans="1:5" x14ac:dyDescent="0.3">
      <c r="A24" s="2" t="str">
        <f>Listas!A20</f>
        <v>U-576</v>
      </c>
      <c r="B24" s="9">
        <f>SUMIFS('Registro Diario'!$F$5:$F$486,'Registro Diario'!$C$5:$C$486,A24,'Registro Diario'!$B$5:$B$486,"&gt;="&amp;$F$4,'Registro Diario'!$B$5:$B$486,"&lt;="&amp;$H$4)</f>
        <v>112050</v>
      </c>
      <c r="C24" s="9">
        <f>SUMIFS('Registro Diario'!$H$5:$H$486,'Registro Diario'!$C$5:$C$486,A24,'Registro Diario'!$B$5:$B$486,"&gt;="&amp;$F$4,'Registro Diario'!$B$5:$B$486,"&lt;="&amp;$H$4)</f>
        <v>327.84500000000003</v>
      </c>
      <c r="D24" s="10">
        <f>SUMIFS('Registro Diario'!$J$5:$J$486,'Registro Diario'!$C$5:$C$486,A24,'Registro Diario'!$B$5:$B$486,"&gt;="&amp;$F$4,'Registro Diario'!$B$5:$B$486,"&lt;="&amp;$H$4)</f>
        <v>7861.79743856</v>
      </c>
      <c r="E24" s="7">
        <f t="shared" si="0"/>
        <v>341.77736430325302</v>
      </c>
    </row>
    <row r="25" spans="1:5" x14ac:dyDescent="0.3">
      <c r="A25" s="2" t="str">
        <f>Listas!A21</f>
        <v>U-579</v>
      </c>
      <c r="B25" s="9">
        <f>SUMIFS('Registro Diario'!$F$5:$F$486,'Registro Diario'!$C$5:$C$486,A25,'Registro Diario'!$B$5:$B$486,"&gt;="&amp;$F$4,'Registro Diario'!$B$5:$B$486,"&lt;="&amp;$H$4)</f>
        <v>506</v>
      </c>
      <c r="C25" s="9">
        <f>SUMIFS('Registro Diario'!$H$5:$H$486,'Registro Diario'!$C$5:$C$486,A25,'Registro Diario'!$B$5:$B$486,"&gt;="&amp;$F$4,'Registro Diario'!$B$5:$B$486,"&lt;="&amp;$H$4)</f>
        <v>131.81799999999998</v>
      </c>
      <c r="D25" s="10">
        <f>SUMIFS('Registro Diario'!$J$5:$J$486,'Registro Diario'!$C$5:$C$486,A25,'Registro Diario'!$B$5:$B$486,"&gt;="&amp;$F$4,'Registro Diario'!$B$5:$B$486,"&lt;="&amp;$H$4)</f>
        <v>3160.9956400000001</v>
      </c>
      <c r="E25" s="7">
        <f t="shared" si="0"/>
        <v>3.8386259843117028</v>
      </c>
    </row>
    <row r="26" spans="1:5" x14ac:dyDescent="0.3">
      <c r="A26" s="2" t="str">
        <f>Listas!A22</f>
        <v>U-581</v>
      </c>
      <c r="B26" s="9">
        <f>SUMIFS('Registro Diario'!$F$5:$F$486,'Registro Diario'!$C$5:$C$486,A26,'Registro Diario'!$B$5:$B$486,"&gt;="&amp;$F$4,'Registro Diario'!$B$5:$B$486,"&lt;="&amp;$H$4)</f>
        <v>306015</v>
      </c>
      <c r="C26" s="9">
        <f>SUMIFS('Registro Diario'!$H$5:$H$486,'Registro Diario'!$C$5:$C$486,A26,'Registro Diario'!$B$5:$B$486,"&gt;="&amp;$F$4,'Registro Diario'!$B$5:$B$486,"&lt;="&amp;$H$4)</f>
        <v>127.69500000000001</v>
      </c>
      <c r="D26" s="10">
        <f>SUMIFS('Registro Diario'!$J$5:$J$486,'Registro Diario'!$C$5:$C$486,A26,'Registro Diario'!$B$5:$B$486,"&gt;="&amp;$F$4,'Registro Diario'!$B$5:$B$486,"&lt;="&amp;$H$4)</f>
        <v>3299.6111000000001</v>
      </c>
      <c r="E26" s="7">
        <f t="shared" si="0"/>
        <v>2396.4524844355692</v>
      </c>
    </row>
    <row r="27" spans="1:5" x14ac:dyDescent="0.3">
      <c r="A27" s="2" t="str">
        <f>Listas!A23</f>
        <v>U-586</v>
      </c>
      <c r="B27" s="9">
        <f>SUMIFS('Registro Diario'!$F$5:$F$486,'Registro Diario'!$C$5:$C$486,A27,'Registro Diario'!$B$5:$B$486,"&gt;="&amp;$F$4,'Registro Diario'!$B$5:$B$486,"&lt;="&amp;$H$4)</f>
        <v>0</v>
      </c>
      <c r="C27" s="9">
        <f>SUMIFS('Registro Diario'!$H$5:$H$486,'Registro Diario'!$C$5:$C$486,A27,'Registro Diario'!$B$5:$B$486,"&gt;="&amp;$F$4,'Registro Diario'!$B$5:$B$486,"&lt;="&amp;$H$4)</f>
        <v>0</v>
      </c>
      <c r="D27" s="10">
        <f>SUMIFS('Registro Diario'!$J$5:$J$486,'Registro Diario'!$C$5:$C$486,A27,'Registro Diario'!$B$5:$B$486,"&gt;="&amp;$F$4,'Registro Diario'!$B$5:$B$486,"&lt;="&amp;$H$4)</f>
        <v>0</v>
      </c>
      <c r="E27" s="7">
        <f t="shared" si="0"/>
        <v>0</v>
      </c>
    </row>
    <row r="28" spans="1:5" x14ac:dyDescent="0.3">
      <c r="A28" s="2" t="str">
        <f>Listas!A24</f>
        <v>U-588</v>
      </c>
      <c r="B28" s="9">
        <f>SUMIFS('Registro Diario'!$F$5:$F$486,'Registro Diario'!$C$5:$C$486,A28,'Registro Diario'!$B$5:$B$486,"&gt;="&amp;$F$4,'Registro Diario'!$B$5:$B$486,"&lt;="&amp;$H$4)</f>
        <v>1085</v>
      </c>
      <c r="C28" s="9">
        <f>SUMIFS('Registro Diario'!$H$5:$H$486,'Registro Diario'!$C$5:$C$486,A28,'Registro Diario'!$B$5:$B$486,"&gt;="&amp;$F$4,'Registro Diario'!$B$5:$B$486,"&lt;="&amp;$H$4)</f>
        <v>249.76100000000002</v>
      </c>
      <c r="D28" s="10">
        <f>SUMIFS('Registro Diario'!$J$5:$J$486,'Registro Diario'!$C$5:$C$486,A28,'Registro Diario'!$B$5:$B$486,"&gt;="&amp;$F$4,'Registro Diario'!$B$5:$B$486,"&lt;="&amp;$H$4)</f>
        <v>5989.2687800000003</v>
      </c>
      <c r="E28" s="7">
        <f t="shared" si="0"/>
        <v>4.3441530102778252</v>
      </c>
    </row>
    <row r="29" spans="1:5" x14ac:dyDescent="0.3">
      <c r="A29" s="2" t="str">
        <f>Listas!A25</f>
        <v>U-589</v>
      </c>
      <c r="B29" s="9">
        <f>SUMIFS('Registro Diario'!$F$5:$F$486,'Registro Diario'!$C$5:$C$486,A29,'Registro Diario'!$B$5:$B$486,"&gt;="&amp;$F$4,'Registro Diario'!$B$5:$B$486,"&lt;="&amp;$H$4)</f>
        <v>316</v>
      </c>
      <c r="C29" s="9">
        <f>SUMIFS('Registro Diario'!$H$5:$H$486,'Registro Diario'!$C$5:$C$486,A29,'Registro Diario'!$B$5:$B$486,"&gt;="&amp;$F$4,'Registro Diario'!$B$5:$B$486,"&lt;="&amp;$H$4)</f>
        <v>112.58099999999999</v>
      </c>
      <c r="D29" s="10">
        <f>SUMIFS('Registro Diario'!$J$5:$J$486,'Registro Diario'!$C$5:$C$486,A29,'Registro Diario'!$B$5:$B$486,"&gt;="&amp;$F$4,'Registro Diario'!$B$5:$B$486,"&lt;="&amp;$H$4)</f>
        <v>2699.69238</v>
      </c>
      <c r="E29" s="7">
        <f t="shared" si="0"/>
        <v>2.8068679439692312</v>
      </c>
    </row>
    <row r="30" spans="1:5" x14ac:dyDescent="0.3">
      <c r="A30" s="2" t="str">
        <f>Listas!A26</f>
        <v>U-591</v>
      </c>
      <c r="B30" s="9">
        <f>SUMIFS('Registro Diario'!$F$5:$F$486,'Registro Diario'!$C$5:$C$486,A30,'Registro Diario'!$B$5:$B$486,"&gt;="&amp;$F$4,'Registro Diario'!$B$5:$B$486,"&lt;="&amp;$H$4)</f>
        <v>0</v>
      </c>
      <c r="C30" s="9">
        <f>SUMIFS('Registro Diario'!$H$5:$H$486,'Registro Diario'!$C$5:$C$486,A30,'Registro Diario'!$B$5:$B$486,"&gt;="&amp;$F$4,'Registro Diario'!$B$5:$B$486,"&lt;="&amp;$H$4)</f>
        <v>0</v>
      </c>
      <c r="D30" s="10">
        <f>SUMIFS('Registro Diario'!$J$5:$J$486,'Registro Diario'!$C$5:$C$486,A30,'Registro Diario'!$B$5:$B$486,"&gt;="&amp;$F$4,'Registro Diario'!$B$5:$B$486,"&lt;="&amp;$H$4)</f>
        <v>0</v>
      </c>
      <c r="E30" s="7">
        <f t="shared" si="0"/>
        <v>0</v>
      </c>
    </row>
    <row r="31" spans="1:5" x14ac:dyDescent="0.3">
      <c r="A31" s="2" t="str">
        <f>Listas!A27</f>
        <v>U-592</v>
      </c>
      <c r="B31" s="9">
        <f>SUMIFS('Registro Diario'!$F$5:$F$486,'Registro Diario'!$C$5:$C$486,A31,'Registro Diario'!$B$5:$B$486,"&gt;="&amp;$F$4,'Registro Diario'!$B$5:$B$486,"&lt;="&amp;$H$4)</f>
        <v>250874</v>
      </c>
      <c r="C31" s="9">
        <f>SUMIFS('Registro Diario'!$H$5:$H$486,'Registro Diario'!$C$5:$C$486,A31,'Registro Diario'!$B$5:$B$486,"&gt;="&amp;$F$4,'Registro Diario'!$B$5:$B$486,"&lt;="&amp;$H$4)</f>
        <v>417.53200000000004</v>
      </c>
      <c r="D31" s="10">
        <f>SUMIFS('Registro Diario'!$J$5:$J$486,'Registro Diario'!$C$5:$C$486,A31,'Registro Diario'!$B$5:$B$486,"&gt;="&amp;$F$4,'Registro Diario'!$B$5:$B$486,"&lt;="&amp;$H$4)</f>
        <v>10313.502359999999</v>
      </c>
      <c r="E31" s="7">
        <f t="shared" si="0"/>
        <v>600.84975522834168</v>
      </c>
    </row>
    <row r="32" spans="1:5" x14ac:dyDescent="0.3">
      <c r="A32" s="2" t="str">
        <f>Listas!A28</f>
        <v>U-593</v>
      </c>
      <c r="B32" s="9">
        <f>SUMIFS('Registro Diario'!$F$5:$F$486,'Registro Diario'!$C$5:$C$486,A32,'Registro Diario'!$B$5:$B$486,"&gt;="&amp;$F$4,'Registro Diario'!$B$5:$B$486,"&lt;="&amp;$H$4)</f>
        <v>515</v>
      </c>
      <c r="C32" s="9">
        <f>SUMIFS('Registro Diario'!$H$5:$H$486,'Registro Diario'!$C$5:$C$486,A32,'Registro Diario'!$B$5:$B$486,"&gt;="&amp;$F$4,'Registro Diario'!$B$5:$B$486,"&lt;="&amp;$H$4)</f>
        <v>130.18600000000001</v>
      </c>
      <c r="D32" s="10">
        <f>SUMIFS('Registro Diario'!$J$5:$J$486,'Registro Diario'!$C$5:$C$486,A32,'Registro Diario'!$B$5:$B$486,"&gt;="&amp;$F$4,'Registro Diario'!$B$5:$B$486,"&lt;="&amp;$H$4)</f>
        <v>3121.8602799999999</v>
      </c>
      <c r="E32" s="7">
        <f t="shared" si="0"/>
        <v>3.9558785122824265</v>
      </c>
    </row>
    <row r="33" spans="1:5" x14ac:dyDescent="0.3">
      <c r="A33" s="2" t="str">
        <f>Listas!A29</f>
        <v>U-595</v>
      </c>
      <c r="B33" s="9">
        <f>SUMIFS('Registro Diario'!$F$5:$F$486,'Registro Diario'!$C$5:$C$486,A33,'Registro Diario'!$B$5:$B$486,"&gt;="&amp;$F$4,'Registro Diario'!$B$5:$B$486,"&lt;="&amp;$H$4)</f>
        <v>330</v>
      </c>
      <c r="C33" s="9">
        <f>SUMIFS('Registro Diario'!$H$5:$H$486,'Registro Diario'!$C$5:$C$486,A33,'Registro Diario'!$B$5:$B$486,"&gt;="&amp;$F$4,'Registro Diario'!$B$5:$B$486,"&lt;="&amp;$H$4)</f>
        <v>81.211000000000013</v>
      </c>
      <c r="D33" s="10">
        <f>SUMIFS('Registro Diario'!$J$5:$J$486,'Registro Diario'!$C$5:$C$486,A33,'Registro Diario'!$B$5:$B$486,"&gt;="&amp;$F$4,'Registro Diario'!$B$5:$B$486,"&lt;="&amp;$H$4)</f>
        <v>1947.4397800000002</v>
      </c>
      <c r="E33" s="7">
        <f t="shared" si="0"/>
        <v>4.0634889362278503</v>
      </c>
    </row>
    <row r="34" spans="1:5" x14ac:dyDescent="0.3">
      <c r="A34" s="2" t="str">
        <f>Listas!A30</f>
        <v>U-598</v>
      </c>
      <c r="B34" s="9">
        <f>SUMIFS('Registro Diario'!$F$5:$F$486,'Registro Diario'!$C$5:$C$486,A34,'Registro Diario'!$B$5:$B$486,"&gt;="&amp;$F$4,'Registro Diario'!$B$5:$B$486,"&lt;="&amp;$H$4)</f>
        <v>270633</v>
      </c>
      <c r="C34" s="9">
        <f>SUMIFS('Registro Diario'!$H$5:$H$486,'Registro Diario'!$C$5:$C$486,A34,'Registro Diario'!$B$5:$B$486,"&gt;="&amp;$F$4,'Registro Diario'!$B$5:$B$486,"&lt;="&amp;$H$4)</f>
        <v>254.31200000000001</v>
      </c>
      <c r="D34" s="10">
        <f>SUMIFS('Registro Diario'!$J$5:$J$486,'Registro Diario'!$C$5:$C$486,A34,'Registro Diario'!$B$5:$B$486,"&gt;="&amp;$F$4,'Registro Diario'!$B$5:$B$486,"&lt;="&amp;$H$4)</f>
        <v>6098.3964143999992</v>
      </c>
      <c r="E34" s="7">
        <f t="shared" si="0"/>
        <v>1064.1770738305702</v>
      </c>
    </row>
    <row r="35" spans="1:5" x14ac:dyDescent="0.3">
      <c r="A35" s="2" t="str">
        <f>Listas!A31</f>
        <v>U-614</v>
      </c>
      <c r="B35" s="9">
        <f>SUMIFS('Registro Diario'!$F$5:$F$486,'Registro Diario'!$C$5:$C$486,A35,'Registro Diario'!$B$5:$B$486,"&gt;="&amp;$F$4,'Registro Diario'!$B$5:$B$486,"&lt;="&amp;$H$4)</f>
        <v>179058</v>
      </c>
      <c r="C35" s="9">
        <f>SUMIFS('Registro Diario'!$H$5:$H$486,'Registro Diario'!$C$5:$C$486,A35,'Registro Diario'!$B$5:$B$486,"&gt;="&amp;$F$4,'Registro Diario'!$B$5:$B$486,"&lt;="&amp;$H$4)</f>
        <v>720.5469999999998</v>
      </c>
      <c r="D35" s="10">
        <f>SUMIFS('Registro Diario'!$J$5:$J$486,'Registro Diario'!$C$5:$C$486,A35,'Registro Diario'!$B$5:$B$486,"&gt;="&amp;$F$4,'Registro Diario'!$B$5:$B$486,"&lt;="&amp;$H$4)</f>
        <v>17438.3935174</v>
      </c>
      <c r="E35" s="7">
        <f t="shared" si="0"/>
        <v>248.50287351137408</v>
      </c>
    </row>
    <row r="36" spans="1:5" x14ac:dyDescent="0.3">
      <c r="A36" s="2" t="str">
        <f>Listas!A32</f>
        <v>U-640</v>
      </c>
      <c r="B36" s="9">
        <f>SUMIFS('Registro Diario'!$F$5:$F$486,'Registro Diario'!$C$5:$C$486,A36,'Registro Diario'!$B$5:$B$486,"&gt;="&amp;$F$4,'Registro Diario'!$B$5:$B$486,"&lt;="&amp;$H$4)</f>
        <v>0</v>
      </c>
      <c r="C36" s="9">
        <f>SUMIFS('Registro Diario'!$H$5:$H$486,'Registro Diario'!$C$5:$C$486,A36,'Registro Diario'!$B$5:$B$486,"&gt;="&amp;$F$4,'Registro Diario'!$B$5:$B$486,"&lt;="&amp;$H$4)</f>
        <v>0</v>
      </c>
      <c r="D36" s="10">
        <f>SUMIFS('Registro Diario'!$J$5:$J$486,'Registro Diario'!$C$5:$C$486,A36,'Registro Diario'!$B$5:$B$486,"&gt;="&amp;$F$4,'Registro Diario'!$B$5:$B$486,"&lt;="&amp;$H$4)</f>
        <v>0</v>
      </c>
      <c r="E36" s="7">
        <f t="shared" si="0"/>
        <v>0</v>
      </c>
    </row>
    <row r="37" spans="1:5" x14ac:dyDescent="0.3">
      <c r="A37" s="2" t="str">
        <f>Listas!A33</f>
        <v>U-674</v>
      </c>
      <c r="B37" s="9">
        <f>SUMIFS('Registro Diario'!$F$5:$F$486,'Registro Diario'!$C$5:$C$486,A37,'Registro Diario'!$B$5:$B$486,"&gt;="&amp;$F$4,'Registro Diario'!$B$5:$B$486,"&lt;="&amp;$H$4)</f>
        <v>1043</v>
      </c>
      <c r="C37" s="9">
        <f>SUMIFS('Registro Diario'!$H$5:$H$486,'Registro Diario'!$C$5:$C$486,A37,'Registro Diario'!$B$5:$B$486,"&gt;="&amp;$F$4,'Registro Diario'!$B$5:$B$486,"&lt;="&amp;$H$4)</f>
        <v>101.604</v>
      </c>
      <c r="D37" s="10">
        <f>SUMIFS('Registro Diario'!$J$5:$J$486,'Registro Diario'!$C$5:$C$486,A37,'Registro Diario'!$B$5:$B$486,"&gt;="&amp;$F$4,'Registro Diario'!$B$5:$B$486,"&lt;="&amp;$H$4)</f>
        <v>2436.4639200000001</v>
      </c>
      <c r="E37" s="7">
        <f t="shared" si="0"/>
        <v>10.265343884099051</v>
      </c>
    </row>
    <row r="38" spans="1:5" x14ac:dyDescent="0.3">
      <c r="A38" s="2" t="str">
        <f>Listas!A34</f>
        <v>U-675</v>
      </c>
      <c r="B38" s="9">
        <f>SUMIFS('Registro Diario'!$F$5:$F$486,'Registro Diario'!$C$5:$C$486,A38,'Registro Diario'!$B$5:$B$486,"&gt;="&amp;$F$4,'Registro Diario'!$B$5:$B$486,"&lt;="&amp;$H$4)</f>
        <v>1940</v>
      </c>
      <c r="C38" s="9">
        <f>SUMIFS('Registro Diario'!$H$5:$H$486,'Registro Diario'!$C$5:$C$486,A38,'Registro Diario'!$B$5:$B$486,"&gt;="&amp;$F$4,'Registro Diario'!$B$5:$B$486,"&lt;="&amp;$H$4)</f>
        <v>202.476</v>
      </c>
      <c r="D38" s="10">
        <f>SUMIFS('Registro Diario'!$J$5:$J$486,'Registro Diario'!$C$5:$C$486,A38,'Registro Diario'!$B$5:$B$486,"&gt;="&amp;$F$4,'Registro Diario'!$B$5:$B$486,"&lt;="&amp;$H$4)</f>
        <v>5466.8519999999999</v>
      </c>
      <c r="E38" s="7">
        <f t="shared" si="0"/>
        <v>9.5813824848377092</v>
      </c>
    </row>
    <row r="39" spans="1:5" x14ac:dyDescent="0.3">
      <c r="A39" s="2" t="str">
        <f>Listas!A35</f>
        <v>Maq. Soldar</v>
      </c>
      <c r="B39" s="9">
        <f>SUMIFS('Registro Diario'!$F$5:$F$486,'Registro Diario'!$C$5:$C$486,A39,'Registro Diario'!$B$5:$B$486,"&gt;="&amp;$F$4,'Registro Diario'!$B$5:$B$486,"&lt;="&amp;$H$4)</f>
        <v>3598</v>
      </c>
      <c r="C39" s="9">
        <f>SUMIFS('Registro Diario'!$H$5:$H$486,'Registro Diario'!$C$5:$C$486,A39,'Registro Diario'!$B$5:$B$486,"&gt;="&amp;$F$4,'Registro Diario'!$B$5:$B$486,"&lt;="&amp;$H$4)</f>
        <v>108.36099999999999</v>
      </c>
      <c r="D39" s="10">
        <f>SUMIFS('Registro Diario'!$J$5:$J$486,'Registro Diario'!$C$5:$C$486,A39,'Registro Diario'!$B$5:$B$486,"&gt;="&amp;$F$4,'Registro Diario'!$B$5:$B$486,"&lt;="&amp;$H$4)</f>
        <v>2925.7469999999998</v>
      </c>
      <c r="E39" s="7">
        <f t="shared" si="0"/>
        <v>33.203827945478544</v>
      </c>
    </row>
    <row r="40" spans="1:5" x14ac:dyDescent="0.3">
      <c r="A40" s="2" t="str">
        <f>Listas!A36</f>
        <v>Celaje</v>
      </c>
      <c r="B40" s="9">
        <f>SUMIFS('Registro Diario'!$F$5:$F$486,'Registro Diario'!$C$5:$C$486,A40,'Registro Diario'!$B$5:$B$486,"&gt;="&amp;$F$4,'Registro Diario'!$B$5:$B$486,"&lt;="&amp;$H$4)</f>
        <v>0</v>
      </c>
      <c r="C40" s="9">
        <f>SUMIFS('Registro Diario'!$H$5:$H$486,'Registro Diario'!$C$5:$C$486,A40,'Registro Diario'!$B$5:$B$486,"&gt;="&amp;$F$4,'Registro Diario'!$B$5:$B$486,"&lt;="&amp;$H$4)</f>
        <v>7</v>
      </c>
      <c r="D40" s="10">
        <f>SUMIFS('Registro Diario'!$J$5:$J$486,'Registro Diario'!$C$5:$C$486,A40,'Registro Diario'!$B$5:$B$486,"&gt;="&amp;$F$4,'Registro Diario'!$B$5:$B$486,"&lt;="&amp;$H$4)</f>
        <v>167.86</v>
      </c>
      <c r="E40" s="7">
        <f t="shared" si="0"/>
        <v>0</v>
      </c>
    </row>
    <row r="41" spans="1:5" x14ac:dyDescent="0.3">
      <c r="A41" s="2" t="str">
        <f>Listas!A37</f>
        <v>otros</v>
      </c>
      <c r="B41" s="9">
        <f>SUMIFS('Registro Diario'!$F$5:$F$486,'Registro Diario'!$C$5:$C$486,A41,'Registro Diario'!$B$5:$B$486,"&gt;="&amp;$F$4,'Registro Diario'!$B$5:$B$486,"&lt;="&amp;$H$4)</f>
        <v>0</v>
      </c>
      <c r="C41" s="9">
        <f>SUMIFS('Registro Diario'!$H$5:$H$486,'Registro Diario'!$C$5:$C$486,A41,'Registro Diario'!$B$5:$B$486,"&gt;="&amp;$F$4,'Registro Diario'!$B$5:$B$486,"&lt;="&amp;$H$4)</f>
        <v>34.185000000000002</v>
      </c>
      <c r="D41" s="10">
        <f>SUMIFS('Registro Diario'!$J$5:$J$486,'Registro Diario'!$C$5:$C$486,A41,'Registro Diario'!$B$5:$B$486,"&gt;="&amp;$F$4,'Registro Diario'!$B$5:$B$486,"&lt;="&amp;$H$4)</f>
        <v>831.66113999999993</v>
      </c>
      <c r="E41" s="7">
        <f t="shared" ref="E41" si="1">IFERROR(B41/C41,0)</f>
        <v>0</v>
      </c>
    </row>
    <row r="42" spans="1:5" ht="31.5" customHeight="1" x14ac:dyDescent="0.3">
      <c r="A42" s="2" t="str">
        <f>Listas!A38</f>
        <v>Bateria Soledad Norte 1</v>
      </c>
      <c r="B42" s="9">
        <f>SUMIFS('Registro Diario'!$F$5:$F$486,'Registro Diario'!$C$5:$C$486,A42,'Registro Diario'!$B$5:$B$486,"&gt;="&amp;$F$4,'Registro Diario'!$B$5:$B$486,"&lt;="&amp;$H$4)</f>
        <v>0</v>
      </c>
      <c r="C42" s="9">
        <f>SUMIFS('Registro Diario'!$H$5:$H$486,'Registro Diario'!$C$5:$C$486,A42,'Registro Diario'!$B$5:$B$486,"&gt;="&amp;$F$4,'Registro Diario'!$B$5:$B$486,"&lt;="&amp;$H$4)</f>
        <v>50</v>
      </c>
      <c r="D42" s="10">
        <f>SUMIFS('Registro Diario'!$J$5:$J$486,'Registro Diario'!$C$5:$C$486,A42,'Registro Diario'!$B$5:$B$486,"&gt;="&amp;$F$4,'Registro Diario'!$B$5:$B$486,"&lt;="&amp;$H$4)</f>
        <v>5000</v>
      </c>
      <c r="E42" s="7">
        <f t="shared" ref="E42:E43" si="2">IFERROR(B42/C42,0)</f>
        <v>0</v>
      </c>
    </row>
    <row r="43" spans="1:5" ht="27.6" x14ac:dyDescent="0.3">
      <c r="A43" s="2" t="str">
        <f>Listas!A39</f>
        <v>Bateria Soledad Sur 2</v>
      </c>
      <c r="B43" s="9">
        <f>SUMIFS('Registro Diario'!$F$5:$F$486,'Registro Diario'!$C$5:$C$486,A43,'Registro Diario'!$B$5:$B$486,"&gt;="&amp;$F$4,'Registro Diario'!$B$5:$B$486,"&lt;="&amp;$H$4)</f>
        <v>0</v>
      </c>
      <c r="C43" s="9">
        <f>SUMIFS('Registro Diario'!$H$5:$H$486,'Registro Diario'!$C$5:$C$486,A43,'Registro Diario'!$B$5:$B$486,"&gt;="&amp;$F$4,'Registro Diario'!$B$5:$B$486,"&lt;="&amp;$H$4)</f>
        <v>50</v>
      </c>
      <c r="D43" s="10">
        <f>SUMIFS('Registro Diario'!$J$5:$J$486,'Registro Diario'!$C$5:$C$486,A43,'Registro Diario'!$B$5:$B$486,"&gt;="&amp;$F$4,'Registro Diario'!$B$5:$B$486,"&lt;="&amp;$H$4)</f>
        <v>5000</v>
      </c>
      <c r="E43" s="7">
        <f t="shared" si="2"/>
        <v>0</v>
      </c>
    </row>
    <row r="44" spans="1:5" x14ac:dyDescent="0.3">
      <c r="A44" s="19"/>
      <c r="B44" s="19"/>
      <c r="C44" s="19"/>
      <c r="D44" s="20"/>
      <c r="E44" s="21"/>
    </row>
    <row r="46" spans="1:5" x14ac:dyDescent="0.3">
      <c r="A46" s="14" t="s">
        <v>25</v>
      </c>
      <c r="B46" s="15">
        <f>SUM(B7:B45)</f>
        <v>2001285</v>
      </c>
      <c r="C46" s="15">
        <f>SUM(C7:C45)</f>
        <v>5296.0970000000007</v>
      </c>
      <c r="D46" s="16">
        <f>SUM(D7:D45)</f>
        <v>142655.86691785997</v>
      </c>
      <c r="E46" s="17">
        <f>IFERROR(B46/C46,0)</f>
        <v>377.87921935719828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zoomScaleNormal="100" workbookViewId="0">
      <selection activeCell="D6" sqref="D6"/>
    </sheetView>
  </sheetViews>
  <sheetFormatPr baseColWidth="10" defaultColWidth="8.6640625" defaultRowHeight="14.4" x14ac:dyDescent="0.3"/>
  <sheetData>
    <row r="1" spans="1:8" ht="21" x14ac:dyDescent="0.4">
      <c r="A1" s="27" t="s">
        <v>26</v>
      </c>
      <c r="B1" s="27"/>
      <c r="C1" s="27"/>
      <c r="D1" s="27"/>
      <c r="E1" s="27"/>
      <c r="F1" s="27"/>
      <c r="G1" s="27"/>
      <c r="H1" s="27"/>
    </row>
    <row r="2" spans="1:8" x14ac:dyDescent="0.3">
      <c r="A2" s="28" t="s">
        <v>27</v>
      </c>
      <c r="B2" s="28"/>
      <c r="C2" s="28"/>
      <c r="D2" s="28"/>
      <c r="E2" s="28"/>
      <c r="F2" s="28"/>
      <c r="G2" s="28"/>
      <c r="H2" s="2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zoomScaleNormal="100" workbookViewId="0">
      <selection activeCell="B3" sqref="B3"/>
    </sheetView>
  </sheetViews>
  <sheetFormatPr baseColWidth="10" defaultColWidth="8.6640625" defaultRowHeight="14.4" x14ac:dyDescent="0.3"/>
  <cols>
    <col min="1" max="1" width="18" customWidth="1"/>
    <col min="2" max="2" width="16" customWidth="1"/>
    <col min="3" max="3" width="28.33203125" bestFit="1" customWidth="1"/>
  </cols>
  <sheetData>
    <row r="1" spans="1:3" ht="27.6" x14ac:dyDescent="0.3">
      <c r="A1" s="11" t="s">
        <v>28</v>
      </c>
      <c r="B1" s="11" t="s">
        <v>29</v>
      </c>
      <c r="C1" s="1" t="s">
        <v>69</v>
      </c>
    </row>
    <row r="2" spans="1:3" x14ac:dyDescent="0.3">
      <c r="A2" s="18" t="s">
        <v>73</v>
      </c>
      <c r="B2" t="s">
        <v>13</v>
      </c>
      <c r="C2" s="4" t="s">
        <v>70</v>
      </c>
    </row>
    <row r="3" spans="1:3" x14ac:dyDescent="0.3">
      <c r="A3" s="18" t="s">
        <v>30</v>
      </c>
      <c r="B3" t="s">
        <v>13</v>
      </c>
      <c r="C3" s="4" t="s">
        <v>14</v>
      </c>
    </row>
    <row r="4" spans="1:3" x14ac:dyDescent="0.3">
      <c r="A4" s="18" t="s">
        <v>31</v>
      </c>
      <c r="B4" t="s">
        <v>14</v>
      </c>
      <c r="C4" s="4" t="s">
        <v>14</v>
      </c>
    </row>
    <row r="5" spans="1:3" x14ac:dyDescent="0.3">
      <c r="A5" s="18" t="s">
        <v>32</v>
      </c>
      <c r="B5" t="s">
        <v>13</v>
      </c>
      <c r="C5" s="4" t="s">
        <v>70</v>
      </c>
    </row>
    <row r="6" spans="1:3" x14ac:dyDescent="0.3">
      <c r="A6" s="18" t="s">
        <v>33</v>
      </c>
      <c r="B6" t="s">
        <v>14</v>
      </c>
      <c r="C6" s="4" t="s">
        <v>14</v>
      </c>
    </row>
    <row r="7" spans="1:3" x14ac:dyDescent="0.3">
      <c r="A7" s="18" t="s">
        <v>34</v>
      </c>
      <c r="B7" t="s">
        <v>14</v>
      </c>
      <c r="C7" s="4" t="s">
        <v>14</v>
      </c>
    </row>
    <row r="8" spans="1:3" x14ac:dyDescent="0.3">
      <c r="A8" s="18" t="s">
        <v>35</v>
      </c>
      <c r="B8" t="s">
        <v>13</v>
      </c>
      <c r="C8" s="4" t="s">
        <v>70</v>
      </c>
    </row>
    <row r="9" spans="1:3" x14ac:dyDescent="0.3">
      <c r="A9" s="18" t="s">
        <v>36</v>
      </c>
      <c r="B9" t="s">
        <v>13</v>
      </c>
      <c r="C9" s="4" t="s">
        <v>70</v>
      </c>
    </row>
    <row r="10" spans="1:3" x14ac:dyDescent="0.3">
      <c r="A10" s="18" t="s">
        <v>37</v>
      </c>
      <c r="B10" t="s">
        <v>13</v>
      </c>
      <c r="C10" s="4" t="s">
        <v>70</v>
      </c>
    </row>
    <row r="11" spans="1:3" x14ac:dyDescent="0.3">
      <c r="A11" s="18" t="s">
        <v>38</v>
      </c>
      <c r="B11" t="s">
        <v>13</v>
      </c>
      <c r="C11" s="4" t="s">
        <v>70</v>
      </c>
    </row>
    <row r="12" spans="1:3" x14ac:dyDescent="0.3">
      <c r="A12" s="18" t="s">
        <v>39</v>
      </c>
      <c r="B12" t="s">
        <v>14</v>
      </c>
      <c r="C12" s="4" t="s">
        <v>14</v>
      </c>
    </row>
    <row r="13" spans="1:3" x14ac:dyDescent="0.3">
      <c r="A13" s="18" t="s">
        <v>40</v>
      </c>
      <c r="B13" t="s">
        <v>14</v>
      </c>
      <c r="C13" s="4" t="s">
        <v>14</v>
      </c>
    </row>
    <row r="14" spans="1:3" x14ac:dyDescent="0.3">
      <c r="A14" s="18" t="s">
        <v>41</v>
      </c>
      <c r="B14" t="s">
        <v>14</v>
      </c>
      <c r="C14" s="4" t="s">
        <v>14</v>
      </c>
    </row>
    <row r="15" spans="1:3" x14ac:dyDescent="0.3">
      <c r="A15" t="s">
        <v>42</v>
      </c>
      <c r="B15" t="s">
        <v>14</v>
      </c>
      <c r="C15" s="4" t="s">
        <v>14</v>
      </c>
    </row>
    <row r="16" spans="1:3" x14ac:dyDescent="0.3">
      <c r="A16" t="s">
        <v>43</v>
      </c>
      <c r="B16" t="s">
        <v>14</v>
      </c>
      <c r="C16" s="4" t="s">
        <v>14</v>
      </c>
    </row>
    <row r="17" spans="1:3" x14ac:dyDescent="0.3">
      <c r="A17" t="s">
        <v>44</v>
      </c>
      <c r="B17" t="s">
        <v>14</v>
      </c>
      <c r="C17" s="4" t="s">
        <v>14</v>
      </c>
    </row>
    <row r="18" spans="1:3" x14ac:dyDescent="0.3">
      <c r="A18" t="s">
        <v>45</v>
      </c>
      <c r="B18" t="s">
        <v>14</v>
      </c>
      <c r="C18" s="4" t="s">
        <v>14</v>
      </c>
    </row>
    <row r="19" spans="1:3" x14ac:dyDescent="0.3">
      <c r="A19" t="s">
        <v>46</v>
      </c>
      <c r="B19" t="s">
        <v>14</v>
      </c>
      <c r="C19" s="4" t="s">
        <v>14</v>
      </c>
    </row>
    <row r="20" spans="1:3" x14ac:dyDescent="0.3">
      <c r="A20" t="s">
        <v>47</v>
      </c>
      <c r="B20" t="s">
        <v>13</v>
      </c>
      <c r="C20" s="4" t="s">
        <v>13</v>
      </c>
    </row>
    <row r="21" spans="1:3" x14ac:dyDescent="0.3">
      <c r="A21" t="s">
        <v>48</v>
      </c>
      <c r="B21" t="s">
        <v>13</v>
      </c>
      <c r="C21" s="4" t="s">
        <v>70</v>
      </c>
    </row>
    <row r="22" spans="1:3" x14ac:dyDescent="0.3">
      <c r="A22" t="s">
        <v>49</v>
      </c>
      <c r="B22" t="s">
        <v>13</v>
      </c>
      <c r="C22" s="4" t="s">
        <v>70</v>
      </c>
    </row>
    <row r="23" spans="1:3" x14ac:dyDescent="0.3">
      <c r="A23" t="s">
        <v>50</v>
      </c>
      <c r="B23" t="s">
        <v>13</v>
      </c>
      <c r="C23" s="4" t="s">
        <v>70</v>
      </c>
    </row>
    <row r="24" spans="1:3" x14ac:dyDescent="0.3">
      <c r="A24" t="s">
        <v>51</v>
      </c>
      <c r="B24" t="s">
        <v>13</v>
      </c>
      <c r="C24" s="4" t="s">
        <v>70</v>
      </c>
    </row>
    <row r="25" spans="1:3" x14ac:dyDescent="0.3">
      <c r="A25" t="s">
        <v>52</v>
      </c>
      <c r="B25" t="s">
        <v>13</v>
      </c>
      <c r="C25" s="4" t="s">
        <v>70</v>
      </c>
    </row>
    <row r="26" spans="1:3" x14ac:dyDescent="0.3">
      <c r="A26" t="s">
        <v>53</v>
      </c>
      <c r="B26" t="s">
        <v>13</v>
      </c>
      <c r="C26" s="4" t="s">
        <v>70</v>
      </c>
    </row>
    <row r="27" spans="1:3" x14ac:dyDescent="0.3">
      <c r="A27" t="s">
        <v>54</v>
      </c>
      <c r="B27" t="s">
        <v>13</v>
      </c>
      <c r="C27" s="4" t="s">
        <v>70</v>
      </c>
    </row>
    <row r="28" spans="1:3" x14ac:dyDescent="0.3">
      <c r="A28" t="s">
        <v>55</v>
      </c>
      <c r="B28" t="s">
        <v>13</v>
      </c>
      <c r="C28" s="4" t="s">
        <v>70</v>
      </c>
    </row>
    <row r="29" spans="1:3" x14ac:dyDescent="0.3">
      <c r="A29" t="s">
        <v>56</v>
      </c>
      <c r="B29" t="s">
        <v>13</v>
      </c>
      <c r="C29" s="4" t="s">
        <v>70</v>
      </c>
    </row>
    <row r="30" spans="1:3" x14ac:dyDescent="0.3">
      <c r="A30" t="s">
        <v>57</v>
      </c>
      <c r="B30" t="s">
        <v>13</v>
      </c>
      <c r="C30" s="4" t="s">
        <v>70</v>
      </c>
    </row>
    <row r="31" spans="1:3" x14ac:dyDescent="0.3">
      <c r="A31" t="s">
        <v>58</v>
      </c>
      <c r="B31" t="s">
        <v>13</v>
      </c>
      <c r="C31" s="4" t="s">
        <v>70</v>
      </c>
    </row>
    <row r="32" spans="1:3" x14ac:dyDescent="0.3">
      <c r="A32" t="s">
        <v>59</v>
      </c>
      <c r="B32" t="s">
        <v>13</v>
      </c>
      <c r="C32" s="4" t="s">
        <v>70</v>
      </c>
    </row>
    <row r="33" spans="1:3" x14ac:dyDescent="0.3">
      <c r="A33" t="s">
        <v>60</v>
      </c>
      <c r="B33" t="s">
        <v>13</v>
      </c>
      <c r="C33" s="4" t="s">
        <v>70</v>
      </c>
    </row>
    <row r="34" spans="1:3" x14ac:dyDescent="0.3">
      <c r="A34" t="s">
        <v>61</v>
      </c>
      <c r="B34" t="s">
        <v>14</v>
      </c>
      <c r="C34" s="4" t="s">
        <v>14</v>
      </c>
    </row>
    <row r="35" spans="1:3" x14ac:dyDescent="0.3">
      <c r="A35" t="s">
        <v>62</v>
      </c>
      <c r="B35" t="s">
        <v>14</v>
      </c>
      <c r="C35" s="4" t="s">
        <v>14</v>
      </c>
    </row>
    <row r="36" spans="1:3" x14ac:dyDescent="0.3">
      <c r="A36" t="s">
        <v>63</v>
      </c>
      <c r="B36" t="s">
        <v>13</v>
      </c>
      <c r="C36" s="4" t="s">
        <v>70</v>
      </c>
    </row>
    <row r="37" spans="1:3" x14ac:dyDescent="0.3">
      <c r="A37" t="s">
        <v>64</v>
      </c>
      <c r="B37" t="s">
        <v>13</v>
      </c>
      <c r="C37" s="4" t="s">
        <v>13</v>
      </c>
    </row>
    <row r="38" spans="1:3" x14ac:dyDescent="0.3">
      <c r="A38" t="s">
        <v>71</v>
      </c>
      <c r="B38" t="s">
        <v>13</v>
      </c>
      <c r="C38" s="4" t="s">
        <v>70</v>
      </c>
    </row>
    <row r="39" spans="1:3" x14ac:dyDescent="0.3">
      <c r="A39" t="s">
        <v>72</v>
      </c>
      <c r="B39" t="s">
        <v>13</v>
      </c>
      <c r="C39" s="4" t="s">
        <v>70</v>
      </c>
    </row>
  </sheetData>
  <phoneticPr fontId="12" type="noConversion"/>
  <dataValidations count="1">
    <dataValidation type="list" allowBlank="1" showInputMessage="1" showErrorMessage="1" sqref="C2:C39" xr:uid="{00000000-0002-0000-0400-000000000000}">
      <formula1>Lista_Combustible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FD645-9A82-4DA3-B55C-2BB550FD2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Registro Diario</vt:lpstr>
      <vt:lpstr>Resumen Semanal</vt:lpstr>
      <vt:lpstr>Resumen Mensual</vt:lpstr>
      <vt:lpstr>Graficos</vt:lpstr>
      <vt:lpstr>Listas</vt:lpstr>
      <vt:lpstr>Lista_Combustible</vt:lpstr>
      <vt:lpstr>Lista_Vehiculos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soportepjp4@hotmail.com</cp:lastModifiedBy>
  <cp:revision>1</cp:revision>
  <dcterms:created xsi:type="dcterms:W3CDTF">2026-08-21T18:19:57Z</dcterms:created>
  <dcterms:modified xsi:type="dcterms:W3CDTF">2026-10-12T22:34:07Z</dcterms:modified>
  <dc:language>en-US</dc:language>
</cp:coreProperties>
</file>